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69A18AE7-731E-42B4-8C5C-315FB7CA8AC7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Tables" sheetId="1" state="hidden" r:id="rId1"/>
    <sheet name="List" sheetId="2" state="hidden" r:id="rId2"/>
    <sheet name="Polish Calc" sheetId="3" r:id="rId3"/>
  </sheets>
  <definedNames>
    <definedName name="_xlnm._FilterDatabase" localSheetId="2" hidden="1">'Polish Calc'!#REF!</definedName>
    <definedName name="_xlnm._FilterDatabase" localSheetId="0" hidden="1">Tables!$B$1:$CW$178</definedName>
    <definedName name="_xleta.N" hidden="1" xlm="1">#NAME?</definedName>
    <definedName name="_xleta.O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3" l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9" i="3" s="1" a="1"/>
  <c r="B9" i="3" s="1"/>
  <c r="B8" i="3"/>
  <c r="AE3" i="1"/>
  <c r="AN3" i="1" s="1"/>
  <c r="AE16" i="1"/>
  <c r="AE4" i="1"/>
  <c r="AF4" i="1"/>
  <c r="AG4" i="1"/>
  <c r="AH4" i="1"/>
  <c r="AI4" i="1"/>
  <c r="AJ4" i="1"/>
  <c r="BB4" i="1" s="1"/>
  <c r="AK4" i="1"/>
  <c r="AL4" i="1"/>
  <c r="AE5" i="1"/>
  <c r="AF5" i="1"/>
  <c r="AG5" i="1"/>
  <c r="AH5" i="1"/>
  <c r="AI5" i="1"/>
  <c r="AJ5" i="1"/>
  <c r="AK5" i="1"/>
  <c r="AL5" i="1"/>
  <c r="AE6" i="1"/>
  <c r="AF6" i="1"/>
  <c r="AG6" i="1"/>
  <c r="AH6" i="1"/>
  <c r="AI6" i="1"/>
  <c r="AJ6" i="1"/>
  <c r="AK6" i="1"/>
  <c r="AL6" i="1"/>
  <c r="AE7" i="1"/>
  <c r="AF7" i="1"/>
  <c r="AG7" i="1"/>
  <c r="AH7" i="1"/>
  <c r="AI7" i="1"/>
  <c r="AJ7" i="1"/>
  <c r="AK7" i="1"/>
  <c r="AL7" i="1"/>
  <c r="AE8" i="1"/>
  <c r="AF8" i="1"/>
  <c r="AG8" i="1"/>
  <c r="AH8" i="1"/>
  <c r="AI8" i="1"/>
  <c r="AJ8" i="1"/>
  <c r="AK8" i="1"/>
  <c r="AL8" i="1"/>
  <c r="AE9" i="1"/>
  <c r="AF9" i="1"/>
  <c r="AG9" i="1"/>
  <c r="AH9" i="1"/>
  <c r="AI9" i="1"/>
  <c r="AJ9" i="1"/>
  <c r="AK9" i="1"/>
  <c r="AL9" i="1"/>
  <c r="AE10" i="1"/>
  <c r="AF10" i="1"/>
  <c r="AG10" i="1"/>
  <c r="AH10" i="1"/>
  <c r="AI10" i="1"/>
  <c r="AJ10" i="1"/>
  <c r="AK10" i="1"/>
  <c r="AT10" i="1" s="1"/>
  <c r="AL10" i="1"/>
  <c r="AE11" i="1"/>
  <c r="AF11" i="1"/>
  <c r="AG11" i="1"/>
  <c r="AH11" i="1"/>
  <c r="AI11" i="1"/>
  <c r="AJ11" i="1"/>
  <c r="AK11" i="1"/>
  <c r="AL11" i="1"/>
  <c r="AE12" i="1"/>
  <c r="AF12" i="1"/>
  <c r="AG12" i="1"/>
  <c r="AH12" i="1"/>
  <c r="AI12" i="1"/>
  <c r="AJ12" i="1"/>
  <c r="AK12" i="1"/>
  <c r="AL12" i="1"/>
  <c r="AE13" i="1"/>
  <c r="AF13" i="1"/>
  <c r="AG13" i="1"/>
  <c r="AH13" i="1"/>
  <c r="AI13" i="1"/>
  <c r="AJ13" i="1"/>
  <c r="AK13" i="1"/>
  <c r="AL13" i="1"/>
  <c r="AE14" i="1"/>
  <c r="AF14" i="1"/>
  <c r="AG14" i="1"/>
  <c r="AH14" i="1"/>
  <c r="AI14" i="1"/>
  <c r="AJ14" i="1"/>
  <c r="AK14" i="1"/>
  <c r="AL14" i="1"/>
  <c r="AE15" i="1"/>
  <c r="AF15" i="1"/>
  <c r="AG15" i="1"/>
  <c r="AH15" i="1"/>
  <c r="AI15" i="1"/>
  <c r="AJ15" i="1"/>
  <c r="AK15" i="1"/>
  <c r="AL15" i="1"/>
  <c r="AF16" i="1"/>
  <c r="AG16" i="1"/>
  <c r="AH16" i="1"/>
  <c r="AI16" i="1"/>
  <c r="AJ16" i="1"/>
  <c r="AK16" i="1"/>
  <c r="AL16" i="1"/>
  <c r="AE17" i="1"/>
  <c r="AF17" i="1"/>
  <c r="AG17" i="1"/>
  <c r="AH17" i="1"/>
  <c r="AI17" i="1"/>
  <c r="AJ17" i="1"/>
  <c r="AK17" i="1"/>
  <c r="AL17" i="1"/>
  <c r="AE18" i="1"/>
  <c r="AF18" i="1"/>
  <c r="AG18" i="1"/>
  <c r="AH18" i="1"/>
  <c r="AI18" i="1"/>
  <c r="AJ18" i="1"/>
  <c r="AK18" i="1"/>
  <c r="AT18" i="1" s="1"/>
  <c r="AL18" i="1"/>
  <c r="AE19" i="1"/>
  <c r="AF19" i="1"/>
  <c r="AG19" i="1"/>
  <c r="AH19" i="1"/>
  <c r="AI19" i="1"/>
  <c r="AJ19" i="1"/>
  <c r="AK19" i="1"/>
  <c r="AL19" i="1"/>
  <c r="AE20" i="1"/>
  <c r="AF20" i="1"/>
  <c r="AG20" i="1"/>
  <c r="AH20" i="1"/>
  <c r="AI20" i="1"/>
  <c r="AJ20" i="1"/>
  <c r="AK20" i="1"/>
  <c r="AL20" i="1"/>
  <c r="AE21" i="1"/>
  <c r="AF21" i="1"/>
  <c r="AG21" i="1"/>
  <c r="AH21" i="1"/>
  <c r="AI21" i="1"/>
  <c r="AJ21" i="1"/>
  <c r="AK21" i="1"/>
  <c r="AL21" i="1"/>
  <c r="AE22" i="1"/>
  <c r="AF22" i="1"/>
  <c r="AG22" i="1"/>
  <c r="AH22" i="1"/>
  <c r="AI22" i="1"/>
  <c r="AJ22" i="1"/>
  <c r="AK22" i="1"/>
  <c r="AL22" i="1"/>
  <c r="AE23" i="1"/>
  <c r="AF23" i="1"/>
  <c r="AG23" i="1"/>
  <c r="AH23" i="1"/>
  <c r="AI23" i="1"/>
  <c r="AJ23" i="1"/>
  <c r="AK23" i="1"/>
  <c r="AL23" i="1"/>
  <c r="AE24" i="1"/>
  <c r="AF24" i="1"/>
  <c r="AG24" i="1"/>
  <c r="AH24" i="1"/>
  <c r="AI24" i="1"/>
  <c r="AJ24" i="1"/>
  <c r="AK24" i="1"/>
  <c r="AL24" i="1"/>
  <c r="AE25" i="1"/>
  <c r="AF25" i="1"/>
  <c r="AG25" i="1"/>
  <c r="AH25" i="1"/>
  <c r="AI25" i="1"/>
  <c r="AJ25" i="1"/>
  <c r="AK25" i="1"/>
  <c r="AL25" i="1"/>
  <c r="AE26" i="1"/>
  <c r="AF26" i="1"/>
  <c r="AG26" i="1"/>
  <c r="AH26" i="1"/>
  <c r="AI26" i="1"/>
  <c r="AJ26" i="1"/>
  <c r="AK26" i="1"/>
  <c r="AT26" i="1" s="1"/>
  <c r="AL26" i="1"/>
  <c r="AE27" i="1"/>
  <c r="AF27" i="1"/>
  <c r="AG27" i="1"/>
  <c r="AH27" i="1"/>
  <c r="AI27" i="1"/>
  <c r="AJ27" i="1"/>
  <c r="AK27" i="1"/>
  <c r="AL27" i="1"/>
  <c r="AE28" i="1"/>
  <c r="AF28" i="1"/>
  <c r="AG28" i="1"/>
  <c r="AH28" i="1"/>
  <c r="AI28" i="1"/>
  <c r="AJ28" i="1"/>
  <c r="AK28" i="1"/>
  <c r="AL28" i="1"/>
  <c r="AE29" i="1"/>
  <c r="AF29" i="1"/>
  <c r="AG29" i="1"/>
  <c r="AH29" i="1"/>
  <c r="AI29" i="1"/>
  <c r="AJ29" i="1"/>
  <c r="AK29" i="1"/>
  <c r="AL29" i="1"/>
  <c r="AE30" i="1"/>
  <c r="AF30" i="1"/>
  <c r="AG30" i="1"/>
  <c r="AH30" i="1"/>
  <c r="AI30" i="1"/>
  <c r="AJ30" i="1"/>
  <c r="AK30" i="1"/>
  <c r="AL30" i="1"/>
  <c r="AE31" i="1"/>
  <c r="AF31" i="1"/>
  <c r="AG31" i="1"/>
  <c r="AH31" i="1"/>
  <c r="AI31" i="1"/>
  <c r="AJ31" i="1"/>
  <c r="AK31" i="1"/>
  <c r="AL31" i="1"/>
  <c r="AE32" i="1"/>
  <c r="AF32" i="1"/>
  <c r="AG32" i="1"/>
  <c r="AH32" i="1"/>
  <c r="AI32" i="1"/>
  <c r="AJ32" i="1"/>
  <c r="AK32" i="1"/>
  <c r="AL32" i="1"/>
  <c r="AE33" i="1"/>
  <c r="AF33" i="1"/>
  <c r="AG33" i="1"/>
  <c r="AH33" i="1"/>
  <c r="AI33" i="1"/>
  <c r="AJ33" i="1"/>
  <c r="AK33" i="1"/>
  <c r="AL33" i="1"/>
  <c r="AE34" i="1"/>
  <c r="AF34" i="1"/>
  <c r="AG34" i="1"/>
  <c r="AH34" i="1"/>
  <c r="AI34" i="1"/>
  <c r="AJ34" i="1"/>
  <c r="AK34" i="1"/>
  <c r="AT34" i="1" s="1"/>
  <c r="AL34" i="1"/>
  <c r="AE35" i="1"/>
  <c r="AF35" i="1"/>
  <c r="AG35" i="1"/>
  <c r="AH35" i="1"/>
  <c r="AI35" i="1"/>
  <c r="AJ35" i="1"/>
  <c r="AK35" i="1"/>
  <c r="AL35" i="1"/>
  <c r="AE36" i="1"/>
  <c r="AF36" i="1"/>
  <c r="AG36" i="1"/>
  <c r="AH36" i="1"/>
  <c r="AI36" i="1"/>
  <c r="AJ36" i="1"/>
  <c r="AK36" i="1"/>
  <c r="AL36" i="1"/>
  <c r="AE37" i="1"/>
  <c r="AF37" i="1"/>
  <c r="AG37" i="1"/>
  <c r="AH37" i="1"/>
  <c r="AI37" i="1"/>
  <c r="AJ37" i="1"/>
  <c r="AK37" i="1"/>
  <c r="AL37" i="1"/>
  <c r="AE38" i="1"/>
  <c r="AF38" i="1"/>
  <c r="AG38" i="1"/>
  <c r="AH38" i="1"/>
  <c r="AI38" i="1"/>
  <c r="AJ38" i="1"/>
  <c r="AK38" i="1"/>
  <c r="AL38" i="1"/>
  <c r="AE39" i="1"/>
  <c r="AF39" i="1"/>
  <c r="AG39" i="1"/>
  <c r="AH39" i="1"/>
  <c r="AI39" i="1"/>
  <c r="AJ39" i="1"/>
  <c r="AK39" i="1"/>
  <c r="AL39" i="1"/>
  <c r="AE40" i="1"/>
  <c r="AF40" i="1"/>
  <c r="AG40" i="1"/>
  <c r="AH40" i="1"/>
  <c r="AI40" i="1"/>
  <c r="AJ40" i="1"/>
  <c r="AK40" i="1"/>
  <c r="AL40" i="1"/>
  <c r="AE41" i="1"/>
  <c r="AF41" i="1"/>
  <c r="AG41" i="1"/>
  <c r="AH41" i="1"/>
  <c r="AI41" i="1"/>
  <c r="AJ41" i="1"/>
  <c r="AK41" i="1"/>
  <c r="AL41" i="1"/>
  <c r="AE42" i="1"/>
  <c r="AF42" i="1"/>
  <c r="AG42" i="1"/>
  <c r="AH42" i="1"/>
  <c r="AI42" i="1"/>
  <c r="AJ42" i="1"/>
  <c r="AK42" i="1"/>
  <c r="AT42" i="1" s="1"/>
  <c r="AL42" i="1"/>
  <c r="AE43" i="1"/>
  <c r="AF43" i="1"/>
  <c r="AG43" i="1"/>
  <c r="AH43" i="1"/>
  <c r="AI43" i="1"/>
  <c r="AJ43" i="1"/>
  <c r="AK43" i="1"/>
  <c r="AL43" i="1"/>
  <c r="AE44" i="1"/>
  <c r="AF44" i="1"/>
  <c r="AG44" i="1"/>
  <c r="AH44" i="1"/>
  <c r="AI44" i="1"/>
  <c r="AJ44" i="1"/>
  <c r="AK44" i="1"/>
  <c r="AL44" i="1"/>
  <c r="AE45" i="1"/>
  <c r="AF45" i="1"/>
  <c r="AG45" i="1"/>
  <c r="AH45" i="1"/>
  <c r="AI45" i="1"/>
  <c r="AJ45" i="1"/>
  <c r="AK45" i="1"/>
  <c r="AL45" i="1"/>
  <c r="AE46" i="1"/>
  <c r="AF46" i="1"/>
  <c r="AG46" i="1"/>
  <c r="AH46" i="1"/>
  <c r="AI46" i="1"/>
  <c r="AJ46" i="1"/>
  <c r="AK46" i="1"/>
  <c r="AL46" i="1"/>
  <c r="AE47" i="1"/>
  <c r="AF47" i="1"/>
  <c r="AG47" i="1"/>
  <c r="AH47" i="1"/>
  <c r="AI47" i="1"/>
  <c r="AJ47" i="1"/>
  <c r="AK47" i="1"/>
  <c r="AL47" i="1"/>
  <c r="AE48" i="1"/>
  <c r="AF48" i="1"/>
  <c r="AG48" i="1"/>
  <c r="AH48" i="1"/>
  <c r="AI48" i="1"/>
  <c r="AJ48" i="1"/>
  <c r="AK48" i="1"/>
  <c r="AL48" i="1"/>
  <c r="AE49" i="1"/>
  <c r="AF49" i="1"/>
  <c r="AG49" i="1"/>
  <c r="AH49" i="1"/>
  <c r="AI49" i="1"/>
  <c r="AJ49" i="1"/>
  <c r="AK49" i="1"/>
  <c r="AL49" i="1"/>
  <c r="AE50" i="1"/>
  <c r="AF50" i="1"/>
  <c r="AG50" i="1"/>
  <c r="AH50" i="1"/>
  <c r="AI50" i="1"/>
  <c r="AJ50" i="1"/>
  <c r="AK50" i="1"/>
  <c r="AT50" i="1" s="1"/>
  <c r="AL50" i="1"/>
  <c r="AE51" i="1"/>
  <c r="AF51" i="1"/>
  <c r="AG51" i="1"/>
  <c r="AH51" i="1"/>
  <c r="AI51" i="1"/>
  <c r="AJ51" i="1"/>
  <c r="AK51" i="1"/>
  <c r="AL51" i="1"/>
  <c r="AE52" i="1"/>
  <c r="AF52" i="1"/>
  <c r="AG52" i="1"/>
  <c r="AH52" i="1"/>
  <c r="AI52" i="1"/>
  <c r="AJ52" i="1"/>
  <c r="AK52" i="1"/>
  <c r="AL52" i="1"/>
  <c r="AE53" i="1"/>
  <c r="AF53" i="1"/>
  <c r="AG53" i="1"/>
  <c r="AH53" i="1"/>
  <c r="AI53" i="1"/>
  <c r="AJ53" i="1"/>
  <c r="AK53" i="1"/>
  <c r="AL53" i="1"/>
  <c r="AE54" i="1"/>
  <c r="AF54" i="1"/>
  <c r="AG54" i="1"/>
  <c r="AH54" i="1"/>
  <c r="AI54" i="1"/>
  <c r="AJ54" i="1"/>
  <c r="AK54" i="1"/>
  <c r="AL54" i="1"/>
  <c r="AE55" i="1"/>
  <c r="AF55" i="1"/>
  <c r="AG55" i="1"/>
  <c r="AH55" i="1"/>
  <c r="AI55" i="1"/>
  <c r="AJ55" i="1"/>
  <c r="AK55" i="1"/>
  <c r="AL55" i="1"/>
  <c r="AE56" i="1"/>
  <c r="AF56" i="1"/>
  <c r="AG56" i="1"/>
  <c r="AH56" i="1"/>
  <c r="AI56" i="1"/>
  <c r="AJ56" i="1"/>
  <c r="AK56" i="1"/>
  <c r="AL56" i="1"/>
  <c r="AE57" i="1"/>
  <c r="AF57" i="1"/>
  <c r="AG57" i="1"/>
  <c r="AH57" i="1"/>
  <c r="AI57" i="1"/>
  <c r="AJ57" i="1"/>
  <c r="AK57" i="1"/>
  <c r="AL57" i="1"/>
  <c r="AE58" i="1"/>
  <c r="AF58" i="1"/>
  <c r="AG58" i="1"/>
  <c r="AH58" i="1"/>
  <c r="AI58" i="1"/>
  <c r="AJ58" i="1"/>
  <c r="AK58" i="1"/>
  <c r="AT58" i="1" s="1"/>
  <c r="AL58" i="1"/>
  <c r="AE59" i="1"/>
  <c r="AF59" i="1"/>
  <c r="AG59" i="1"/>
  <c r="AH59" i="1"/>
  <c r="AI59" i="1"/>
  <c r="AJ59" i="1"/>
  <c r="AK59" i="1"/>
  <c r="AL59" i="1"/>
  <c r="AE60" i="1"/>
  <c r="AF60" i="1"/>
  <c r="AG60" i="1"/>
  <c r="AH60" i="1"/>
  <c r="AI60" i="1"/>
  <c r="AJ60" i="1"/>
  <c r="AK60" i="1"/>
  <c r="AL60" i="1"/>
  <c r="AE61" i="1"/>
  <c r="AF61" i="1"/>
  <c r="AG61" i="1"/>
  <c r="AH61" i="1"/>
  <c r="AI61" i="1"/>
  <c r="AJ61" i="1"/>
  <c r="AK61" i="1"/>
  <c r="AL61" i="1"/>
  <c r="AE62" i="1"/>
  <c r="AF62" i="1"/>
  <c r="AG62" i="1"/>
  <c r="AH62" i="1"/>
  <c r="AI62" i="1"/>
  <c r="AJ62" i="1"/>
  <c r="AK62" i="1"/>
  <c r="AL62" i="1"/>
  <c r="AE63" i="1"/>
  <c r="AF63" i="1"/>
  <c r="AG63" i="1"/>
  <c r="AH63" i="1"/>
  <c r="AI63" i="1"/>
  <c r="AJ63" i="1"/>
  <c r="AK63" i="1"/>
  <c r="AL63" i="1"/>
  <c r="AE64" i="1"/>
  <c r="AF64" i="1"/>
  <c r="AG64" i="1"/>
  <c r="AH64" i="1"/>
  <c r="AI64" i="1"/>
  <c r="AJ64" i="1"/>
  <c r="AK64" i="1"/>
  <c r="AL64" i="1"/>
  <c r="AE65" i="1"/>
  <c r="AF65" i="1"/>
  <c r="AG65" i="1"/>
  <c r="AH65" i="1"/>
  <c r="AI65" i="1"/>
  <c r="AJ65" i="1"/>
  <c r="AK65" i="1"/>
  <c r="AT65" i="1" s="1"/>
  <c r="AL65" i="1"/>
  <c r="AE66" i="1"/>
  <c r="AF66" i="1"/>
  <c r="AG66" i="1"/>
  <c r="AH66" i="1"/>
  <c r="AI66" i="1"/>
  <c r="AJ66" i="1"/>
  <c r="AK66" i="1"/>
  <c r="AL66" i="1"/>
  <c r="AE67" i="1"/>
  <c r="AF67" i="1"/>
  <c r="AG67" i="1"/>
  <c r="AH67" i="1"/>
  <c r="AI67" i="1"/>
  <c r="AJ67" i="1"/>
  <c r="AK67" i="1"/>
  <c r="AL67" i="1"/>
  <c r="AE68" i="1"/>
  <c r="AF68" i="1"/>
  <c r="AG68" i="1"/>
  <c r="AH68" i="1"/>
  <c r="AI68" i="1"/>
  <c r="AJ68" i="1"/>
  <c r="AK68" i="1"/>
  <c r="AL68" i="1"/>
  <c r="AE69" i="1"/>
  <c r="AF69" i="1"/>
  <c r="AG69" i="1"/>
  <c r="AH69" i="1"/>
  <c r="AI69" i="1"/>
  <c r="AJ69" i="1"/>
  <c r="AK69" i="1"/>
  <c r="AT69" i="1" s="1"/>
  <c r="AL69" i="1"/>
  <c r="AE70" i="1"/>
  <c r="AF70" i="1"/>
  <c r="AG70" i="1"/>
  <c r="AH70" i="1"/>
  <c r="AI70" i="1"/>
  <c r="AJ70" i="1"/>
  <c r="AK70" i="1"/>
  <c r="AL70" i="1"/>
  <c r="AE71" i="1"/>
  <c r="AF71" i="1"/>
  <c r="AG71" i="1"/>
  <c r="AH71" i="1"/>
  <c r="AI71" i="1"/>
  <c r="AJ71" i="1"/>
  <c r="AK71" i="1"/>
  <c r="AL71" i="1"/>
  <c r="AE72" i="1"/>
  <c r="AF72" i="1"/>
  <c r="AG72" i="1"/>
  <c r="AH72" i="1"/>
  <c r="AI72" i="1"/>
  <c r="AJ72" i="1"/>
  <c r="AK72" i="1"/>
  <c r="AL72" i="1"/>
  <c r="AE73" i="1"/>
  <c r="AF73" i="1"/>
  <c r="AG73" i="1"/>
  <c r="AH73" i="1"/>
  <c r="AI73" i="1"/>
  <c r="AJ73" i="1"/>
  <c r="AK73" i="1"/>
  <c r="AT73" i="1" s="1"/>
  <c r="AL73" i="1"/>
  <c r="AE74" i="1"/>
  <c r="AF74" i="1"/>
  <c r="AG74" i="1"/>
  <c r="AH74" i="1"/>
  <c r="AI74" i="1"/>
  <c r="AJ74" i="1"/>
  <c r="AK74" i="1"/>
  <c r="AL74" i="1"/>
  <c r="AE75" i="1"/>
  <c r="AF75" i="1"/>
  <c r="AG75" i="1"/>
  <c r="AH75" i="1"/>
  <c r="AI75" i="1"/>
  <c r="AJ75" i="1"/>
  <c r="AK75" i="1"/>
  <c r="AL75" i="1"/>
  <c r="AE76" i="1"/>
  <c r="AF76" i="1"/>
  <c r="AG76" i="1"/>
  <c r="AH76" i="1"/>
  <c r="AI76" i="1"/>
  <c r="BA76" i="1" s="1"/>
  <c r="AJ76" i="1"/>
  <c r="AK76" i="1"/>
  <c r="AL76" i="1"/>
  <c r="AE77" i="1"/>
  <c r="AF77" i="1"/>
  <c r="AG77" i="1"/>
  <c r="AH77" i="1"/>
  <c r="AI77" i="1"/>
  <c r="AJ77" i="1"/>
  <c r="AK77" i="1"/>
  <c r="AT77" i="1" s="1"/>
  <c r="AL77" i="1"/>
  <c r="AE78" i="1"/>
  <c r="AF78" i="1"/>
  <c r="AG78" i="1"/>
  <c r="AH78" i="1"/>
  <c r="AI78" i="1"/>
  <c r="AJ78" i="1"/>
  <c r="AK78" i="1"/>
  <c r="AL78" i="1"/>
  <c r="AE79" i="1"/>
  <c r="AF79" i="1"/>
  <c r="AG79" i="1"/>
  <c r="AH79" i="1"/>
  <c r="AI79" i="1"/>
  <c r="AJ79" i="1"/>
  <c r="AK79" i="1"/>
  <c r="AL79" i="1"/>
  <c r="AE80" i="1"/>
  <c r="AF80" i="1"/>
  <c r="AG80" i="1"/>
  <c r="AH80" i="1"/>
  <c r="AI80" i="1"/>
  <c r="AJ80" i="1"/>
  <c r="AK80" i="1"/>
  <c r="AL80" i="1"/>
  <c r="AE81" i="1"/>
  <c r="AF81" i="1"/>
  <c r="AG81" i="1"/>
  <c r="AH81" i="1"/>
  <c r="AI81" i="1"/>
  <c r="AJ81" i="1"/>
  <c r="AK81" i="1"/>
  <c r="AT81" i="1" s="1"/>
  <c r="AL81" i="1"/>
  <c r="AE82" i="1"/>
  <c r="AF82" i="1"/>
  <c r="AG82" i="1"/>
  <c r="AH82" i="1"/>
  <c r="AI82" i="1"/>
  <c r="AJ82" i="1"/>
  <c r="AK82" i="1"/>
  <c r="AL82" i="1"/>
  <c r="AE83" i="1"/>
  <c r="AF83" i="1"/>
  <c r="AG83" i="1"/>
  <c r="AH83" i="1"/>
  <c r="AI83" i="1"/>
  <c r="AJ83" i="1"/>
  <c r="AK83" i="1"/>
  <c r="AL83" i="1"/>
  <c r="AE84" i="1"/>
  <c r="AF84" i="1"/>
  <c r="AG84" i="1"/>
  <c r="AH84" i="1"/>
  <c r="AI84" i="1"/>
  <c r="AJ84" i="1"/>
  <c r="AK84" i="1"/>
  <c r="AL84" i="1"/>
  <c r="AE85" i="1"/>
  <c r="AF85" i="1"/>
  <c r="AG85" i="1"/>
  <c r="AH85" i="1"/>
  <c r="AI85" i="1"/>
  <c r="AJ85" i="1"/>
  <c r="AK85" i="1"/>
  <c r="AT85" i="1" s="1"/>
  <c r="AL85" i="1"/>
  <c r="AE86" i="1"/>
  <c r="AF86" i="1"/>
  <c r="AG86" i="1"/>
  <c r="AH86" i="1"/>
  <c r="AI86" i="1"/>
  <c r="AJ86" i="1"/>
  <c r="AK86" i="1"/>
  <c r="AL86" i="1"/>
  <c r="AE87" i="1"/>
  <c r="AF87" i="1"/>
  <c r="AG87" i="1"/>
  <c r="AH87" i="1"/>
  <c r="AI87" i="1"/>
  <c r="AJ87" i="1"/>
  <c r="AK87" i="1"/>
  <c r="AL87" i="1"/>
  <c r="AE88" i="1"/>
  <c r="AF88" i="1"/>
  <c r="AG88" i="1"/>
  <c r="AH88" i="1"/>
  <c r="AI88" i="1"/>
  <c r="AJ88" i="1"/>
  <c r="AK88" i="1"/>
  <c r="AL88" i="1"/>
  <c r="AE89" i="1"/>
  <c r="AN89" i="1" s="1"/>
  <c r="AF89" i="1"/>
  <c r="AX89" i="1" s="1"/>
  <c r="AG89" i="1"/>
  <c r="AH89" i="1"/>
  <c r="AI89" i="1"/>
  <c r="AJ89" i="1"/>
  <c r="AK89" i="1"/>
  <c r="AL89" i="1"/>
  <c r="AE90" i="1"/>
  <c r="AN90" i="1" s="1"/>
  <c r="AF90" i="1"/>
  <c r="AG90" i="1"/>
  <c r="AH90" i="1"/>
  <c r="AI90" i="1"/>
  <c r="AJ90" i="1"/>
  <c r="AK90" i="1"/>
  <c r="AL90" i="1"/>
  <c r="AE91" i="1"/>
  <c r="AN91" i="1" s="1"/>
  <c r="AF91" i="1"/>
  <c r="AG91" i="1"/>
  <c r="AH91" i="1"/>
  <c r="AI91" i="1"/>
  <c r="AJ91" i="1"/>
  <c r="AK91" i="1"/>
  <c r="BC91" i="1" s="1"/>
  <c r="AL91" i="1"/>
  <c r="AE92" i="1"/>
  <c r="AN92" i="1" s="1"/>
  <c r="AF92" i="1"/>
  <c r="AG92" i="1"/>
  <c r="AH92" i="1"/>
  <c r="AI92" i="1"/>
  <c r="AJ92" i="1"/>
  <c r="AK92" i="1"/>
  <c r="AL92" i="1"/>
  <c r="AE93" i="1"/>
  <c r="AN93" i="1" s="1"/>
  <c r="AF93" i="1"/>
  <c r="AG93" i="1"/>
  <c r="AH93" i="1"/>
  <c r="AI93" i="1"/>
  <c r="AJ93" i="1"/>
  <c r="AK93" i="1"/>
  <c r="AL93" i="1"/>
  <c r="AE94" i="1"/>
  <c r="AN94" i="1" s="1"/>
  <c r="AF94" i="1"/>
  <c r="AG94" i="1"/>
  <c r="AH94" i="1"/>
  <c r="AI94" i="1"/>
  <c r="BA94" i="1" s="1"/>
  <c r="AJ94" i="1"/>
  <c r="AK94" i="1"/>
  <c r="AL94" i="1"/>
  <c r="AE95" i="1"/>
  <c r="AN95" i="1" s="1"/>
  <c r="AF95" i="1"/>
  <c r="AG95" i="1"/>
  <c r="AH95" i="1"/>
  <c r="AI95" i="1"/>
  <c r="AJ95" i="1"/>
  <c r="AK95" i="1"/>
  <c r="AL95" i="1"/>
  <c r="AE96" i="1"/>
  <c r="AN96" i="1" s="1"/>
  <c r="AF96" i="1"/>
  <c r="AG96" i="1"/>
  <c r="AH96" i="1"/>
  <c r="AI96" i="1"/>
  <c r="AJ96" i="1"/>
  <c r="AK96" i="1"/>
  <c r="AL96" i="1"/>
  <c r="AE97" i="1"/>
  <c r="AN97" i="1" s="1"/>
  <c r="AF97" i="1"/>
  <c r="AX97" i="1" s="1"/>
  <c r="AG97" i="1"/>
  <c r="AH97" i="1"/>
  <c r="AI97" i="1"/>
  <c r="AJ97" i="1"/>
  <c r="AK97" i="1"/>
  <c r="AL97" i="1"/>
  <c r="AE98" i="1"/>
  <c r="AN98" i="1" s="1"/>
  <c r="AF98" i="1"/>
  <c r="AG98" i="1"/>
  <c r="AH98" i="1"/>
  <c r="AI98" i="1"/>
  <c r="AJ98" i="1"/>
  <c r="AK98" i="1"/>
  <c r="AL98" i="1"/>
  <c r="AE99" i="1"/>
  <c r="AN99" i="1" s="1"/>
  <c r="AF99" i="1"/>
  <c r="AG99" i="1"/>
  <c r="AH99" i="1"/>
  <c r="AI99" i="1"/>
  <c r="AJ99" i="1"/>
  <c r="AK99" i="1"/>
  <c r="BC99" i="1" s="1"/>
  <c r="AL99" i="1"/>
  <c r="AE100" i="1"/>
  <c r="AN100" i="1" s="1"/>
  <c r="AF100" i="1"/>
  <c r="AG100" i="1"/>
  <c r="AH100" i="1"/>
  <c r="AI100" i="1"/>
  <c r="AJ100" i="1"/>
  <c r="AK100" i="1"/>
  <c r="AL100" i="1"/>
  <c r="AE101" i="1"/>
  <c r="AN101" i="1" s="1"/>
  <c r="AF101" i="1"/>
  <c r="AG101" i="1"/>
  <c r="AH101" i="1"/>
  <c r="AI101" i="1"/>
  <c r="AJ101" i="1"/>
  <c r="AK101" i="1"/>
  <c r="AL101" i="1"/>
  <c r="AE102" i="1"/>
  <c r="AN102" i="1" s="1"/>
  <c r="AF102" i="1"/>
  <c r="AG102" i="1"/>
  <c r="AH102" i="1"/>
  <c r="AI102" i="1"/>
  <c r="BA102" i="1" s="1"/>
  <c r="AJ102" i="1"/>
  <c r="AK102" i="1"/>
  <c r="AL102" i="1"/>
  <c r="AE103" i="1"/>
  <c r="AN103" i="1" s="1"/>
  <c r="AF103" i="1"/>
  <c r="AG103" i="1"/>
  <c r="AH103" i="1"/>
  <c r="AI103" i="1"/>
  <c r="AJ103" i="1"/>
  <c r="AK103" i="1"/>
  <c r="AL103" i="1"/>
  <c r="AE104" i="1"/>
  <c r="AN104" i="1" s="1"/>
  <c r="AF104" i="1"/>
  <c r="AG104" i="1"/>
  <c r="AH104" i="1"/>
  <c r="AI104" i="1"/>
  <c r="AJ104" i="1"/>
  <c r="AK104" i="1"/>
  <c r="AL104" i="1"/>
  <c r="AE105" i="1"/>
  <c r="AN105" i="1" s="1"/>
  <c r="AF105" i="1"/>
  <c r="AX105" i="1" s="1"/>
  <c r="AG105" i="1"/>
  <c r="AH105" i="1"/>
  <c r="AI105" i="1"/>
  <c r="AJ105" i="1"/>
  <c r="AK105" i="1"/>
  <c r="AL105" i="1"/>
  <c r="AE106" i="1"/>
  <c r="AN106" i="1" s="1"/>
  <c r="AF106" i="1"/>
  <c r="AG106" i="1"/>
  <c r="AH106" i="1"/>
  <c r="AI106" i="1"/>
  <c r="AJ106" i="1"/>
  <c r="AK106" i="1"/>
  <c r="AL106" i="1"/>
  <c r="AE107" i="1"/>
  <c r="AN107" i="1" s="1"/>
  <c r="AF107" i="1"/>
  <c r="AG107" i="1"/>
  <c r="AH107" i="1"/>
  <c r="AI107" i="1"/>
  <c r="AJ107" i="1"/>
  <c r="AK107" i="1"/>
  <c r="BC107" i="1" s="1"/>
  <c r="AL107" i="1"/>
  <c r="AE108" i="1"/>
  <c r="AN108" i="1" s="1"/>
  <c r="AF108" i="1"/>
  <c r="AG108" i="1"/>
  <c r="AH108" i="1"/>
  <c r="AI108" i="1"/>
  <c r="AJ108" i="1"/>
  <c r="AK108" i="1"/>
  <c r="AL108" i="1"/>
  <c r="AE109" i="1"/>
  <c r="AN109" i="1" s="1"/>
  <c r="AF109" i="1"/>
  <c r="AG109" i="1"/>
  <c r="AH109" i="1"/>
  <c r="AI109" i="1"/>
  <c r="AJ109" i="1"/>
  <c r="AK109" i="1"/>
  <c r="AL109" i="1"/>
  <c r="AE110" i="1"/>
  <c r="AN110" i="1" s="1"/>
  <c r="AF110" i="1"/>
  <c r="AG110" i="1"/>
  <c r="AH110" i="1"/>
  <c r="AI110" i="1"/>
  <c r="BA110" i="1" s="1"/>
  <c r="AJ110" i="1"/>
  <c r="AK110" i="1"/>
  <c r="AL110" i="1"/>
  <c r="AE111" i="1"/>
  <c r="AN111" i="1" s="1"/>
  <c r="AF111" i="1"/>
  <c r="AG111" i="1"/>
  <c r="AH111" i="1"/>
  <c r="AI111" i="1"/>
  <c r="AJ111" i="1"/>
  <c r="AK111" i="1"/>
  <c r="AL111" i="1"/>
  <c r="AE112" i="1"/>
  <c r="AN112" i="1" s="1"/>
  <c r="AF112" i="1"/>
  <c r="AG112" i="1"/>
  <c r="AH112" i="1"/>
  <c r="AI112" i="1"/>
  <c r="AJ112" i="1"/>
  <c r="AK112" i="1"/>
  <c r="AL112" i="1"/>
  <c r="AE113" i="1"/>
  <c r="AN113" i="1" s="1"/>
  <c r="AF113" i="1"/>
  <c r="AX113" i="1" s="1"/>
  <c r="AG113" i="1"/>
  <c r="AH113" i="1"/>
  <c r="AI113" i="1"/>
  <c r="AJ113" i="1"/>
  <c r="AK113" i="1"/>
  <c r="AL113" i="1"/>
  <c r="AE114" i="1"/>
  <c r="AN114" i="1" s="1"/>
  <c r="AF114" i="1"/>
  <c r="AG114" i="1"/>
  <c r="AH114" i="1"/>
  <c r="AI114" i="1"/>
  <c r="AJ114" i="1"/>
  <c r="AK114" i="1"/>
  <c r="AL114" i="1"/>
  <c r="AE115" i="1"/>
  <c r="AN115" i="1" s="1"/>
  <c r="AF115" i="1"/>
  <c r="AG115" i="1"/>
  <c r="AH115" i="1"/>
  <c r="AI115" i="1"/>
  <c r="AJ115" i="1"/>
  <c r="AK115" i="1"/>
  <c r="BC115" i="1" s="1"/>
  <c r="AL115" i="1"/>
  <c r="AE116" i="1"/>
  <c r="AN116" i="1" s="1"/>
  <c r="AF116" i="1"/>
  <c r="AG116" i="1"/>
  <c r="AH116" i="1"/>
  <c r="AI116" i="1"/>
  <c r="AJ116" i="1"/>
  <c r="AK116" i="1"/>
  <c r="AL116" i="1"/>
  <c r="AE117" i="1"/>
  <c r="AN117" i="1" s="1"/>
  <c r="AF117" i="1"/>
  <c r="AG117" i="1"/>
  <c r="AH117" i="1"/>
  <c r="AI117" i="1"/>
  <c r="AJ117" i="1"/>
  <c r="AK117" i="1"/>
  <c r="AL117" i="1"/>
  <c r="AE118" i="1"/>
  <c r="AN118" i="1" s="1"/>
  <c r="AF118" i="1"/>
  <c r="AG118" i="1"/>
  <c r="AH118" i="1"/>
  <c r="AI118" i="1"/>
  <c r="BA118" i="1" s="1"/>
  <c r="AJ118" i="1"/>
  <c r="AK118" i="1"/>
  <c r="AL118" i="1"/>
  <c r="AE119" i="1"/>
  <c r="AN119" i="1" s="1"/>
  <c r="AF119" i="1"/>
  <c r="AG119" i="1"/>
  <c r="AH119" i="1"/>
  <c r="AI119" i="1"/>
  <c r="AJ119" i="1"/>
  <c r="AK119" i="1"/>
  <c r="AL119" i="1"/>
  <c r="AE120" i="1"/>
  <c r="AN120" i="1" s="1"/>
  <c r="AF120" i="1"/>
  <c r="AG120" i="1"/>
  <c r="AH120" i="1"/>
  <c r="AI120" i="1"/>
  <c r="AJ120" i="1"/>
  <c r="AK120" i="1"/>
  <c r="AL120" i="1"/>
  <c r="AE121" i="1"/>
  <c r="AN121" i="1" s="1"/>
  <c r="AF121" i="1"/>
  <c r="AX121" i="1" s="1"/>
  <c r="AG121" i="1"/>
  <c r="AH121" i="1"/>
  <c r="AI121" i="1"/>
  <c r="AJ121" i="1"/>
  <c r="AK121" i="1"/>
  <c r="AL121" i="1"/>
  <c r="AE122" i="1"/>
  <c r="AN122" i="1" s="1"/>
  <c r="AF122" i="1"/>
  <c r="AG122" i="1"/>
  <c r="AH122" i="1"/>
  <c r="AI122" i="1"/>
  <c r="AJ122" i="1"/>
  <c r="AK122" i="1"/>
  <c r="AL122" i="1"/>
  <c r="AE123" i="1"/>
  <c r="AN123" i="1" s="1"/>
  <c r="AF123" i="1"/>
  <c r="AG123" i="1"/>
  <c r="AH123" i="1"/>
  <c r="AI123" i="1"/>
  <c r="BA123" i="1" s="1"/>
  <c r="AJ123" i="1"/>
  <c r="AK123" i="1"/>
  <c r="AL123" i="1"/>
  <c r="AE124" i="1"/>
  <c r="AN124" i="1" s="1"/>
  <c r="AF124" i="1"/>
  <c r="AG124" i="1"/>
  <c r="AH124" i="1"/>
  <c r="AI124" i="1"/>
  <c r="AJ124" i="1"/>
  <c r="AK124" i="1"/>
  <c r="AL124" i="1"/>
  <c r="AE125" i="1"/>
  <c r="AN125" i="1" s="1"/>
  <c r="AF125" i="1"/>
  <c r="AX125" i="1" s="1"/>
  <c r="AG125" i="1"/>
  <c r="AH125" i="1"/>
  <c r="AI125" i="1"/>
  <c r="AJ125" i="1"/>
  <c r="AK125" i="1"/>
  <c r="AL125" i="1"/>
  <c r="AE126" i="1"/>
  <c r="AN126" i="1" s="1"/>
  <c r="AF126" i="1"/>
  <c r="AG126" i="1"/>
  <c r="AH126" i="1"/>
  <c r="AI126" i="1"/>
  <c r="AJ126" i="1"/>
  <c r="AK126" i="1"/>
  <c r="BC126" i="1" s="1"/>
  <c r="AL126" i="1"/>
  <c r="AE127" i="1"/>
  <c r="AN127" i="1" s="1"/>
  <c r="AF127" i="1"/>
  <c r="AG127" i="1"/>
  <c r="AH127" i="1"/>
  <c r="AI127" i="1"/>
  <c r="AJ127" i="1"/>
  <c r="AK127" i="1"/>
  <c r="AL127" i="1"/>
  <c r="AE128" i="1"/>
  <c r="AN128" i="1" s="1"/>
  <c r="AF128" i="1"/>
  <c r="AG128" i="1"/>
  <c r="AH128" i="1"/>
  <c r="AZ128" i="1" s="1"/>
  <c r="AI128" i="1"/>
  <c r="AJ128" i="1"/>
  <c r="AK128" i="1"/>
  <c r="AL128" i="1"/>
  <c r="AE129" i="1"/>
  <c r="AN129" i="1" s="1"/>
  <c r="AF129" i="1"/>
  <c r="AG129" i="1"/>
  <c r="AH129" i="1"/>
  <c r="AI129" i="1"/>
  <c r="AJ129" i="1"/>
  <c r="AK129" i="1"/>
  <c r="AL129" i="1"/>
  <c r="AE130" i="1"/>
  <c r="AN130" i="1" s="1"/>
  <c r="AF130" i="1"/>
  <c r="AG130" i="1"/>
  <c r="AH130" i="1"/>
  <c r="AI130" i="1"/>
  <c r="AJ130" i="1"/>
  <c r="AK130" i="1"/>
  <c r="AL130" i="1"/>
  <c r="AE131" i="1"/>
  <c r="AN131" i="1" s="1"/>
  <c r="AF131" i="1"/>
  <c r="AG131" i="1"/>
  <c r="AH131" i="1"/>
  <c r="AI131" i="1"/>
  <c r="BA131" i="1" s="1"/>
  <c r="AJ131" i="1"/>
  <c r="AK131" i="1"/>
  <c r="AL131" i="1"/>
  <c r="AE132" i="1"/>
  <c r="AN132" i="1" s="1"/>
  <c r="AF132" i="1"/>
  <c r="AG132" i="1"/>
  <c r="AH132" i="1"/>
  <c r="AI132" i="1"/>
  <c r="AJ132" i="1"/>
  <c r="AK132" i="1"/>
  <c r="AL132" i="1"/>
  <c r="AE133" i="1"/>
  <c r="AN133" i="1" s="1"/>
  <c r="AF133" i="1"/>
  <c r="AX133" i="1" s="1"/>
  <c r="AG133" i="1"/>
  <c r="AH133" i="1"/>
  <c r="AI133" i="1"/>
  <c r="AJ133" i="1"/>
  <c r="AK133" i="1"/>
  <c r="AL133" i="1"/>
  <c r="AE134" i="1"/>
  <c r="AN134" i="1" s="1"/>
  <c r="AF134" i="1"/>
  <c r="AG134" i="1"/>
  <c r="AH134" i="1"/>
  <c r="AI134" i="1"/>
  <c r="AJ134" i="1"/>
  <c r="AK134" i="1"/>
  <c r="BC134" i="1" s="1"/>
  <c r="AL134" i="1"/>
  <c r="AE135" i="1"/>
  <c r="AN135" i="1" s="1"/>
  <c r="AF135" i="1"/>
  <c r="AG135" i="1"/>
  <c r="AH135" i="1"/>
  <c r="AI135" i="1"/>
  <c r="AJ135" i="1"/>
  <c r="AK135" i="1"/>
  <c r="AL135" i="1"/>
  <c r="AE136" i="1"/>
  <c r="AN136" i="1" s="1"/>
  <c r="AF136" i="1"/>
  <c r="AG136" i="1"/>
  <c r="AH136" i="1"/>
  <c r="AZ136" i="1" s="1"/>
  <c r="AI136" i="1"/>
  <c r="AJ136" i="1"/>
  <c r="AK136" i="1"/>
  <c r="AL136" i="1"/>
  <c r="AE137" i="1"/>
  <c r="AN137" i="1" s="1"/>
  <c r="AF137" i="1"/>
  <c r="AG137" i="1"/>
  <c r="AH137" i="1"/>
  <c r="AI137" i="1"/>
  <c r="AJ137" i="1"/>
  <c r="AK137" i="1"/>
  <c r="AL137" i="1"/>
  <c r="AE138" i="1"/>
  <c r="AN138" i="1" s="1"/>
  <c r="AF138" i="1"/>
  <c r="AG138" i="1"/>
  <c r="AH138" i="1"/>
  <c r="AI138" i="1"/>
  <c r="AJ138" i="1"/>
  <c r="AK138" i="1"/>
  <c r="AL138" i="1"/>
  <c r="AE139" i="1"/>
  <c r="AN139" i="1" s="1"/>
  <c r="AF139" i="1"/>
  <c r="AG139" i="1"/>
  <c r="AP139" i="1" s="1"/>
  <c r="AH139" i="1"/>
  <c r="AI139" i="1"/>
  <c r="AR139" i="1" s="1"/>
  <c r="AJ139" i="1"/>
  <c r="AK139" i="1"/>
  <c r="AL139" i="1"/>
  <c r="AE140" i="1"/>
  <c r="AN140" i="1" s="1"/>
  <c r="AF140" i="1"/>
  <c r="AG140" i="1"/>
  <c r="AP140" i="1" s="1"/>
  <c r="AH140" i="1"/>
  <c r="AI140" i="1"/>
  <c r="AR140" i="1" s="1"/>
  <c r="AJ140" i="1"/>
  <c r="AK140" i="1"/>
  <c r="AL140" i="1"/>
  <c r="AE141" i="1"/>
  <c r="AN141" i="1" s="1"/>
  <c r="AF141" i="1"/>
  <c r="AX141" i="1" s="1"/>
  <c r="AG141" i="1"/>
  <c r="AP141" i="1" s="1"/>
  <c r="AH141" i="1"/>
  <c r="AI141" i="1"/>
  <c r="AR141" i="1" s="1"/>
  <c r="AJ141" i="1"/>
  <c r="AK141" i="1"/>
  <c r="AL141" i="1"/>
  <c r="AE142" i="1"/>
  <c r="AN142" i="1" s="1"/>
  <c r="AF142" i="1"/>
  <c r="AG142" i="1"/>
  <c r="AP142" i="1" s="1"/>
  <c r="AH142" i="1"/>
  <c r="AI142" i="1"/>
  <c r="AR142" i="1" s="1"/>
  <c r="AJ142" i="1"/>
  <c r="AK142" i="1"/>
  <c r="BC142" i="1" s="1"/>
  <c r="AL142" i="1"/>
  <c r="AE143" i="1"/>
  <c r="AN143" i="1" s="1"/>
  <c r="AF143" i="1"/>
  <c r="AG143" i="1"/>
  <c r="AP143" i="1" s="1"/>
  <c r="AH143" i="1"/>
  <c r="AI143" i="1"/>
  <c r="AR143" i="1" s="1"/>
  <c r="AJ143" i="1"/>
  <c r="AK143" i="1"/>
  <c r="AL143" i="1"/>
  <c r="AE144" i="1"/>
  <c r="AN144" i="1" s="1"/>
  <c r="AF144" i="1"/>
  <c r="AG144" i="1"/>
  <c r="AP144" i="1" s="1"/>
  <c r="AH144" i="1"/>
  <c r="AZ144" i="1" s="1"/>
  <c r="AI144" i="1"/>
  <c r="AR144" i="1" s="1"/>
  <c r="AJ144" i="1"/>
  <c r="AK144" i="1"/>
  <c r="AL144" i="1"/>
  <c r="AE145" i="1"/>
  <c r="AN145" i="1" s="1"/>
  <c r="AF145" i="1"/>
  <c r="AG145" i="1"/>
  <c r="AP145" i="1" s="1"/>
  <c r="AH145" i="1"/>
  <c r="AI145" i="1"/>
  <c r="AR145" i="1" s="1"/>
  <c r="AJ145" i="1"/>
  <c r="AK145" i="1"/>
  <c r="AL145" i="1"/>
  <c r="AE146" i="1"/>
  <c r="AW146" i="1" s="1"/>
  <c r="AF146" i="1"/>
  <c r="AG146" i="1"/>
  <c r="AP146" i="1" s="1"/>
  <c r="AH146" i="1"/>
  <c r="AI146" i="1"/>
  <c r="AR146" i="1" s="1"/>
  <c r="AJ146" i="1"/>
  <c r="AK146" i="1"/>
  <c r="AL146" i="1"/>
  <c r="AE147" i="1"/>
  <c r="AN147" i="1" s="1"/>
  <c r="AF147" i="1"/>
  <c r="AG147" i="1"/>
  <c r="AP147" i="1" s="1"/>
  <c r="AH147" i="1"/>
  <c r="AI147" i="1"/>
  <c r="BA147" i="1" s="1"/>
  <c r="AJ147" i="1"/>
  <c r="AK147" i="1"/>
  <c r="AL147" i="1"/>
  <c r="AE148" i="1"/>
  <c r="AN148" i="1" s="1"/>
  <c r="AF148" i="1"/>
  <c r="AG148" i="1"/>
  <c r="AP148" i="1" s="1"/>
  <c r="AH148" i="1"/>
  <c r="AI148" i="1"/>
  <c r="AR148" i="1" s="1"/>
  <c r="AJ148" i="1"/>
  <c r="AK148" i="1"/>
  <c r="AL148" i="1"/>
  <c r="AE149" i="1"/>
  <c r="AN149" i="1" s="1"/>
  <c r="AF149" i="1"/>
  <c r="AX149" i="1" s="1"/>
  <c r="AG149" i="1"/>
  <c r="AP149" i="1" s="1"/>
  <c r="AH149" i="1"/>
  <c r="AI149" i="1"/>
  <c r="AR149" i="1" s="1"/>
  <c r="AJ149" i="1"/>
  <c r="AK149" i="1"/>
  <c r="AL149" i="1"/>
  <c r="AE150" i="1"/>
  <c r="AN150" i="1" s="1"/>
  <c r="AF150" i="1"/>
  <c r="AG150" i="1"/>
  <c r="AP150" i="1" s="1"/>
  <c r="AH150" i="1"/>
  <c r="AI150" i="1"/>
  <c r="AR150" i="1" s="1"/>
  <c r="AJ150" i="1"/>
  <c r="AK150" i="1"/>
  <c r="BC150" i="1" s="1"/>
  <c r="AL150" i="1"/>
  <c r="AE151" i="1"/>
  <c r="AN151" i="1" s="1"/>
  <c r="AF151" i="1"/>
  <c r="AG151" i="1"/>
  <c r="AP151" i="1" s="1"/>
  <c r="AH151" i="1"/>
  <c r="AI151" i="1"/>
  <c r="AR151" i="1" s="1"/>
  <c r="AJ151" i="1"/>
  <c r="AK151" i="1"/>
  <c r="AL151" i="1"/>
  <c r="AE152" i="1"/>
  <c r="AN152" i="1" s="1"/>
  <c r="AF152" i="1"/>
  <c r="AG152" i="1"/>
  <c r="AP152" i="1" s="1"/>
  <c r="AH152" i="1"/>
  <c r="AZ152" i="1" s="1"/>
  <c r="AI152" i="1"/>
  <c r="AR152" i="1" s="1"/>
  <c r="AJ152" i="1"/>
  <c r="AK152" i="1"/>
  <c r="AL152" i="1"/>
  <c r="AE153" i="1"/>
  <c r="AN153" i="1" s="1"/>
  <c r="AF153" i="1"/>
  <c r="AG153" i="1"/>
  <c r="AP153" i="1" s="1"/>
  <c r="AH153" i="1"/>
  <c r="AI153" i="1"/>
  <c r="AR153" i="1" s="1"/>
  <c r="AJ153" i="1"/>
  <c r="AK153" i="1"/>
  <c r="AL153" i="1"/>
  <c r="AE154" i="1"/>
  <c r="AN154" i="1" s="1"/>
  <c r="AF154" i="1"/>
  <c r="AG154" i="1"/>
  <c r="AP154" i="1" s="1"/>
  <c r="AH154" i="1"/>
  <c r="AI154" i="1"/>
  <c r="AR154" i="1" s="1"/>
  <c r="AJ154" i="1"/>
  <c r="AK154" i="1"/>
  <c r="AL154" i="1"/>
  <c r="AE155" i="1"/>
  <c r="AN155" i="1" s="1"/>
  <c r="AF155" i="1"/>
  <c r="AG155" i="1"/>
  <c r="AP155" i="1" s="1"/>
  <c r="AH155" i="1"/>
  <c r="AI155" i="1"/>
  <c r="BA155" i="1" s="1"/>
  <c r="AJ155" i="1"/>
  <c r="AK155" i="1"/>
  <c r="AL155" i="1"/>
  <c r="AE156" i="1"/>
  <c r="AN156" i="1" s="1"/>
  <c r="AF156" i="1"/>
  <c r="AG156" i="1"/>
  <c r="AP156" i="1" s="1"/>
  <c r="AH156" i="1"/>
  <c r="AI156" i="1"/>
  <c r="AR156" i="1" s="1"/>
  <c r="AJ156" i="1"/>
  <c r="AK156" i="1"/>
  <c r="AL156" i="1"/>
  <c r="AE157" i="1"/>
  <c r="AN157" i="1" s="1"/>
  <c r="AF157" i="1"/>
  <c r="AX157" i="1" s="1"/>
  <c r="AG157" i="1"/>
  <c r="AP157" i="1" s="1"/>
  <c r="AH157" i="1"/>
  <c r="AI157" i="1"/>
  <c r="AR157" i="1" s="1"/>
  <c r="AJ157" i="1"/>
  <c r="AK157" i="1"/>
  <c r="AL157" i="1"/>
  <c r="AE158" i="1"/>
  <c r="AN158" i="1" s="1"/>
  <c r="AF158" i="1"/>
  <c r="AG158" i="1"/>
  <c r="AP158" i="1" s="1"/>
  <c r="AH158" i="1"/>
  <c r="AI158" i="1"/>
  <c r="AR158" i="1" s="1"/>
  <c r="AJ158" i="1"/>
  <c r="AK158" i="1"/>
  <c r="AL158" i="1"/>
  <c r="AE159" i="1"/>
  <c r="AN159" i="1" s="1"/>
  <c r="AF159" i="1"/>
  <c r="AG159" i="1"/>
  <c r="AP159" i="1" s="1"/>
  <c r="AH159" i="1"/>
  <c r="AI159" i="1"/>
  <c r="AR159" i="1" s="1"/>
  <c r="AJ159" i="1"/>
  <c r="AK159" i="1"/>
  <c r="AL159" i="1"/>
  <c r="AE160" i="1"/>
  <c r="AN160" i="1" s="1"/>
  <c r="AF160" i="1"/>
  <c r="AO160" i="1" s="1"/>
  <c r="AG160" i="1"/>
  <c r="AP160" i="1" s="1"/>
  <c r="AH160" i="1"/>
  <c r="AQ160" i="1" s="1"/>
  <c r="AI160" i="1"/>
  <c r="AR160" i="1" s="1"/>
  <c r="AJ160" i="1"/>
  <c r="AS160" i="1" s="1"/>
  <c r="AK160" i="1"/>
  <c r="AT160" i="1" s="1"/>
  <c r="AL160" i="1"/>
  <c r="AU160" i="1" s="1"/>
  <c r="AE161" i="1"/>
  <c r="AN161" i="1" s="1"/>
  <c r="AF161" i="1"/>
  <c r="AO161" i="1" s="1"/>
  <c r="AG161" i="1"/>
  <c r="AP161" i="1" s="1"/>
  <c r="AH161" i="1"/>
  <c r="AQ161" i="1" s="1"/>
  <c r="AI161" i="1"/>
  <c r="AR161" i="1" s="1"/>
  <c r="AJ161" i="1"/>
  <c r="AS161" i="1" s="1"/>
  <c r="AK161" i="1"/>
  <c r="AT161" i="1" s="1"/>
  <c r="AL161" i="1"/>
  <c r="AU161" i="1" s="1"/>
  <c r="AE162" i="1"/>
  <c r="AN162" i="1" s="1"/>
  <c r="AF162" i="1"/>
  <c r="AO162" i="1" s="1"/>
  <c r="AG162" i="1"/>
  <c r="AP162" i="1" s="1"/>
  <c r="AH162" i="1"/>
  <c r="AQ162" i="1" s="1"/>
  <c r="AI162" i="1"/>
  <c r="AR162" i="1" s="1"/>
  <c r="AJ162" i="1"/>
  <c r="AS162" i="1" s="1"/>
  <c r="AK162" i="1"/>
  <c r="AT162" i="1" s="1"/>
  <c r="AL162" i="1"/>
  <c r="AU162" i="1" s="1"/>
  <c r="AE163" i="1"/>
  <c r="AN163" i="1" s="1"/>
  <c r="AF163" i="1"/>
  <c r="AO163" i="1" s="1"/>
  <c r="AG163" i="1"/>
  <c r="AP163" i="1" s="1"/>
  <c r="AH163" i="1"/>
  <c r="AQ163" i="1" s="1"/>
  <c r="AI163" i="1"/>
  <c r="AR163" i="1" s="1"/>
  <c r="AJ163" i="1"/>
  <c r="AS163" i="1" s="1"/>
  <c r="AK163" i="1"/>
  <c r="AT163" i="1" s="1"/>
  <c r="AL163" i="1"/>
  <c r="AU163" i="1" s="1"/>
  <c r="AE164" i="1"/>
  <c r="AN164" i="1" s="1"/>
  <c r="AF164" i="1"/>
  <c r="AO164" i="1" s="1"/>
  <c r="AG164" i="1"/>
  <c r="AP164" i="1" s="1"/>
  <c r="AH164" i="1"/>
  <c r="AQ164" i="1" s="1"/>
  <c r="AI164" i="1"/>
  <c r="AR164" i="1" s="1"/>
  <c r="AJ164" i="1"/>
  <c r="AS164" i="1" s="1"/>
  <c r="AK164" i="1"/>
  <c r="AT164" i="1" s="1"/>
  <c r="AL164" i="1"/>
  <c r="AU164" i="1" s="1"/>
  <c r="AE165" i="1"/>
  <c r="AN165" i="1" s="1"/>
  <c r="AF165" i="1"/>
  <c r="AO165" i="1" s="1"/>
  <c r="AG165" i="1"/>
  <c r="AP165" i="1" s="1"/>
  <c r="AH165" i="1"/>
  <c r="AQ165" i="1" s="1"/>
  <c r="AI165" i="1"/>
  <c r="AR165" i="1" s="1"/>
  <c r="AJ165" i="1"/>
  <c r="AS165" i="1" s="1"/>
  <c r="AK165" i="1"/>
  <c r="AT165" i="1" s="1"/>
  <c r="AL165" i="1"/>
  <c r="AU165" i="1" s="1"/>
  <c r="AE166" i="1"/>
  <c r="AN166" i="1" s="1"/>
  <c r="AF166" i="1"/>
  <c r="AO166" i="1" s="1"/>
  <c r="AG166" i="1"/>
  <c r="AP166" i="1" s="1"/>
  <c r="AH166" i="1"/>
  <c r="AQ166" i="1" s="1"/>
  <c r="AI166" i="1"/>
  <c r="AR166" i="1" s="1"/>
  <c r="AJ166" i="1"/>
  <c r="AS166" i="1" s="1"/>
  <c r="AK166" i="1"/>
  <c r="AT166" i="1" s="1"/>
  <c r="AL166" i="1"/>
  <c r="AU166" i="1" s="1"/>
  <c r="AE167" i="1"/>
  <c r="AN167" i="1" s="1"/>
  <c r="AF167" i="1"/>
  <c r="AO167" i="1" s="1"/>
  <c r="AG167" i="1"/>
  <c r="AP167" i="1" s="1"/>
  <c r="AH167" i="1"/>
  <c r="AQ167" i="1" s="1"/>
  <c r="AI167" i="1"/>
  <c r="AR167" i="1" s="1"/>
  <c r="AJ167" i="1"/>
  <c r="AS167" i="1" s="1"/>
  <c r="AK167" i="1"/>
  <c r="AT167" i="1" s="1"/>
  <c r="AL167" i="1"/>
  <c r="AU167" i="1" s="1"/>
  <c r="AE168" i="1"/>
  <c r="AN168" i="1" s="1"/>
  <c r="AF168" i="1"/>
  <c r="AO168" i="1" s="1"/>
  <c r="AG168" i="1"/>
  <c r="AP168" i="1" s="1"/>
  <c r="AH168" i="1"/>
  <c r="AQ168" i="1" s="1"/>
  <c r="AI168" i="1"/>
  <c r="AR168" i="1" s="1"/>
  <c r="AJ168" i="1"/>
  <c r="AS168" i="1" s="1"/>
  <c r="AK168" i="1"/>
  <c r="AT168" i="1" s="1"/>
  <c r="AL168" i="1"/>
  <c r="AU168" i="1" s="1"/>
  <c r="AE169" i="1"/>
  <c r="AN169" i="1" s="1"/>
  <c r="AF169" i="1"/>
  <c r="AO169" i="1" s="1"/>
  <c r="AG169" i="1"/>
  <c r="AP169" i="1" s="1"/>
  <c r="AH169" i="1"/>
  <c r="AQ169" i="1" s="1"/>
  <c r="AI169" i="1"/>
  <c r="AR169" i="1" s="1"/>
  <c r="AJ169" i="1"/>
  <c r="AS169" i="1" s="1"/>
  <c r="AK169" i="1"/>
  <c r="AT169" i="1" s="1"/>
  <c r="AL169" i="1"/>
  <c r="AU169" i="1" s="1"/>
  <c r="AE170" i="1"/>
  <c r="AN170" i="1" s="1"/>
  <c r="AF170" i="1"/>
  <c r="AO170" i="1" s="1"/>
  <c r="AG170" i="1"/>
  <c r="AP170" i="1" s="1"/>
  <c r="AH170" i="1"/>
  <c r="AQ170" i="1" s="1"/>
  <c r="AI170" i="1"/>
  <c r="AR170" i="1" s="1"/>
  <c r="AJ170" i="1"/>
  <c r="AS170" i="1" s="1"/>
  <c r="AK170" i="1"/>
  <c r="AT170" i="1" s="1"/>
  <c r="AL170" i="1"/>
  <c r="AU170" i="1" s="1"/>
  <c r="AE171" i="1"/>
  <c r="AN171" i="1" s="1"/>
  <c r="AF171" i="1"/>
  <c r="AO171" i="1" s="1"/>
  <c r="AG171" i="1"/>
  <c r="AP171" i="1" s="1"/>
  <c r="AH171" i="1"/>
  <c r="AQ171" i="1" s="1"/>
  <c r="AI171" i="1"/>
  <c r="AR171" i="1" s="1"/>
  <c r="AJ171" i="1"/>
  <c r="AS171" i="1" s="1"/>
  <c r="AK171" i="1"/>
  <c r="AT171" i="1" s="1"/>
  <c r="AL171" i="1"/>
  <c r="AU171" i="1" s="1"/>
  <c r="AE172" i="1"/>
  <c r="AN172" i="1" s="1"/>
  <c r="AF172" i="1"/>
  <c r="AO172" i="1" s="1"/>
  <c r="AG172" i="1"/>
  <c r="AP172" i="1" s="1"/>
  <c r="AH172" i="1"/>
  <c r="AQ172" i="1" s="1"/>
  <c r="AI172" i="1"/>
  <c r="AR172" i="1" s="1"/>
  <c r="AJ172" i="1"/>
  <c r="AS172" i="1" s="1"/>
  <c r="AK172" i="1"/>
  <c r="AT172" i="1" s="1"/>
  <c r="AL172" i="1"/>
  <c r="AU172" i="1" s="1"/>
  <c r="AE173" i="1"/>
  <c r="AN173" i="1" s="1"/>
  <c r="AF173" i="1"/>
  <c r="AO173" i="1" s="1"/>
  <c r="AG173" i="1"/>
  <c r="AP173" i="1" s="1"/>
  <c r="AH173" i="1"/>
  <c r="AQ173" i="1" s="1"/>
  <c r="AI173" i="1"/>
  <c r="AR173" i="1" s="1"/>
  <c r="AJ173" i="1"/>
  <c r="AS173" i="1" s="1"/>
  <c r="AK173" i="1"/>
  <c r="AT173" i="1" s="1"/>
  <c r="AL173" i="1"/>
  <c r="AU173" i="1" s="1"/>
  <c r="AE174" i="1"/>
  <c r="AN174" i="1" s="1"/>
  <c r="AF174" i="1"/>
  <c r="AO174" i="1" s="1"/>
  <c r="AG174" i="1"/>
  <c r="AP174" i="1" s="1"/>
  <c r="AH174" i="1"/>
  <c r="AQ174" i="1" s="1"/>
  <c r="AI174" i="1"/>
  <c r="AR174" i="1" s="1"/>
  <c r="AJ174" i="1"/>
  <c r="AS174" i="1" s="1"/>
  <c r="AK174" i="1"/>
  <c r="AT174" i="1" s="1"/>
  <c r="AL174" i="1"/>
  <c r="AU174" i="1" s="1"/>
  <c r="AE175" i="1"/>
  <c r="AN175" i="1" s="1"/>
  <c r="AF175" i="1"/>
  <c r="AO175" i="1" s="1"/>
  <c r="AG175" i="1"/>
  <c r="AP175" i="1" s="1"/>
  <c r="AH175" i="1"/>
  <c r="AQ175" i="1" s="1"/>
  <c r="AI175" i="1"/>
  <c r="AR175" i="1" s="1"/>
  <c r="AJ175" i="1"/>
  <c r="AS175" i="1" s="1"/>
  <c r="AK175" i="1"/>
  <c r="AT175" i="1" s="1"/>
  <c r="AL175" i="1"/>
  <c r="AU175" i="1" s="1"/>
  <c r="AE176" i="1"/>
  <c r="AN176" i="1" s="1"/>
  <c r="AF176" i="1"/>
  <c r="AO176" i="1" s="1"/>
  <c r="AG176" i="1"/>
  <c r="AP176" i="1" s="1"/>
  <c r="AH176" i="1"/>
  <c r="AQ176" i="1" s="1"/>
  <c r="AI176" i="1"/>
  <c r="AR176" i="1" s="1"/>
  <c r="AJ176" i="1"/>
  <c r="AS176" i="1" s="1"/>
  <c r="AK176" i="1"/>
  <c r="AT176" i="1" s="1"/>
  <c r="AL176" i="1"/>
  <c r="AU176" i="1" s="1"/>
  <c r="AE177" i="1"/>
  <c r="AN177" i="1" s="1"/>
  <c r="AF177" i="1"/>
  <c r="AO177" i="1" s="1"/>
  <c r="AG177" i="1"/>
  <c r="AP177" i="1" s="1"/>
  <c r="AH177" i="1"/>
  <c r="AQ177" i="1" s="1"/>
  <c r="AI177" i="1"/>
  <c r="AR177" i="1" s="1"/>
  <c r="AJ177" i="1"/>
  <c r="AS177" i="1" s="1"/>
  <c r="AK177" i="1"/>
  <c r="AT177" i="1" s="1"/>
  <c r="AL177" i="1"/>
  <c r="AU177" i="1" s="1"/>
  <c r="AE178" i="1"/>
  <c r="AN178" i="1" s="1"/>
  <c r="AF178" i="1"/>
  <c r="AO178" i="1" s="1"/>
  <c r="AG178" i="1"/>
  <c r="AP178" i="1" s="1"/>
  <c r="AH178" i="1"/>
  <c r="AQ178" i="1" s="1"/>
  <c r="AI178" i="1"/>
  <c r="AR178" i="1" s="1"/>
  <c r="AJ178" i="1"/>
  <c r="AS178" i="1" s="1"/>
  <c r="AK178" i="1"/>
  <c r="AT178" i="1" s="1"/>
  <c r="AL178" i="1"/>
  <c r="AU178" i="1" s="1"/>
  <c r="AF3" i="1"/>
  <c r="AO3" i="1" s="1"/>
  <c r="AG3" i="1"/>
  <c r="AP3" i="1" s="1"/>
  <c r="AH3" i="1"/>
  <c r="AQ3" i="1" s="1"/>
  <c r="AI3" i="1"/>
  <c r="AR3" i="1" s="1"/>
  <c r="AJ3" i="1"/>
  <c r="AS3" i="1" s="1"/>
  <c r="AK3" i="1"/>
  <c r="AT3" i="1" s="1"/>
  <c r="AL3" i="1"/>
  <c r="AU3" i="1" s="1"/>
  <c r="M3" i="1"/>
  <c r="B10" i="3" l="1"/>
  <c r="B11" i="3" s="1"/>
  <c r="AW175" i="1"/>
  <c r="AW176" i="1"/>
  <c r="AW168" i="1"/>
  <c r="AW167" i="1"/>
  <c r="AW160" i="1"/>
  <c r="AQ136" i="1"/>
  <c r="AY157" i="1"/>
  <c r="AR123" i="1"/>
  <c r="AW138" i="1"/>
  <c r="AW130" i="1"/>
  <c r="AR102" i="1"/>
  <c r="AW174" i="1"/>
  <c r="AW166" i="1"/>
  <c r="BA154" i="1"/>
  <c r="AW122" i="1"/>
  <c r="AS4" i="1"/>
  <c r="AW173" i="1"/>
  <c r="AW165" i="1"/>
  <c r="AW152" i="1"/>
  <c r="AW114" i="1"/>
  <c r="AW172" i="1"/>
  <c r="AW164" i="1"/>
  <c r="AY149" i="1"/>
  <c r="AW106" i="1"/>
  <c r="AX3" i="1"/>
  <c r="AW171" i="1"/>
  <c r="AW163" i="1"/>
  <c r="BA146" i="1"/>
  <c r="AW98" i="1"/>
  <c r="AW178" i="1"/>
  <c r="AW170" i="1"/>
  <c r="AW162" i="1"/>
  <c r="AW144" i="1"/>
  <c r="AW90" i="1"/>
  <c r="AW177" i="1"/>
  <c r="AW169" i="1"/>
  <c r="AW161" i="1"/>
  <c r="AY141" i="1"/>
  <c r="BC58" i="1"/>
  <c r="AP138" i="1"/>
  <c r="AY138" i="1"/>
  <c r="AP137" i="1"/>
  <c r="AY137" i="1"/>
  <c r="AP136" i="1"/>
  <c r="AY136" i="1"/>
  <c r="AP135" i="1"/>
  <c r="AY135" i="1"/>
  <c r="AP134" i="1"/>
  <c r="AY134" i="1"/>
  <c r="AP133" i="1"/>
  <c r="AY133" i="1"/>
  <c r="AP132" i="1"/>
  <c r="AY132" i="1"/>
  <c r="AP131" i="1"/>
  <c r="AY131" i="1"/>
  <c r="AP130" i="1"/>
  <c r="AY130" i="1"/>
  <c r="AP129" i="1"/>
  <c r="AY129" i="1"/>
  <c r="AP128" i="1"/>
  <c r="AY128" i="1"/>
  <c r="AP127" i="1"/>
  <c r="AY127" i="1"/>
  <c r="AP126" i="1"/>
  <c r="AY126" i="1"/>
  <c r="AP125" i="1"/>
  <c r="AY125" i="1"/>
  <c r="AP124" i="1"/>
  <c r="AY124" i="1"/>
  <c r="AP123" i="1"/>
  <c r="AY123" i="1"/>
  <c r="AP122" i="1"/>
  <c r="AY122" i="1"/>
  <c r="AP121" i="1"/>
  <c r="AY121" i="1"/>
  <c r="AP120" i="1"/>
  <c r="AY120" i="1"/>
  <c r="AP119" i="1"/>
  <c r="AY119" i="1"/>
  <c r="AP118" i="1"/>
  <c r="AY118" i="1"/>
  <c r="AP117" i="1"/>
  <c r="AY117" i="1"/>
  <c r="AP116" i="1"/>
  <c r="AY116" i="1"/>
  <c r="AP115" i="1"/>
  <c r="AY115" i="1"/>
  <c r="AP114" i="1"/>
  <c r="AY114" i="1"/>
  <c r="AP113" i="1"/>
  <c r="AY113" i="1"/>
  <c r="AP112" i="1"/>
  <c r="AY112" i="1"/>
  <c r="AP111" i="1"/>
  <c r="AY111" i="1"/>
  <c r="AP110" i="1"/>
  <c r="AY110" i="1"/>
  <c r="AP109" i="1"/>
  <c r="AY109" i="1"/>
  <c r="AP108" i="1"/>
  <c r="AY108" i="1"/>
  <c r="AP107" i="1"/>
  <c r="AY107" i="1"/>
  <c r="AP106" i="1"/>
  <c r="AY106" i="1"/>
  <c r="AP105" i="1"/>
  <c r="AY105" i="1"/>
  <c r="AP104" i="1"/>
  <c r="AY104" i="1"/>
  <c r="AP103" i="1"/>
  <c r="AY103" i="1"/>
  <c r="AP102" i="1"/>
  <c r="AY102" i="1"/>
  <c r="AP101" i="1"/>
  <c r="AY101" i="1"/>
  <c r="AP100" i="1"/>
  <c r="AY100" i="1"/>
  <c r="AP99" i="1"/>
  <c r="AY99" i="1"/>
  <c r="AP98" i="1"/>
  <c r="AY98" i="1"/>
  <c r="AP97" i="1"/>
  <c r="AY97" i="1"/>
  <c r="AP96" i="1"/>
  <c r="AY96" i="1"/>
  <c r="AP95" i="1"/>
  <c r="AY95" i="1"/>
  <c r="AP94" i="1"/>
  <c r="AY94" i="1"/>
  <c r="AP93" i="1"/>
  <c r="AY93" i="1"/>
  <c r="AP92" i="1"/>
  <c r="AY92" i="1"/>
  <c r="AP91" i="1"/>
  <c r="AY91" i="1"/>
  <c r="AP90" i="1"/>
  <c r="AY90" i="1"/>
  <c r="AP89" i="1"/>
  <c r="AY89" i="1"/>
  <c r="AP88" i="1"/>
  <c r="AY88" i="1"/>
  <c r="AP87" i="1"/>
  <c r="AY87" i="1"/>
  <c r="AP86" i="1"/>
  <c r="AY86" i="1"/>
  <c r="AP85" i="1"/>
  <c r="AY85" i="1"/>
  <c r="AP84" i="1"/>
  <c r="AY84" i="1"/>
  <c r="AP83" i="1"/>
  <c r="AY83" i="1"/>
  <c r="AP82" i="1"/>
  <c r="AY82" i="1"/>
  <c r="AP81" i="1"/>
  <c r="AY81" i="1"/>
  <c r="AP80" i="1"/>
  <c r="AY80" i="1"/>
  <c r="AP79" i="1"/>
  <c r="AY79" i="1"/>
  <c r="AP78" i="1"/>
  <c r="AY78" i="1"/>
  <c r="AP77" i="1"/>
  <c r="AY77" i="1"/>
  <c r="AP76" i="1"/>
  <c r="AY76" i="1"/>
  <c r="AP75" i="1"/>
  <c r="AY75" i="1"/>
  <c r="AP74" i="1"/>
  <c r="AY74" i="1"/>
  <c r="AP73" i="1"/>
  <c r="AY73" i="1"/>
  <c r="AP72" i="1"/>
  <c r="AY72" i="1"/>
  <c r="AP71" i="1"/>
  <c r="AY71" i="1"/>
  <c r="AP70" i="1"/>
  <c r="AY70" i="1"/>
  <c r="AP69" i="1"/>
  <c r="AY69" i="1"/>
  <c r="AP68" i="1"/>
  <c r="AY68" i="1"/>
  <c r="AP67" i="1"/>
  <c r="AY67" i="1"/>
  <c r="AP66" i="1"/>
  <c r="AY66" i="1"/>
  <c r="AP65" i="1"/>
  <c r="AY65" i="1"/>
  <c r="AP64" i="1"/>
  <c r="AY64" i="1"/>
  <c r="AP63" i="1"/>
  <c r="AY63" i="1"/>
  <c r="AP62" i="1"/>
  <c r="AY62" i="1"/>
  <c r="AP61" i="1"/>
  <c r="AY61" i="1"/>
  <c r="AP60" i="1"/>
  <c r="AY60" i="1"/>
  <c r="AP59" i="1"/>
  <c r="AY59" i="1"/>
  <c r="AP58" i="1"/>
  <c r="AY58" i="1"/>
  <c r="AP57" i="1"/>
  <c r="AY57" i="1"/>
  <c r="AP56" i="1"/>
  <c r="AY56" i="1"/>
  <c r="AP55" i="1"/>
  <c r="AY55" i="1"/>
  <c r="AP54" i="1"/>
  <c r="AY54" i="1"/>
  <c r="AP53" i="1"/>
  <c r="AY53" i="1"/>
  <c r="AP52" i="1"/>
  <c r="AY52" i="1"/>
  <c r="AP51" i="1"/>
  <c r="AY51" i="1"/>
  <c r="AP50" i="1"/>
  <c r="AY50" i="1"/>
  <c r="AP49" i="1"/>
  <c r="AY49" i="1"/>
  <c r="AP48" i="1"/>
  <c r="AY48" i="1"/>
  <c r="AP47" i="1"/>
  <c r="AY47" i="1"/>
  <c r="AP46" i="1"/>
  <c r="AY46" i="1"/>
  <c r="AP45" i="1"/>
  <c r="AY45" i="1"/>
  <c r="AP44" i="1"/>
  <c r="AY44" i="1"/>
  <c r="AP43" i="1"/>
  <c r="AY43" i="1"/>
  <c r="AP42" i="1"/>
  <c r="AY42" i="1"/>
  <c r="AP41" i="1"/>
  <c r="AY41" i="1"/>
  <c r="AP40" i="1"/>
  <c r="AY40" i="1"/>
  <c r="AP39" i="1"/>
  <c r="AY39" i="1"/>
  <c r="AP38" i="1"/>
  <c r="AY38" i="1"/>
  <c r="AP37" i="1"/>
  <c r="AY37" i="1"/>
  <c r="AP36" i="1"/>
  <c r="AY36" i="1"/>
  <c r="AP35" i="1"/>
  <c r="AY35" i="1"/>
  <c r="AP34" i="1"/>
  <c r="AY34" i="1"/>
  <c r="AP33" i="1"/>
  <c r="AY33" i="1"/>
  <c r="AP32" i="1"/>
  <c r="AY32" i="1"/>
  <c r="AP31" i="1"/>
  <c r="AY31" i="1"/>
  <c r="AP30" i="1"/>
  <c r="AY30" i="1"/>
  <c r="AP29" i="1"/>
  <c r="AY29" i="1"/>
  <c r="AP28" i="1"/>
  <c r="AY28" i="1"/>
  <c r="AP27" i="1"/>
  <c r="AY27" i="1"/>
  <c r="AP26" i="1"/>
  <c r="AY26" i="1"/>
  <c r="AP25" i="1"/>
  <c r="AY25" i="1"/>
  <c r="AP24" i="1"/>
  <c r="AY24" i="1"/>
  <c r="AP23" i="1"/>
  <c r="AY23" i="1"/>
  <c r="AP22" i="1"/>
  <c r="AY22" i="1"/>
  <c r="AP21" i="1"/>
  <c r="AY21" i="1"/>
  <c r="AP20" i="1"/>
  <c r="AY20" i="1"/>
  <c r="AP19" i="1"/>
  <c r="AY19" i="1"/>
  <c r="AP18" i="1"/>
  <c r="AY18" i="1"/>
  <c r="AP17" i="1"/>
  <c r="AY17" i="1"/>
  <c r="AP16" i="1"/>
  <c r="AY16" i="1"/>
  <c r="AO15" i="1"/>
  <c r="AX15" i="1"/>
  <c r="AO14" i="1"/>
  <c r="AX14" i="1"/>
  <c r="AO13" i="1"/>
  <c r="AX13" i="1"/>
  <c r="AO12" i="1"/>
  <c r="AX12" i="1"/>
  <c r="AO11" i="1"/>
  <c r="AX11" i="1"/>
  <c r="AO10" i="1"/>
  <c r="AX10" i="1"/>
  <c r="AO9" i="1"/>
  <c r="AX9" i="1"/>
  <c r="AO8" i="1"/>
  <c r="AX8" i="1"/>
  <c r="AO7" i="1"/>
  <c r="AX7" i="1"/>
  <c r="AO6" i="1"/>
  <c r="AX6" i="1"/>
  <c r="AO5" i="1"/>
  <c r="AX5" i="1"/>
  <c r="AO4" i="1"/>
  <c r="AX4" i="1"/>
  <c r="AT150" i="1"/>
  <c r="AO125" i="1"/>
  <c r="AO105" i="1"/>
  <c r="AY3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BA157" i="1"/>
  <c r="AW155" i="1"/>
  <c r="AY152" i="1"/>
  <c r="BA149" i="1"/>
  <c r="AW147" i="1"/>
  <c r="AY144" i="1"/>
  <c r="BA141" i="1"/>
  <c r="AW139" i="1"/>
  <c r="AW131" i="1"/>
  <c r="AW123" i="1"/>
  <c r="AW115" i="1"/>
  <c r="AW107" i="1"/>
  <c r="AW99" i="1"/>
  <c r="AW91" i="1"/>
  <c r="BC65" i="1"/>
  <c r="AO156" i="1"/>
  <c r="AX156" i="1"/>
  <c r="AO151" i="1"/>
  <c r="AX151" i="1"/>
  <c r="AO147" i="1"/>
  <c r="AX147" i="1"/>
  <c r="AO142" i="1"/>
  <c r="AX142" i="1"/>
  <c r="AO138" i="1"/>
  <c r="AX138" i="1"/>
  <c r="AO134" i="1"/>
  <c r="AX134" i="1"/>
  <c r="AO129" i="1"/>
  <c r="AX129" i="1"/>
  <c r="AO124" i="1"/>
  <c r="AX124" i="1"/>
  <c r="AO120" i="1"/>
  <c r="AX120" i="1"/>
  <c r="AO115" i="1"/>
  <c r="AX115" i="1"/>
  <c r="AO100" i="1"/>
  <c r="AX100" i="1"/>
  <c r="AO95" i="1"/>
  <c r="AX95" i="1"/>
  <c r="AO92" i="1"/>
  <c r="AX92" i="1"/>
  <c r="AO86" i="1"/>
  <c r="AX86" i="1"/>
  <c r="AO80" i="1"/>
  <c r="AX80" i="1"/>
  <c r="AO73" i="1"/>
  <c r="AX73" i="1"/>
  <c r="AO66" i="1"/>
  <c r="AX66" i="1"/>
  <c r="AO59" i="1"/>
  <c r="AX59" i="1"/>
  <c r="AO53" i="1"/>
  <c r="AX53" i="1"/>
  <c r="AO48" i="1"/>
  <c r="AX48" i="1"/>
  <c r="AO41" i="1"/>
  <c r="AX41" i="1"/>
  <c r="AO37" i="1"/>
  <c r="AX37" i="1"/>
  <c r="AO35" i="1"/>
  <c r="AX35" i="1"/>
  <c r="AO30" i="1"/>
  <c r="AX30" i="1"/>
  <c r="AO25" i="1"/>
  <c r="AX25" i="1"/>
  <c r="AO21" i="1"/>
  <c r="AX21" i="1"/>
  <c r="AN9" i="1"/>
  <c r="AW9" i="1"/>
  <c r="AN4" i="1"/>
  <c r="AW4" i="1"/>
  <c r="AN88" i="1"/>
  <c r="AW88" i="1"/>
  <c r="AN87" i="1"/>
  <c r="AW87" i="1"/>
  <c r="AN86" i="1"/>
  <c r="AW86" i="1"/>
  <c r="AN85" i="1"/>
  <c r="AW85" i="1"/>
  <c r="AN84" i="1"/>
  <c r="AW84" i="1"/>
  <c r="AN83" i="1"/>
  <c r="AW83" i="1"/>
  <c r="AN82" i="1"/>
  <c r="AW82" i="1"/>
  <c r="AN81" i="1"/>
  <c r="AW81" i="1"/>
  <c r="AN80" i="1"/>
  <c r="AW80" i="1"/>
  <c r="AN79" i="1"/>
  <c r="AW79" i="1"/>
  <c r="AN78" i="1"/>
  <c r="AW78" i="1"/>
  <c r="AN77" i="1"/>
  <c r="AW77" i="1"/>
  <c r="AN76" i="1"/>
  <c r="AW76" i="1"/>
  <c r="AN75" i="1"/>
  <c r="AW75" i="1"/>
  <c r="AN74" i="1"/>
  <c r="AW74" i="1"/>
  <c r="AN73" i="1"/>
  <c r="AW73" i="1"/>
  <c r="AN72" i="1"/>
  <c r="AW72" i="1"/>
  <c r="AN71" i="1"/>
  <c r="AW71" i="1"/>
  <c r="AN70" i="1"/>
  <c r="AW70" i="1"/>
  <c r="AN69" i="1"/>
  <c r="AW69" i="1"/>
  <c r="AN68" i="1"/>
  <c r="AW68" i="1"/>
  <c r="AN67" i="1"/>
  <c r="AW67" i="1"/>
  <c r="AN66" i="1"/>
  <c r="AW66" i="1"/>
  <c r="AN65" i="1"/>
  <c r="AW65" i="1"/>
  <c r="AN64" i="1"/>
  <c r="AW64" i="1"/>
  <c r="AN63" i="1"/>
  <c r="AW63" i="1"/>
  <c r="AN62" i="1"/>
  <c r="AW62" i="1"/>
  <c r="AN61" i="1"/>
  <c r="AW61" i="1"/>
  <c r="AN60" i="1"/>
  <c r="AW60" i="1"/>
  <c r="AN59" i="1"/>
  <c r="AW59" i="1"/>
  <c r="AN58" i="1"/>
  <c r="AW58" i="1"/>
  <c r="AN57" i="1"/>
  <c r="AW57" i="1"/>
  <c r="AN56" i="1"/>
  <c r="AW56" i="1"/>
  <c r="AN55" i="1"/>
  <c r="AW55" i="1"/>
  <c r="AN54" i="1"/>
  <c r="AW54" i="1"/>
  <c r="AN53" i="1"/>
  <c r="AW53" i="1"/>
  <c r="AN52" i="1"/>
  <c r="AW52" i="1"/>
  <c r="AN51" i="1"/>
  <c r="AW51" i="1"/>
  <c r="AN50" i="1"/>
  <c r="AW50" i="1"/>
  <c r="AN49" i="1"/>
  <c r="AW49" i="1"/>
  <c r="AN48" i="1"/>
  <c r="AW48" i="1"/>
  <c r="AN47" i="1"/>
  <c r="AW47" i="1"/>
  <c r="AN46" i="1"/>
  <c r="AW46" i="1"/>
  <c r="AN45" i="1"/>
  <c r="AW45" i="1"/>
  <c r="AN44" i="1"/>
  <c r="AW44" i="1"/>
  <c r="AN43" i="1"/>
  <c r="AW43" i="1"/>
  <c r="AN42" i="1"/>
  <c r="AW42" i="1"/>
  <c r="AN41" i="1"/>
  <c r="AW41" i="1"/>
  <c r="AN40" i="1"/>
  <c r="AW40" i="1"/>
  <c r="AN39" i="1"/>
  <c r="AW39" i="1"/>
  <c r="AN38" i="1"/>
  <c r="AW38" i="1"/>
  <c r="AN37" i="1"/>
  <c r="AW37" i="1"/>
  <c r="AN36" i="1"/>
  <c r="AW36" i="1"/>
  <c r="AN35" i="1"/>
  <c r="AW35" i="1"/>
  <c r="AN34" i="1"/>
  <c r="AW34" i="1"/>
  <c r="AN33" i="1"/>
  <c r="AW33" i="1"/>
  <c r="AN32" i="1"/>
  <c r="AW32" i="1"/>
  <c r="AN31" i="1"/>
  <c r="AW31" i="1"/>
  <c r="AN30" i="1"/>
  <c r="AW30" i="1"/>
  <c r="AN29" i="1"/>
  <c r="AW29" i="1"/>
  <c r="AN28" i="1"/>
  <c r="AW28" i="1"/>
  <c r="AN27" i="1"/>
  <c r="AW27" i="1"/>
  <c r="AN26" i="1"/>
  <c r="AW26" i="1"/>
  <c r="AN25" i="1"/>
  <c r="AW25" i="1"/>
  <c r="AN24" i="1"/>
  <c r="AW24" i="1"/>
  <c r="AN23" i="1"/>
  <c r="AW23" i="1"/>
  <c r="AN22" i="1"/>
  <c r="AW22" i="1"/>
  <c r="AN21" i="1"/>
  <c r="AW21" i="1"/>
  <c r="AN20" i="1"/>
  <c r="AW20" i="1"/>
  <c r="AN19" i="1"/>
  <c r="AW19" i="1"/>
  <c r="AN18" i="1"/>
  <c r="AW18" i="1"/>
  <c r="AN17" i="1"/>
  <c r="AW17" i="1"/>
  <c r="AU15" i="1"/>
  <c r="BD15" i="1"/>
  <c r="AU14" i="1"/>
  <c r="BD14" i="1"/>
  <c r="AU13" i="1"/>
  <c r="BD13" i="1"/>
  <c r="AU12" i="1"/>
  <c r="BD12" i="1"/>
  <c r="AU11" i="1"/>
  <c r="BD11" i="1"/>
  <c r="AU10" i="1"/>
  <c r="BD10" i="1"/>
  <c r="AU9" i="1"/>
  <c r="BD9" i="1"/>
  <c r="AU8" i="1"/>
  <c r="BD8" i="1"/>
  <c r="AU7" i="1"/>
  <c r="BD7" i="1"/>
  <c r="AU6" i="1"/>
  <c r="BD6" i="1"/>
  <c r="AU5" i="1"/>
  <c r="BD5" i="1"/>
  <c r="AU4" i="1"/>
  <c r="BD4" i="1"/>
  <c r="AN16" i="1"/>
  <c r="AW16" i="1"/>
  <c r="AR147" i="1"/>
  <c r="AT134" i="1"/>
  <c r="AO121" i="1"/>
  <c r="AT99" i="1"/>
  <c r="AW3" i="1"/>
  <c r="BD178" i="1"/>
  <c r="BD177" i="1"/>
  <c r="BD176" i="1"/>
  <c r="BD175" i="1"/>
  <c r="BD174" i="1"/>
  <c r="BD173" i="1"/>
  <c r="BD172" i="1"/>
  <c r="BD171" i="1"/>
  <c r="BD170" i="1"/>
  <c r="BD169" i="1"/>
  <c r="BD168" i="1"/>
  <c r="BD167" i="1"/>
  <c r="BD166" i="1"/>
  <c r="BD165" i="1"/>
  <c r="BD164" i="1"/>
  <c r="BD163" i="1"/>
  <c r="BD162" i="1"/>
  <c r="BD161" i="1"/>
  <c r="BD160" i="1"/>
  <c r="BA159" i="1"/>
  <c r="AW157" i="1"/>
  <c r="AY154" i="1"/>
  <c r="BA151" i="1"/>
  <c r="AW149" i="1"/>
  <c r="AY146" i="1"/>
  <c r="BA143" i="1"/>
  <c r="AW141" i="1"/>
  <c r="AW137" i="1"/>
  <c r="AW129" i="1"/>
  <c r="AW121" i="1"/>
  <c r="AW113" i="1"/>
  <c r="AW105" i="1"/>
  <c r="AW97" i="1"/>
  <c r="AW89" i="1"/>
  <c r="BC50" i="1"/>
  <c r="AO159" i="1"/>
  <c r="AX159" i="1"/>
  <c r="AO155" i="1"/>
  <c r="AX155" i="1"/>
  <c r="AO150" i="1"/>
  <c r="AX150" i="1"/>
  <c r="AO136" i="1"/>
  <c r="AX136" i="1"/>
  <c r="AO131" i="1"/>
  <c r="AX131" i="1"/>
  <c r="AO108" i="1"/>
  <c r="AX108" i="1"/>
  <c r="AO103" i="1"/>
  <c r="AX103" i="1"/>
  <c r="AO98" i="1"/>
  <c r="AX98" i="1"/>
  <c r="AO94" i="1"/>
  <c r="AX94" i="1"/>
  <c r="AO88" i="1"/>
  <c r="AX88" i="1"/>
  <c r="AO83" i="1"/>
  <c r="AX83" i="1"/>
  <c r="AO78" i="1"/>
  <c r="AX78" i="1"/>
  <c r="AO72" i="1"/>
  <c r="AX72" i="1"/>
  <c r="AO67" i="1"/>
  <c r="AX67" i="1"/>
  <c r="AO61" i="1"/>
  <c r="AX61" i="1"/>
  <c r="AO57" i="1"/>
  <c r="AX57" i="1"/>
  <c r="AO49" i="1"/>
  <c r="AX49" i="1"/>
  <c r="AO42" i="1"/>
  <c r="AX42" i="1"/>
  <c r="AO38" i="1"/>
  <c r="AX38" i="1"/>
  <c r="AO36" i="1"/>
  <c r="AX36" i="1"/>
  <c r="AO32" i="1"/>
  <c r="AX32" i="1"/>
  <c r="AO28" i="1"/>
  <c r="AX28" i="1"/>
  <c r="AO18" i="1"/>
  <c r="AX18" i="1"/>
  <c r="AN15" i="1"/>
  <c r="AW15" i="1"/>
  <c r="AN11" i="1"/>
  <c r="AW11" i="1"/>
  <c r="AN7" i="1"/>
  <c r="AW7" i="1"/>
  <c r="AO149" i="1"/>
  <c r="AU159" i="1"/>
  <c r="BD159" i="1"/>
  <c r="AU158" i="1"/>
  <c r="BD158" i="1"/>
  <c r="AU157" i="1"/>
  <c r="BD157" i="1"/>
  <c r="AU156" i="1"/>
  <c r="BD156" i="1"/>
  <c r="AU155" i="1"/>
  <c r="BD155" i="1"/>
  <c r="AU154" i="1"/>
  <c r="BD154" i="1"/>
  <c r="AU153" i="1"/>
  <c r="BD153" i="1"/>
  <c r="AU152" i="1"/>
  <c r="BD152" i="1"/>
  <c r="AU151" i="1"/>
  <c r="BD151" i="1"/>
  <c r="AU150" i="1"/>
  <c r="BD150" i="1"/>
  <c r="AU149" i="1"/>
  <c r="BD149" i="1"/>
  <c r="AU148" i="1"/>
  <c r="BD148" i="1"/>
  <c r="AU147" i="1"/>
  <c r="BD147" i="1"/>
  <c r="AU146" i="1"/>
  <c r="BD146" i="1"/>
  <c r="AU145" i="1"/>
  <c r="BD145" i="1"/>
  <c r="AU144" i="1"/>
  <c r="BD144" i="1"/>
  <c r="AU143" i="1"/>
  <c r="BD143" i="1"/>
  <c r="AU142" i="1"/>
  <c r="BD142" i="1"/>
  <c r="AU141" i="1"/>
  <c r="BD141" i="1"/>
  <c r="AU140" i="1"/>
  <c r="BD140" i="1"/>
  <c r="AU139" i="1"/>
  <c r="BD139" i="1"/>
  <c r="AU138" i="1"/>
  <c r="BD138" i="1"/>
  <c r="AU137" i="1"/>
  <c r="BD137" i="1"/>
  <c r="AU136" i="1"/>
  <c r="BD136" i="1"/>
  <c r="AU135" i="1"/>
  <c r="BD135" i="1"/>
  <c r="AU134" i="1"/>
  <c r="BD134" i="1"/>
  <c r="AU133" i="1"/>
  <c r="BD133" i="1"/>
  <c r="AU132" i="1"/>
  <c r="BD132" i="1"/>
  <c r="AU131" i="1"/>
  <c r="BD131" i="1"/>
  <c r="AU130" i="1"/>
  <c r="BD130" i="1"/>
  <c r="AU129" i="1"/>
  <c r="BD129" i="1"/>
  <c r="AU128" i="1"/>
  <c r="BD128" i="1"/>
  <c r="AU127" i="1"/>
  <c r="BD127" i="1"/>
  <c r="AU126" i="1"/>
  <c r="BD126" i="1"/>
  <c r="AU125" i="1"/>
  <c r="BD125" i="1"/>
  <c r="AU124" i="1"/>
  <c r="BD124" i="1"/>
  <c r="AU123" i="1"/>
  <c r="BD123" i="1"/>
  <c r="AU122" i="1"/>
  <c r="BD122" i="1"/>
  <c r="AU121" i="1"/>
  <c r="BD121" i="1"/>
  <c r="AU120" i="1"/>
  <c r="BD120" i="1"/>
  <c r="AU119" i="1"/>
  <c r="BD119" i="1"/>
  <c r="AU118" i="1"/>
  <c r="BD118" i="1"/>
  <c r="AU117" i="1"/>
  <c r="BD117" i="1"/>
  <c r="AU116" i="1"/>
  <c r="BD116" i="1"/>
  <c r="AU115" i="1"/>
  <c r="BD115" i="1"/>
  <c r="AU114" i="1"/>
  <c r="BD114" i="1"/>
  <c r="AU113" i="1"/>
  <c r="BD113" i="1"/>
  <c r="AU112" i="1"/>
  <c r="BD112" i="1"/>
  <c r="AU111" i="1"/>
  <c r="BD111" i="1"/>
  <c r="AU110" i="1"/>
  <c r="BD110" i="1"/>
  <c r="AU109" i="1"/>
  <c r="BD109" i="1"/>
  <c r="AU108" i="1"/>
  <c r="BD108" i="1"/>
  <c r="AU107" i="1"/>
  <c r="BD107" i="1"/>
  <c r="AU106" i="1"/>
  <c r="BD106" i="1"/>
  <c r="AU105" i="1"/>
  <c r="BD105" i="1"/>
  <c r="AU104" i="1"/>
  <c r="BD104" i="1"/>
  <c r="AU103" i="1"/>
  <c r="BD103" i="1"/>
  <c r="AU102" i="1"/>
  <c r="BD102" i="1"/>
  <c r="AU101" i="1"/>
  <c r="BD101" i="1"/>
  <c r="AU100" i="1"/>
  <c r="BD100" i="1"/>
  <c r="AU99" i="1"/>
  <c r="BD99" i="1"/>
  <c r="AU98" i="1"/>
  <c r="BD98" i="1"/>
  <c r="AU97" i="1"/>
  <c r="BD97" i="1"/>
  <c r="AU96" i="1"/>
  <c r="BD96" i="1"/>
  <c r="AU95" i="1"/>
  <c r="BD95" i="1"/>
  <c r="AU94" i="1"/>
  <c r="BD94" i="1"/>
  <c r="AU93" i="1"/>
  <c r="BD93" i="1"/>
  <c r="AU92" i="1"/>
  <c r="BD92" i="1"/>
  <c r="AU91" i="1"/>
  <c r="BD91" i="1"/>
  <c r="AU90" i="1"/>
  <c r="BD90" i="1"/>
  <c r="AU89" i="1"/>
  <c r="BD89" i="1"/>
  <c r="AU88" i="1"/>
  <c r="BD88" i="1"/>
  <c r="AU87" i="1"/>
  <c r="BD87" i="1"/>
  <c r="AU86" i="1"/>
  <c r="BD86" i="1"/>
  <c r="AU85" i="1"/>
  <c r="BD85" i="1"/>
  <c r="AU84" i="1"/>
  <c r="BD84" i="1"/>
  <c r="AU83" i="1"/>
  <c r="BD83" i="1"/>
  <c r="AU82" i="1"/>
  <c r="BD82" i="1"/>
  <c r="AU81" i="1"/>
  <c r="BD81" i="1"/>
  <c r="AU80" i="1"/>
  <c r="BD80" i="1"/>
  <c r="AU79" i="1"/>
  <c r="BD79" i="1"/>
  <c r="AU78" i="1"/>
  <c r="BD78" i="1"/>
  <c r="AU77" i="1"/>
  <c r="BD77" i="1"/>
  <c r="AU76" i="1"/>
  <c r="BD76" i="1"/>
  <c r="AU75" i="1"/>
  <c r="BD75" i="1"/>
  <c r="AU74" i="1"/>
  <c r="BD74" i="1"/>
  <c r="AU73" i="1"/>
  <c r="BD73" i="1"/>
  <c r="AU72" i="1"/>
  <c r="BD72" i="1"/>
  <c r="AU71" i="1"/>
  <c r="BD71" i="1"/>
  <c r="AU70" i="1"/>
  <c r="BD70" i="1"/>
  <c r="AU69" i="1"/>
  <c r="BD69" i="1"/>
  <c r="AU68" i="1"/>
  <c r="BD68" i="1"/>
  <c r="AU67" i="1"/>
  <c r="BD67" i="1"/>
  <c r="AU66" i="1"/>
  <c r="BD66" i="1"/>
  <c r="AU65" i="1"/>
  <c r="BD65" i="1"/>
  <c r="AU64" i="1"/>
  <c r="BD64" i="1"/>
  <c r="AU63" i="1"/>
  <c r="BD63" i="1"/>
  <c r="AU62" i="1"/>
  <c r="BD62" i="1"/>
  <c r="AU61" i="1"/>
  <c r="BD61" i="1"/>
  <c r="AU60" i="1"/>
  <c r="BD60" i="1"/>
  <c r="AU59" i="1"/>
  <c r="BD59" i="1"/>
  <c r="AU58" i="1"/>
  <c r="BD58" i="1"/>
  <c r="AU57" i="1"/>
  <c r="BD57" i="1"/>
  <c r="AU56" i="1"/>
  <c r="BD56" i="1"/>
  <c r="AU55" i="1"/>
  <c r="BD55" i="1"/>
  <c r="AU54" i="1"/>
  <c r="BD54" i="1"/>
  <c r="AU53" i="1"/>
  <c r="BD53" i="1"/>
  <c r="AU52" i="1"/>
  <c r="BD52" i="1"/>
  <c r="AU51" i="1"/>
  <c r="BD51" i="1"/>
  <c r="AU50" i="1"/>
  <c r="BD50" i="1"/>
  <c r="AU49" i="1"/>
  <c r="BD49" i="1"/>
  <c r="AU48" i="1"/>
  <c r="BD48" i="1"/>
  <c r="AU47" i="1"/>
  <c r="BD47" i="1"/>
  <c r="AU46" i="1"/>
  <c r="BD46" i="1"/>
  <c r="AU45" i="1"/>
  <c r="BD45" i="1"/>
  <c r="AU44" i="1"/>
  <c r="BD44" i="1"/>
  <c r="AU43" i="1"/>
  <c r="BD43" i="1"/>
  <c r="AU42" i="1"/>
  <c r="BD42" i="1"/>
  <c r="AU41" i="1"/>
  <c r="BD41" i="1"/>
  <c r="AU40" i="1"/>
  <c r="BD40" i="1"/>
  <c r="AU39" i="1"/>
  <c r="BD39" i="1"/>
  <c r="AU38" i="1"/>
  <c r="BD38" i="1"/>
  <c r="AU37" i="1"/>
  <c r="BD37" i="1"/>
  <c r="AU36" i="1"/>
  <c r="BD36" i="1"/>
  <c r="AU35" i="1"/>
  <c r="BD35" i="1"/>
  <c r="AU34" i="1"/>
  <c r="BD34" i="1"/>
  <c r="AU33" i="1"/>
  <c r="BD33" i="1"/>
  <c r="AU32" i="1"/>
  <c r="BD32" i="1"/>
  <c r="AU31" i="1"/>
  <c r="BD31" i="1"/>
  <c r="AU30" i="1"/>
  <c r="BD30" i="1"/>
  <c r="AU29" i="1"/>
  <c r="BD29" i="1"/>
  <c r="AU28" i="1"/>
  <c r="BD28" i="1"/>
  <c r="AU27" i="1"/>
  <c r="BD27" i="1"/>
  <c r="AU26" i="1"/>
  <c r="BD26" i="1"/>
  <c r="AU25" i="1"/>
  <c r="BD25" i="1"/>
  <c r="AU24" i="1"/>
  <c r="BD24" i="1"/>
  <c r="AU23" i="1"/>
  <c r="BD23" i="1"/>
  <c r="AU22" i="1"/>
  <c r="BD22" i="1"/>
  <c r="AU21" i="1"/>
  <c r="BD21" i="1"/>
  <c r="AU20" i="1"/>
  <c r="BD20" i="1"/>
  <c r="AU19" i="1"/>
  <c r="BD19" i="1"/>
  <c r="AU18" i="1"/>
  <c r="BD18" i="1"/>
  <c r="AU17" i="1"/>
  <c r="BD17" i="1"/>
  <c r="AU16" i="1"/>
  <c r="BD16" i="1"/>
  <c r="AT15" i="1"/>
  <c r="BC15" i="1"/>
  <c r="AT14" i="1"/>
  <c r="BC14" i="1"/>
  <c r="AT13" i="1"/>
  <c r="BC13" i="1"/>
  <c r="AT12" i="1"/>
  <c r="BC12" i="1"/>
  <c r="AT11" i="1"/>
  <c r="BC11" i="1"/>
  <c r="AT9" i="1"/>
  <c r="BC9" i="1"/>
  <c r="AT8" i="1"/>
  <c r="BC8" i="1"/>
  <c r="AT7" i="1"/>
  <c r="BC7" i="1"/>
  <c r="AT6" i="1"/>
  <c r="BC6" i="1"/>
  <c r="AT5" i="1"/>
  <c r="BC5" i="1"/>
  <c r="AT4" i="1"/>
  <c r="BC4" i="1"/>
  <c r="AN146" i="1"/>
  <c r="AO133" i="1"/>
  <c r="AR118" i="1"/>
  <c r="AO97" i="1"/>
  <c r="BD3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AY159" i="1"/>
  <c r="BA156" i="1"/>
  <c r="AW154" i="1"/>
  <c r="AY151" i="1"/>
  <c r="BA148" i="1"/>
  <c r="AY143" i="1"/>
  <c r="BA140" i="1"/>
  <c r="AW136" i="1"/>
  <c r="AW128" i="1"/>
  <c r="AW120" i="1"/>
  <c r="AW112" i="1"/>
  <c r="AW104" i="1"/>
  <c r="AW96" i="1"/>
  <c r="BC85" i="1"/>
  <c r="BC42" i="1"/>
  <c r="AO153" i="1"/>
  <c r="AX153" i="1"/>
  <c r="AO145" i="1"/>
  <c r="AX145" i="1"/>
  <c r="AO139" i="1"/>
  <c r="AX139" i="1"/>
  <c r="AO132" i="1"/>
  <c r="AX132" i="1"/>
  <c r="AO126" i="1"/>
  <c r="AX126" i="1"/>
  <c r="AO118" i="1"/>
  <c r="AX118" i="1"/>
  <c r="AO111" i="1"/>
  <c r="AX111" i="1"/>
  <c r="AO102" i="1"/>
  <c r="AX102" i="1"/>
  <c r="AO81" i="1"/>
  <c r="AX81" i="1"/>
  <c r="AO75" i="1"/>
  <c r="AX75" i="1"/>
  <c r="AO69" i="1"/>
  <c r="AX69" i="1"/>
  <c r="AO62" i="1"/>
  <c r="AX62" i="1"/>
  <c r="AO56" i="1"/>
  <c r="AX56" i="1"/>
  <c r="AO51" i="1"/>
  <c r="AX51" i="1"/>
  <c r="AO46" i="1"/>
  <c r="AX46" i="1"/>
  <c r="AO39" i="1"/>
  <c r="AX39" i="1"/>
  <c r="AO31" i="1"/>
  <c r="AX31" i="1"/>
  <c r="AO24" i="1"/>
  <c r="AX24" i="1"/>
  <c r="AN10" i="1"/>
  <c r="AW10" i="1"/>
  <c r="AT159" i="1"/>
  <c r="BC159" i="1"/>
  <c r="AT158" i="1"/>
  <c r="BC158" i="1"/>
  <c r="AT157" i="1"/>
  <c r="BC157" i="1"/>
  <c r="AT156" i="1"/>
  <c r="BC156" i="1"/>
  <c r="AT155" i="1"/>
  <c r="BC155" i="1"/>
  <c r="AT154" i="1"/>
  <c r="BC154" i="1"/>
  <c r="AT153" i="1"/>
  <c r="BC153" i="1"/>
  <c r="AT152" i="1"/>
  <c r="BC152" i="1"/>
  <c r="AT151" i="1"/>
  <c r="BC151" i="1"/>
  <c r="AT149" i="1"/>
  <c r="BC149" i="1"/>
  <c r="AT148" i="1"/>
  <c r="BC148" i="1"/>
  <c r="AT147" i="1"/>
  <c r="BC147" i="1"/>
  <c r="AT146" i="1"/>
  <c r="BC146" i="1"/>
  <c r="AT145" i="1"/>
  <c r="BC145" i="1"/>
  <c r="AT144" i="1"/>
  <c r="BC144" i="1"/>
  <c r="AT143" i="1"/>
  <c r="BC143" i="1"/>
  <c r="AT141" i="1"/>
  <c r="BC141" i="1"/>
  <c r="AT140" i="1"/>
  <c r="BC140" i="1"/>
  <c r="AT139" i="1"/>
  <c r="BC139" i="1"/>
  <c r="AT138" i="1"/>
  <c r="BC138" i="1"/>
  <c r="AT137" i="1"/>
  <c r="BC137" i="1"/>
  <c r="AT136" i="1"/>
  <c r="BC136" i="1"/>
  <c r="AT135" i="1"/>
  <c r="BC135" i="1"/>
  <c r="AT133" i="1"/>
  <c r="BC133" i="1"/>
  <c r="AT132" i="1"/>
  <c r="BC132" i="1"/>
  <c r="AT131" i="1"/>
  <c r="BC131" i="1"/>
  <c r="AT130" i="1"/>
  <c r="BC130" i="1"/>
  <c r="AT129" i="1"/>
  <c r="BC129" i="1"/>
  <c r="AT128" i="1"/>
  <c r="BC128" i="1"/>
  <c r="AT127" i="1"/>
  <c r="BC127" i="1"/>
  <c r="AT125" i="1"/>
  <c r="BC125" i="1"/>
  <c r="AT124" i="1"/>
  <c r="BC124" i="1"/>
  <c r="AT123" i="1"/>
  <c r="BC123" i="1"/>
  <c r="AT122" i="1"/>
  <c r="BC122" i="1"/>
  <c r="AT121" i="1"/>
  <c r="BC121" i="1"/>
  <c r="AT120" i="1"/>
  <c r="BC120" i="1"/>
  <c r="AT119" i="1"/>
  <c r="BC119" i="1"/>
  <c r="AT118" i="1"/>
  <c r="BC118" i="1"/>
  <c r="AT117" i="1"/>
  <c r="BC117" i="1"/>
  <c r="AT116" i="1"/>
  <c r="BC116" i="1"/>
  <c r="AT114" i="1"/>
  <c r="BC114" i="1"/>
  <c r="AT113" i="1"/>
  <c r="BC113" i="1"/>
  <c r="AT112" i="1"/>
  <c r="BC112" i="1"/>
  <c r="AT111" i="1"/>
  <c r="BC111" i="1"/>
  <c r="AT110" i="1"/>
  <c r="BC110" i="1"/>
  <c r="AT109" i="1"/>
  <c r="BC109" i="1"/>
  <c r="AT108" i="1"/>
  <c r="BC108" i="1"/>
  <c r="AT106" i="1"/>
  <c r="BC106" i="1"/>
  <c r="AT105" i="1"/>
  <c r="BC105" i="1"/>
  <c r="AT104" i="1"/>
  <c r="BC104" i="1"/>
  <c r="AT103" i="1"/>
  <c r="BC103" i="1"/>
  <c r="AT102" i="1"/>
  <c r="BC102" i="1"/>
  <c r="AT101" i="1"/>
  <c r="BC101" i="1"/>
  <c r="AT100" i="1"/>
  <c r="BC100" i="1"/>
  <c r="AT98" i="1"/>
  <c r="BC98" i="1"/>
  <c r="AT97" i="1"/>
  <c r="BC97" i="1"/>
  <c r="AT96" i="1"/>
  <c r="BC96" i="1"/>
  <c r="AT95" i="1"/>
  <c r="BC95" i="1"/>
  <c r="AT94" i="1"/>
  <c r="BC94" i="1"/>
  <c r="AT93" i="1"/>
  <c r="BC93" i="1"/>
  <c r="AT92" i="1"/>
  <c r="BC92" i="1"/>
  <c r="AT90" i="1"/>
  <c r="BC90" i="1"/>
  <c r="AT89" i="1"/>
  <c r="BC89" i="1"/>
  <c r="AT88" i="1"/>
  <c r="BC88" i="1"/>
  <c r="AT87" i="1"/>
  <c r="BC87" i="1"/>
  <c r="AT86" i="1"/>
  <c r="BC86" i="1"/>
  <c r="AT84" i="1"/>
  <c r="BC84" i="1"/>
  <c r="AT83" i="1"/>
  <c r="BC83" i="1"/>
  <c r="AT82" i="1"/>
  <c r="BC82" i="1"/>
  <c r="AT80" i="1"/>
  <c r="BC80" i="1"/>
  <c r="AT79" i="1"/>
  <c r="BC79" i="1"/>
  <c r="AT78" i="1"/>
  <c r="BC78" i="1"/>
  <c r="AT76" i="1"/>
  <c r="BC76" i="1"/>
  <c r="AT75" i="1"/>
  <c r="BC75" i="1"/>
  <c r="AT74" i="1"/>
  <c r="BC74" i="1"/>
  <c r="AT72" i="1"/>
  <c r="BC72" i="1"/>
  <c r="AT71" i="1"/>
  <c r="BC71" i="1"/>
  <c r="AT70" i="1"/>
  <c r="BC70" i="1"/>
  <c r="AT68" i="1"/>
  <c r="BC68" i="1"/>
  <c r="AT67" i="1"/>
  <c r="BC67" i="1"/>
  <c r="AT66" i="1"/>
  <c r="BC66" i="1"/>
  <c r="AT64" i="1"/>
  <c r="BC64" i="1"/>
  <c r="AT63" i="1"/>
  <c r="BC63" i="1"/>
  <c r="AT62" i="1"/>
  <c r="BC62" i="1"/>
  <c r="AT61" i="1"/>
  <c r="BC61" i="1"/>
  <c r="AT60" i="1"/>
  <c r="BC60" i="1"/>
  <c r="AT59" i="1"/>
  <c r="BC59" i="1"/>
  <c r="AT57" i="1"/>
  <c r="BC57" i="1"/>
  <c r="AT56" i="1"/>
  <c r="BC56" i="1"/>
  <c r="AT55" i="1"/>
  <c r="BC55" i="1"/>
  <c r="AT54" i="1"/>
  <c r="BC54" i="1"/>
  <c r="AT53" i="1"/>
  <c r="BC53" i="1"/>
  <c r="AT52" i="1"/>
  <c r="BC52" i="1"/>
  <c r="AT51" i="1"/>
  <c r="BC51" i="1"/>
  <c r="AT49" i="1"/>
  <c r="BC49" i="1"/>
  <c r="AT48" i="1"/>
  <c r="BC48" i="1"/>
  <c r="AT47" i="1"/>
  <c r="BC47" i="1"/>
  <c r="AT46" i="1"/>
  <c r="BC46" i="1"/>
  <c r="AT45" i="1"/>
  <c r="BC45" i="1"/>
  <c r="AT44" i="1"/>
  <c r="BC44" i="1"/>
  <c r="AT43" i="1"/>
  <c r="BC43" i="1"/>
  <c r="AT41" i="1"/>
  <c r="BC41" i="1"/>
  <c r="AT40" i="1"/>
  <c r="BC40" i="1"/>
  <c r="AT39" i="1"/>
  <c r="BC39" i="1"/>
  <c r="AT38" i="1"/>
  <c r="BC38" i="1"/>
  <c r="AT37" i="1"/>
  <c r="BC37" i="1"/>
  <c r="AT36" i="1"/>
  <c r="BC36" i="1"/>
  <c r="AT35" i="1"/>
  <c r="BC35" i="1"/>
  <c r="AT33" i="1"/>
  <c r="BC33" i="1"/>
  <c r="AT32" i="1"/>
  <c r="BC32" i="1"/>
  <c r="AT31" i="1"/>
  <c r="BC31" i="1"/>
  <c r="AT30" i="1"/>
  <c r="BC30" i="1"/>
  <c r="AT29" i="1"/>
  <c r="BC29" i="1"/>
  <c r="AT28" i="1"/>
  <c r="BC28" i="1"/>
  <c r="AT27" i="1"/>
  <c r="BC27" i="1"/>
  <c r="AT25" i="1"/>
  <c r="BC25" i="1"/>
  <c r="AT24" i="1"/>
  <c r="BC24" i="1"/>
  <c r="AT23" i="1"/>
  <c r="BC23" i="1"/>
  <c r="AT22" i="1"/>
  <c r="BC22" i="1"/>
  <c r="AT21" i="1"/>
  <c r="BC21" i="1"/>
  <c r="AT20" i="1"/>
  <c r="BC20" i="1"/>
  <c r="AT19" i="1"/>
  <c r="BC19" i="1"/>
  <c r="AT17" i="1"/>
  <c r="BC17" i="1"/>
  <c r="AT16" i="1"/>
  <c r="BC16" i="1"/>
  <c r="AS15" i="1"/>
  <c r="BB15" i="1"/>
  <c r="AS14" i="1"/>
  <c r="BB14" i="1"/>
  <c r="AS13" i="1"/>
  <c r="BB13" i="1"/>
  <c r="AS12" i="1"/>
  <c r="BB12" i="1"/>
  <c r="AS11" i="1"/>
  <c r="BB11" i="1"/>
  <c r="AS10" i="1"/>
  <c r="BB10" i="1"/>
  <c r="AS9" i="1"/>
  <c r="BB9" i="1"/>
  <c r="AS8" i="1"/>
  <c r="BB8" i="1"/>
  <c r="AS7" i="1"/>
  <c r="BB7" i="1"/>
  <c r="AS6" i="1"/>
  <c r="BB6" i="1"/>
  <c r="AS5" i="1"/>
  <c r="BB5" i="1"/>
  <c r="AO157" i="1"/>
  <c r="AQ144" i="1"/>
  <c r="AR131" i="1"/>
  <c r="AT115" i="1"/>
  <c r="AR94" i="1"/>
  <c r="BC3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AW159" i="1"/>
  <c r="AY156" i="1"/>
  <c r="BA153" i="1"/>
  <c r="AW151" i="1"/>
  <c r="AY148" i="1"/>
  <c r="BA145" i="1"/>
  <c r="AW143" i="1"/>
  <c r="AY140" i="1"/>
  <c r="AW135" i="1"/>
  <c r="AW127" i="1"/>
  <c r="AW119" i="1"/>
  <c r="AW111" i="1"/>
  <c r="AW103" i="1"/>
  <c r="AW95" i="1"/>
  <c r="BC81" i="1"/>
  <c r="BC34" i="1"/>
  <c r="AO154" i="1"/>
  <c r="AX154" i="1"/>
  <c r="AO146" i="1"/>
  <c r="AX146" i="1"/>
  <c r="AO137" i="1"/>
  <c r="AX137" i="1"/>
  <c r="AO117" i="1"/>
  <c r="AX117" i="1"/>
  <c r="AO110" i="1"/>
  <c r="AX110" i="1"/>
  <c r="AO90" i="1"/>
  <c r="AX90" i="1"/>
  <c r="AO84" i="1"/>
  <c r="AX84" i="1"/>
  <c r="AO76" i="1"/>
  <c r="AX76" i="1"/>
  <c r="AO70" i="1"/>
  <c r="AX70" i="1"/>
  <c r="AO64" i="1"/>
  <c r="AX64" i="1"/>
  <c r="AO54" i="1"/>
  <c r="AX54" i="1"/>
  <c r="AO43" i="1"/>
  <c r="AX43" i="1"/>
  <c r="AO17" i="1"/>
  <c r="AX17" i="1"/>
  <c r="AN13" i="1"/>
  <c r="AW13" i="1"/>
  <c r="AN5" i="1"/>
  <c r="AW5" i="1"/>
  <c r="AS159" i="1"/>
  <c r="BB159" i="1"/>
  <c r="AS158" i="1"/>
  <c r="BB158" i="1"/>
  <c r="AS157" i="1"/>
  <c r="BB157" i="1"/>
  <c r="AS156" i="1"/>
  <c r="BB156" i="1"/>
  <c r="AS155" i="1"/>
  <c r="BB155" i="1"/>
  <c r="AS154" i="1"/>
  <c r="BB154" i="1"/>
  <c r="AS153" i="1"/>
  <c r="BB153" i="1"/>
  <c r="AS152" i="1"/>
  <c r="BB152" i="1"/>
  <c r="AS151" i="1"/>
  <c r="BB151" i="1"/>
  <c r="AS150" i="1"/>
  <c r="BB150" i="1"/>
  <c r="AS149" i="1"/>
  <c r="BB149" i="1"/>
  <c r="AS148" i="1"/>
  <c r="BB148" i="1"/>
  <c r="AS147" i="1"/>
  <c r="BB147" i="1"/>
  <c r="AS146" i="1"/>
  <c r="BB146" i="1"/>
  <c r="AS145" i="1"/>
  <c r="BB145" i="1"/>
  <c r="AS144" i="1"/>
  <c r="BB144" i="1"/>
  <c r="AS143" i="1"/>
  <c r="BB143" i="1"/>
  <c r="AS142" i="1"/>
  <c r="BB142" i="1"/>
  <c r="AS141" i="1"/>
  <c r="BB141" i="1"/>
  <c r="AS140" i="1"/>
  <c r="BB140" i="1"/>
  <c r="AS139" i="1"/>
  <c r="BB139" i="1"/>
  <c r="AS138" i="1"/>
  <c r="BB138" i="1"/>
  <c r="AS137" i="1"/>
  <c r="BB137" i="1"/>
  <c r="AS136" i="1"/>
  <c r="BB136" i="1"/>
  <c r="AS135" i="1"/>
  <c r="BB135" i="1"/>
  <c r="AS134" i="1"/>
  <c r="BB134" i="1"/>
  <c r="AS133" i="1"/>
  <c r="BB133" i="1"/>
  <c r="AS132" i="1"/>
  <c r="BB132" i="1"/>
  <c r="AS131" i="1"/>
  <c r="BB131" i="1"/>
  <c r="AS130" i="1"/>
  <c r="BB130" i="1"/>
  <c r="AS129" i="1"/>
  <c r="BB129" i="1"/>
  <c r="AS128" i="1"/>
  <c r="BB128" i="1"/>
  <c r="AS127" i="1"/>
  <c r="BB127" i="1"/>
  <c r="AS126" i="1"/>
  <c r="BB126" i="1"/>
  <c r="AS125" i="1"/>
  <c r="BB125" i="1"/>
  <c r="AS124" i="1"/>
  <c r="BB124" i="1"/>
  <c r="AS123" i="1"/>
  <c r="BB123" i="1"/>
  <c r="AS122" i="1"/>
  <c r="BB122" i="1"/>
  <c r="AS121" i="1"/>
  <c r="BB121" i="1"/>
  <c r="AS120" i="1"/>
  <c r="BB120" i="1"/>
  <c r="AS119" i="1"/>
  <c r="BB119" i="1"/>
  <c r="AS118" i="1"/>
  <c r="BB118" i="1"/>
  <c r="AS117" i="1"/>
  <c r="BB117" i="1"/>
  <c r="AS116" i="1"/>
  <c r="BB116" i="1"/>
  <c r="AS115" i="1"/>
  <c r="BB115" i="1"/>
  <c r="AS114" i="1"/>
  <c r="BB114" i="1"/>
  <c r="AS113" i="1"/>
  <c r="BB113" i="1"/>
  <c r="AS112" i="1"/>
  <c r="BB112" i="1"/>
  <c r="AS111" i="1"/>
  <c r="BB111" i="1"/>
  <c r="AS110" i="1"/>
  <c r="BB110" i="1"/>
  <c r="AS109" i="1"/>
  <c r="BB109" i="1"/>
  <c r="AS108" i="1"/>
  <c r="BB108" i="1"/>
  <c r="AS107" i="1"/>
  <c r="BB107" i="1"/>
  <c r="AS106" i="1"/>
  <c r="BB106" i="1"/>
  <c r="AS105" i="1"/>
  <c r="BB105" i="1"/>
  <c r="AS104" i="1"/>
  <c r="BB104" i="1"/>
  <c r="AS103" i="1"/>
  <c r="BB103" i="1"/>
  <c r="AS102" i="1"/>
  <c r="BB102" i="1"/>
  <c r="AS101" i="1"/>
  <c r="BB101" i="1"/>
  <c r="AS100" i="1"/>
  <c r="BB100" i="1"/>
  <c r="AS99" i="1"/>
  <c r="BB99" i="1"/>
  <c r="AS98" i="1"/>
  <c r="BB98" i="1"/>
  <c r="AS97" i="1"/>
  <c r="BB97" i="1"/>
  <c r="AS96" i="1"/>
  <c r="BB96" i="1"/>
  <c r="AS95" i="1"/>
  <c r="BB95" i="1"/>
  <c r="AS94" i="1"/>
  <c r="BB94" i="1"/>
  <c r="AS93" i="1"/>
  <c r="BB93" i="1"/>
  <c r="AS92" i="1"/>
  <c r="BB92" i="1"/>
  <c r="AS91" i="1"/>
  <c r="BB91" i="1"/>
  <c r="AS90" i="1"/>
  <c r="BB90" i="1"/>
  <c r="AS89" i="1"/>
  <c r="BB89" i="1"/>
  <c r="AS88" i="1"/>
  <c r="BB88" i="1"/>
  <c r="AS87" i="1"/>
  <c r="BB87" i="1"/>
  <c r="AS86" i="1"/>
  <c r="BB86" i="1"/>
  <c r="AS85" i="1"/>
  <c r="BB85" i="1"/>
  <c r="AS84" i="1"/>
  <c r="BB84" i="1"/>
  <c r="AS83" i="1"/>
  <c r="BB83" i="1"/>
  <c r="AS82" i="1"/>
  <c r="BB82" i="1"/>
  <c r="AS81" i="1"/>
  <c r="BB81" i="1"/>
  <c r="AS80" i="1"/>
  <c r="BB80" i="1"/>
  <c r="AS79" i="1"/>
  <c r="BB79" i="1"/>
  <c r="AS78" i="1"/>
  <c r="BB78" i="1"/>
  <c r="AS77" i="1"/>
  <c r="BB77" i="1"/>
  <c r="AS76" i="1"/>
  <c r="BB76" i="1"/>
  <c r="AS75" i="1"/>
  <c r="BB75" i="1"/>
  <c r="AS74" i="1"/>
  <c r="BB74" i="1"/>
  <c r="AS73" i="1"/>
  <c r="BB73" i="1"/>
  <c r="AS72" i="1"/>
  <c r="BB72" i="1"/>
  <c r="AS71" i="1"/>
  <c r="BB71" i="1"/>
  <c r="AS70" i="1"/>
  <c r="BB70" i="1"/>
  <c r="AS69" i="1"/>
  <c r="BB69" i="1"/>
  <c r="AS68" i="1"/>
  <c r="BB68" i="1"/>
  <c r="AS67" i="1"/>
  <c r="BB67" i="1"/>
  <c r="AS66" i="1"/>
  <c r="BB66" i="1"/>
  <c r="AS65" i="1"/>
  <c r="BB65" i="1"/>
  <c r="AS64" i="1"/>
  <c r="BB64" i="1"/>
  <c r="AS63" i="1"/>
  <c r="BB63" i="1"/>
  <c r="AS62" i="1"/>
  <c r="BB62" i="1"/>
  <c r="AS61" i="1"/>
  <c r="BB61" i="1"/>
  <c r="AS60" i="1"/>
  <c r="BB60" i="1"/>
  <c r="AS59" i="1"/>
  <c r="BB59" i="1"/>
  <c r="AS58" i="1"/>
  <c r="BB58" i="1"/>
  <c r="AS57" i="1"/>
  <c r="BB57" i="1"/>
  <c r="AS56" i="1"/>
  <c r="BB56" i="1"/>
  <c r="AS55" i="1"/>
  <c r="BB55" i="1"/>
  <c r="AS54" i="1"/>
  <c r="BB54" i="1"/>
  <c r="AS53" i="1"/>
  <c r="BB53" i="1"/>
  <c r="AS52" i="1"/>
  <c r="BB52" i="1"/>
  <c r="AS51" i="1"/>
  <c r="BB51" i="1"/>
  <c r="AS50" i="1"/>
  <c r="BB50" i="1"/>
  <c r="AS49" i="1"/>
  <c r="BB49" i="1"/>
  <c r="AS48" i="1"/>
  <c r="BB48" i="1"/>
  <c r="AS47" i="1"/>
  <c r="BB47" i="1"/>
  <c r="AS46" i="1"/>
  <c r="BB46" i="1"/>
  <c r="AS45" i="1"/>
  <c r="BB45" i="1"/>
  <c r="AS44" i="1"/>
  <c r="BB44" i="1"/>
  <c r="AS43" i="1"/>
  <c r="BB43" i="1"/>
  <c r="AS42" i="1"/>
  <c r="BB42" i="1"/>
  <c r="AS41" i="1"/>
  <c r="BB41" i="1"/>
  <c r="AS40" i="1"/>
  <c r="BB40" i="1"/>
  <c r="AS39" i="1"/>
  <c r="BB39" i="1"/>
  <c r="AS38" i="1"/>
  <c r="BB38" i="1"/>
  <c r="AS37" i="1"/>
  <c r="BB37" i="1"/>
  <c r="AS36" i="1"/>
  <c r="BB36" i="1"/>
  <c r="AS35" i="1"/>
  <c r="BB35" i="1"/>
  <c r="AS34" i="1"/>
  <c r="BB34" i="1"/>
  <c r="AS33" i="1"/>
  <c r="BB33" i="1"/>
  <c r="AS32" i="1"/>
  <c r="BB32" i="1"/>
  <c r="AS31" i="1"/>
  <c r="BB31" i="1"/>
  <c r="AS30" i="1"/>
  <c r="BB30" i="1"/>
  <c r="AS29" i="1"/>
  <c r="BB29" i="1"/>
  <c r="AS28" i="1"/>
  <c r="BB28" i="1"/>
  <c r="AS27" i="1"/>
  <c r="BB27" i="1"/>
  <c r="AS26" i="1"/>
  <c r="BB26" i="1"/>
  <c r="AS25" i="1"/>
  <c r="BB25" i="1"/>
  <c r="AS24" i="1"/>
  <c r="BB24" i="1"/>
  <c r="AS23" i="1"/>
  <c r="BB23" i="1"/>
  <c r="AS22" i="1"/>
  <c r="BB22" i="1"/>
  <c r="AS21" i="1"/>
  <c r="BB21" i="1"/>
  <c r="AS20" i="1"/>
  <c r="BB20" i="1"/>
  <c r="AS19" i="1"/>
  <c r="BB19" i="1"/>
  <c r="AS18" i="1"/>
  <c r="BB18" i="1"/>
  <c r="AS17" i="1"/>
  <c r="BB17" i="1"/>
  <c r="AS16" i="1"/>
  <c r="BB16" i="1"/>
  <c r="AR15" i="1"/>
  <c r="BA15" i="1"/>
  <c r="AR14" i="1"/>
  <c r="BA14" i="1"/>
  <c r="AR13" i="1"/>
  <c r="BA13" i="1"/>
  <c r="AR12" i="1"/>
  <c r="BA12" i="1"/>
  <c r="AR11" i="1"/>
  <c r="BA11" i="1"/>
  <c r="AR10" i="1"/>
  <c r="BA10" i="1"/>
  <c r="AR9" i="1"/>
  <c r="BA9" i="1"/>
  <c r="AR8" i="1"/>
  <c r="BA8" i="1"/>
  <c r="AR7" i="1"/>
  <c r="BA7" i="1"/>
  <c r="AR6" i="1"/>
  <c r="BA6" i="1"/>
  <c r="AR5" i="1"/>
  <c r="BA5" i="1"/>
  <c r="AR4" i="1"/>
  <c r="BA4" i="1"/>
  <c r="AR155" i="1"/>
  <c r="AT142" i="1"/>
  <c r="AO113" i="1"/>
  <c r="AT91" i="1"/>
  <c r="BB3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8" i="1"/>
  <c r="AW156" i="1"/>
  <c r="AY153" i="1"/>
  <c r="BA150" i="1"/>
  <c r="AW148" i="1"/>
  <c r="AY145" i="1"/>
  <c r="BA142" i="1"/>
  <c r="AW140" i="1"/>
  <c r="AW134" i="1"/>
  <c r="AW126" i="1"/>
  <c r="AW118" i="1"/>
  <c r="AW110" i="1"/>
  <c r="AW102" i="1"/>
  <c r="AW94" i="1"/>
  <c r="BC77" i="1"/>
  <c r="BC26" i="1"/>
  <c r="AO152" i="1"/>
  <c r="AX152" i="1"/>
  <c r="AO148" i="1"/>
  <c r="AX148" i="1"/>
  <c r="AO143" i="1"/>
  <c r="AX143" i="1"/>
  <c r="AO128" i="1"/>
  <c r="AX128" i="1"/>
  <c r="AO123" i="1"/>
  <c r="AX123" i="1"/>
  <c r="AO119" i="1"/>
  <c r="AX119" i="1"/>
  <c r="AO114" i="1"/>
  <c r="AX114" i="1"/>
  <c r="AO109" i="1"/>
  <c r="AX109" i="1"/>
  <c r="AO106" i="1"/>
  <c r="AX106" i="1"/>
  <c r="AO101" i="1"/>
  <c r="AX101" i="1"/>
  <c r="AO96" i="1"/>
  <c r="AX96" i="1"/>
  <c r="AO91" i="1"/>
  <c r="AX91" i="1"/>
  <c r="AO85" i="1"/>
  <c r="AX85" i="1"/>
  <c r="AO79" i="1"/>
  <c r="AX79" i="1"/>
  <c r="AO74" i="1"/>
  <c r="AX74" i="1"/>
  <c r="AO65" i="1"/>
  <c r="AX65" i="1"/>
  <c r="AO60" i="1"/>
  <c r="AX60" i="1"/>
  <c r="AO55" i="1"/>
  <c r="AX55" i="1"/>
  <c r="AO50" i="1"/>
  <c r="AX50" i="1"/>
  <c r="AO45" i="1"/>
  <c r="AX45" i="1"/>
  <c r="AO34" i="1"/>
  <c r="AX34" i="1"/>
  <c r="AO29" i="1"/>
  <c r="AX29" i="1"/>
  <c r="AO27" i="1"/>
  <c r="AX27" i="1"/>
  <c r="AO23" i="1"/>
  <c r="AX23" i="1"/>
  <c r="AO20" i="1"/>
  <c r="AX20" i="1"/>
  <c r="AN14" i="1"/>
  <c r="AW14" i="1"/>
  <c r="AN8" i="1"/>
  <c r="AW8" i="1"/>
  <c r="AR138" i="1"/>
  <c r="BA138" i="1"/>
  <c r="AR137" i="1"/>
  <c r="BA137" i="1"/>
  <c r="AR136" i="1"/>
  <c r="BA136" i="1"/>
  <c r="AR135" i="1"/>
  <c r="BA135" i="1"/>
  <c r="AR134" i="1"/>
  <c r="BA134" i="1"/>
  <c r="AR133" i="1"/>
  <c r="BA133" i="1"/>
  <c r="AR132" i="1"/>
  <c r="BA132" i="1"/>
  <c r="AR130" i="1"/>
  <c r="BA130" i="1"/>
  <c r="AR129" i="1"/>
  <c r="BA129" i="1"/>
  <c r="AR128" i="1"/>
  <c r="BA128" i="1"/>
  <c r="AR127" i="1"/>
  <c r="BA127" i="1"/>
  <c r="AR126" i="1"/>
  <c r="BA126" i="1"/>
  <c r="AR125" i="1"/>
  <c r="BA125" i="1"/>
  <c r="AR124" i="1"/>
  <c r="BA124" i="1"/>
  <c r="AR122" i="1"/>
  <c r="BA122" i="1"/>
  <c r="AR121" i="1"/>
  <c r="BA121" i="1"/>
  <c r="AR120" i="1"/>
  <c r="BA120" i="1"/>
  <c r="AR119" i="1"/>
  <c r="BA119" i="1"/>
  <c r="AR117" i="1"/>
  <c r="BA117" i="1"/>
  <c r="AR116" i="1"/>
  <c r="BA116" i="1"/>
  <c r="AR115" i="1"/>
  <c r="BA115" i="1"/>
  <c r="AR114" i="1"/>
  <c r="BA114" i="1"/>
  <c r="AR113" i="1"/>
  <c r="BA113" i="1"/>
  <c r="AR112" i="1"/>
  <c r="BA112" i="1"/>
  <c r="AR111" i="1"/>
  <c r="BA111" i="1"/>
  <c r="AR109" i="1"/>
  <c r="BA109" i="1"/>
  <c r="AR108" i="1"/>
  <c r="BA108" i="1"/>
  <c r="AR107" i="1"/>
  <c r="BA107" i="1"/>
  <c r="AR106" i="1"/>
  <c r="BA106" i="1"/>
  <c r="AR105" i="1"/>
  <c r="BA105" i="1"/>
  <c r="AR104" i="1"/>
  <c r="BA104" i="1"/>
  <c r="AR103" i="1"/>
  <c r="BA103" i="1"/>
  <c r="AR101" i="1"/>
  <c r="BA101" i="1"/>
  <c r="AR100" i="1"/>
  <c r="BA100" i="1"/>
  <c r="AR99" i="1"/>
  <c r="BA99" i="1"/>
  <c r="AR98" i="1"/>
  <c r="BA98" i="1"/>
  <c r="AR97" i="1"/>
  <c r="BA97" i="1"/>
  <c r="AR96" i="1"/>
  <c r="BA96" i="1"/>
  <c r="AR95" i="1"/>
  <c r="BA95" i="1"/>
  <c r="AR93" i="1"/>
  <c r="BA93" i="1"/>
  <c r="AR92" i="1"/>
  <c r="BA92" i="1"/>
  <c r="AR91" i="1"/>
  <c r="BA91" i="1"/>
  <c r="AR90" i="1"/>
  <c r="BA90" i="1"/>
  <c r="AR89" i="1"/>
  <c r="BA89" i="1"/>
  <c r="AR88" i="1"/>
  <c r="BA88" i="1"/>
  <c r="AR87" i="1"/>
  <c r="BA87" i="1"/>
  <c r="AR86" i="1"/>
  <c r="BA86" i="1"/>
  <c r="AR85" i="1"/>
  <c r="BA85" i="1"/>
  <c r="AR84" i="1"/>
  <c r="BA84" i="1"/>
  <c r="AR83" i="1"/>
  <c r="BA83" i="1"/>
  <c r="AR82" i="1"/>
  <c r="BA82" i="1"/>
  <c r="AR81" i="1"/>
  <c r="BA81" i="1"/>
  <c r="AR80" i="1"/>
  <c r="BA80" i="1"/>
  <c r="AR79" i="1"/>
  <c r="BA79" i="1"/>
  <c r="AR78" i="1"/>
  <c r="BA78" i="1"/>
  <c r="AR77" i="1"/>
  <c r="BA77" i="1"/>
  <c r="AR75" i="1"/>
  <c r="BA75" i="1"/>
  <c r="AR74" i="1"/>
  <c r="BA74" i="1"/>
  <c r="AR73" i="1"/>
  <c r="BA73" i="1"/>
  <c r="AR72" i="1"/>
  <c r="BA72" i="1"/>
  <c r="AR71" i="1"/>
  <c r="BA71" i="1"/>
  <c r="AR70" i="1"/>
  <c r="BA70" i="1"/>
  <c r="AR69" i="1"/>
  <c r="BA69" i="1"/>
  <c r="AR68" i="1"/>
  <c r="BA68" i="1"/>
  <c r="AR67" i="1"/>
  <c r="BA67" i="1"/>
  <c r="AR66" i="1"/>
  <c r="BA66" i="1"/>
  <c r="AR65" i="1"/>
  <c r="BA65" i="1"/>
  <c r="AR64" i="1"/>
  <c r="BA64" i="1"/>
  <c r="AR63" i="1"/>
  <c r="BA63" i="1"/>
  <c r="AR62" i="1"/>
  <c r="BA62" i="1"/>
  <c r="AR61" i="1"/>
  <c r="BA61" i="1"/>
  <c r="AR60" i="1"/>
  <c r="BA60" i="1"/>
  <c r="AR59" i="1"/>
  <c r="BA59" i="1"/>
  <c r="AR58" i="1"/>
  <c r="BA58" i="1"/>
  <c r="AR57" i="1"/>
  <c r="BA57" i="1"/>
  <c r="AR56" i="1"/>
  <c r="BA56" i="1"/>
  <c r="AR55" i="1"/>
  <c r="BA55" i="1"/>
  <c r="AR54" i="1"/>
  <c r="BA54" i="1"/>
  <c r="AR53" i="1"/>
  <c r="BA53" i="1"/>
  <c r="AR52" i="1"/>
  <c r="BA52" i="1"/>
  <c r="AR51" i="1"/>
  <c r="BA51" i="1"/>
  <c r="AR50" i="1"/>
  <c r="BA50" i="1"/>
  <c r="AR49" i="1"/>
  <c r="BA49" i="1"/>
  <c r="AR48" i="1"/>
  <c r="BA48" i="1"/>
  <c r="AR47" i="1"/>
  <c r="BA47" i="1"/>
  <c r="AR46" i="1"/>
  <c r="BA46" i="1"/>
  <c r="AR45" i="1"/>
  <c r="BA45" i="1"/>
  <c r="AR44" i="1"/>
  <c r="BA44" i="1"/>
  <c r="AR43" i="1"/>
  <c r="BA43" i="1"/>
  <c r="AR42" i="1"/>
  <c r="BA42" i="1"/>
  <c r="AR41" i="1"/>
  <c r="BA41" i="1"/>
  <c r="AR40" i="1"/>
  <c r="BA40" i="1"/>
  <c r="AR39" i="1"/>
  <c r="BA39" i="1"/>
  <c r="AR38" i="1"/>
  <c r="BA38" i="1"/>
  <c r="AR37" i="1"/>
  <c r="BA37" i="1"/>
  <c r="AR36" i="1"/>
  <c r="BA36" i="1"/>
  <c r="AR35" i="1"/>
  <c r="BA35" i="1"/>
  <c r="AR34" i="1"/>
  <c r="BA34" i="1"/>
  <c r="AR33" i="1"/>
  <c r="BA33" i="1"/>
  <c r="AR32" i="1"/>
  <c r="BA32" i="1"/>
  <c r="AR31" i="1"/>
  <c r="BA31" i="1"/>
  <c r="AR30" i="1"/>
  <c r="BA30" i="1"/>
  <c r="AR29" i="1"/>
  <c r="BA29" i="1"/>
  <c r="AR28" i="1"/>
  <c r="BA28" i="1"/>
  <c r="AR27" i="1"/>
  <c r="BA27" i="1"/>
  <c r="AR26" i="1"/>
  <c r="BA26" i="1"/>
  <c r="AR25" i="1"/>
  <c r="BA25" i="1"/>
  <c r="AR24" i="1"/>
  <c r="BA24" i="1"/>
  <c r="AR23" i="1"/>
  <c r="BA23" i="1"/>
  <c r="AR22" i="1"/>
  <c r="BA22" i="1"/>
  <c r="AR21" i="1"/>
  <c r="BA21" i="1"/>
  <c r="AR20" i="1"/>
  <c r="BA20" i="1"/>
  <c r="AR19" i="1"/>
  <c r="BA19" i="1"/>
  <c r="AR18" i="1"/>
  <c r="BA18" i="1"/>
  <c r="AR17" i="1"/>
  <c r="BA17" i="1"/>
  <c r="AR16" i="1"/>
  <c r="BA16" i="1"/>
  <c r="AQ15" i="1"/>
  <c r="AZ15" i="1"/>
  <c r="AQ14" i="1"/>
  <c r="AZ14" i="1"/>
  <c r="AQ13" i="1"/>
  <c r="AZ13" i="1"/>
  <c r="AQ12" i="1"/>
  <c r="AZ12" i="1"/>
  <c r="AQ11" i="1"/>
  <c r="AZ11" i="1"/>
  <c r="AQ10" i="1"/>
  <c r="AZ10" i="1"/>
  <c r="AQ9" i="1"/>
  <c r="AZ9" i="1"/>
  <c r="AQ8" i="1"/>
  <c r="AZ8" i="1"/>
  <c r="AQ7" i="1"/>
  <c r="AZ7" i="1"/>
  <c r="AQ6" i="1"/>
  <c r="AZ6" i="1"/>
  <c r="AQ5" i="1"/>
  <c r="AZ5" i="1"/>
  <c r="AQ4" i="1"/>
  <c r="AZ4" i="1"/>
  <c r="AO141" i="1"/>
  <c r="AQ128" i="1"/>
  <c r="AR110" i="1"/>
  <c r="AO89" i="1"/>
  <c r="BA3" i="1"/>
  <c r="AZ178" i="1"/>
  <c r="AZ177" i="1"/>
  <c r="AZ176" i="1"/>
  <c r="AZ175" i="1"/>
  <c r="AZ174" i="1"/>
  <c r="AZ173" i="1"/>
  <c r="AZ172" i="1"/>
  <c r="AZ171" i="1"/>
  <c r="AZ170" i="1"/>
  <c r="AZ169" i="1"/>
  <c r="AZ168" i="1"/>
  <c r="AZ167" i="1"/>
  <c r="AZ166" i="1"/>
  <c r="AZ165" i="1"/>
  <c r="AZ164" i="1"/>
  <c r="AZ163" i="1"/>
  <c r="AZ162" i="1"/>
  <c r="AZ161" i="1"/>
  <c r="AZ160" i="1"/>
  <c r="AY158" i="1"/>
  <c r="AW153" i="1"/>
  <c r="AY150" i="1"/>
  <c r="AW145" i="1"/>
  <c r="AY142" i="1"/>
  <c r="BA139" i="1"/>
  <c r="AW133" i="1"/>
  <c r="AW125" i="1"/>
  <c r="AW117" i="1"/>
  <c r="AW109" i="1"/>
  <c r="AW101" i="1"/>
  <c r="AW93" i="1"/>
  <c r="BC73" i="1"/>
  <c r="BC18" i="1"/>
  <c r="AO158" i="1"/>
  <c r="AX158" i="1"/>
  <c r="AO144" i="1"/>
  <c r="AX144" i="1"/>
  <c r="AO140" i="1"/>
  <c r="AX140" i="1"/>
  <c r="AO135" i="1"/>
  <c r="AX135" i="1"/>
  <c r="AO130" i="1"/>
  <c r="AX130" i="1"/>
  <c r="AO127" i="1"/>
  <c r="AX127" i="1"/>
  <c r="AO122" i="1"/>
  <c r="AX122" i="1"/>
  <c r="AO116" i="1"/>
  <c r="AX116" i="1"/>
  <c r="AO112" i="1"/>
  <c r="AX112" i="1"/>
  <c r="AO107" i="1"/>
  <c r="AX107" i="1"/>
  <c r="AO104" i="1"/>
  <c r="AX104" i="1"/>
  <c r="AO99" i="1"/>
  <c r="AX99" i="1"/>
  <c r="AO93" i="1"/>
  <c r="AX93" i="1"/>
  <c r="AO87" i="1"/>
  <c r="AX87" i="1"/>
  <c r="AO82" i="1"/>
  <c r="AX82" i="1"/>
  <c r="AO77" i="1"/>
  <c r="AX77" i="1"/>
  <c r="AO71" i="1"/>
  <c r="AX71" i="1"/>
  <c r="AO68" i="1"/>
  <c r="AX68" i="1"/>
  <c r="AO63" i="1"/>
  <c r="AX63" i="1"/>
  <c r="AO58" i="1"/>
  <c r="AX58" i="1"/>
  <c r="AO52" i="1"/>
  <c r="AX52" i="1"/>
  <c r="AO47" i="1"/>
  <c r="AX47" i="1"/>
  <c r="AO44" i="1"/>
  <c r="AX44" i="1"/>
  <c r="AO40" i="1"/>
  <c r="AX40" i="1"/>
  <c r="AO33" i="1"/>
  <c r="AX33" i="1"/>
  <c r="AO26" i="1"/>
  <c r="AX26" i="1"/>
  <c r="AO22" i="1"/>
  <c r="AX22" i="1"/>
  <c r="AO19" i="1"/>
  <c r="AX19" i="1"/>
  <c r="AO16" i="1"/>
  <c r="AX16" i="1"/>
  <c r="AN12" i="1"/>
  <c r="AW12" i="1"/>
  <c r="AN6" i="1"/>
  <c r="AW6" i="1"/>
  <c r="AQ159" i="1"/>
  <c r="AZ159" i="1"/>
  <c r="AQ158" i="1"/>
  <c r="AZ158" i="1"/>
  <c r="AQ157" i="1"/>
  <c r="AZ157" i="1"/>
  <c r="AQ156" i="1"/>
  <c r="AZ156" i="1"/>
  <c r="AQ155" i="1"/>
  <c r="AZ155" i="1"/>
  <c r="AQ154" i="1"/>
  <c r="AZ154" i="1"/>
  <c r="AQ153" i="1"/>
  <c r="AZ153" i="1"/>
  <c r="AQ151" i="1"/>
  <c r="AZ151" i="1"/>
  <c r="AQ150" i="1"/>
  <c r="AZ150" i="1"/>
  <c r="AQ149" i="1"/>
  <c r="AZ149" i="1"/>
  <c r="AQ148" i="1"/>
  <c r="AZ148" i="1"/>
  <c r="AQ147" i="1"/>
  <c r="AZ147" i="1"/>
  <c r="AQ146" i="1"/>
  <c r="AZ146" i="1"/>
  <c r="AQ145" i="1"/>
  <c r="AZ145" i="1"/>
  <c r="AQ143" i="1"/>
  <c r="AZ143" i="1"/>
  <c r="AQ142" i="1"/>
  <c r="AZ142" i="1"/>
  <c r="AQ141" i="1"/>
  <c r="AZ141" i="1"/>
  <c r="AQ140" i="1"/>
  <c r="AZ140" i="1"/>
  <c r="AQ139" i="1"/>
  <c r="AZ139" i="1"/>
  <c r="AQ138" i="1"/>
  <c r="AZ138" i="1"/>
  <c r="AQ137" i="1"/>
  <c r="AZ137" i="1"/>
  <c r="AQ135" i="1"/>
  <c r="AZ135" i="1"/>
  <c r="AQ134" i="1"/>
  <c r="AZ134" i="1"/>
  <c r="AQ133" i="1"/>
  <c r="AZ133" i="1"/>
  <c r="AQ132" i="1"/>
  <c r="AZ132" i="1"/>
  <c r="AQ131" i="1"/>
  <c r="AZ131" i="1"/>
  <c r="AQ130" i="1"/>
  <c r="AZ130" i="1"/>
  <c r="AQ129" i="1"/>
  <c r="AZ129" i="1"/>
  <c r="AQ127" i="1"/>
  <c r="AZ127" i="1"/>
  <c r="AQ126" i="1"/>
  <c r="AZ126" i="1"/>
  <c r="AQ125" i="1"/>
  <c r="AZ125" i="1"/>
  <c r="AQ124" i="1"/>
  <c r="AZ124" i="1"/>
  <c r="AQ123" i="1"/>
  <c r="AZ123" i="1"/>
  <c r="AQ122" i="1"/>
  <c r="AZ122" i="1"/>
  <c r="AQ121" i="1"/>
  <c r="AZ121" i="1"/>
  <c r="AQ120" i="1"/>
  <c r="AZ120" i="1"/>
  <c r="AQ119" i="1"/>
  <c r="AZ119" i="1"/>
  <c r="AQ118" i="1"/>
  <c r="AZ118" i="1"/>
  <c r="AQ117" i="1"/>
  <c r="AZ117" i="1"/>
  <c r="AQ116" i="1"/>
  <c r="AZ116" i="1"/>
  <c r="AQ115" i="1"/>
  <c r="AZ115" i="1"/>
  <c r="AQ114" i="1"/>
  <c r="AZ114" i="1"/>
  <c r="AQ113" i="1"/>
  <c r="AZ113" i="1"/>
  <c r="AQ112" i="1"/>
  <c r="AZ112" i="1"/>
  <c r="AQ111" i="1"/>
  <c r="AZ111" i="1"/>
  <c r="AQ110" i="1"/>
  <c r="AZ110" i="1"/>
  <c r="AQ109" i="1"/>
  <c r="AZ109" i="1"/>
  <c r="AQ108" i="1"/>
  <c r="AZ108" i="1"/>
  <c r="AQ107" i="1"/>
  <c r="AZ107" i="1"/>
  <c r="AQ106" i="1"/>
  <c r="AZ106" i="1"/>
  <c r="AQ105" i="1"/>
  <c r="AZ105" i="1"/>
  <c r="AQ104" i="1"/>
  <c r="AZ104" i="1"/>
  <c r="AQ103" i="1"/>
  <c r="AZ103" i="1"/>
  <c r="AQ102" i="1"/>
  <c r="AZ102" i="1"/>
  <c r="AQ101" i="1"/>
  <c r="AZ101" i="1"/>
  <c r="AQ100" i="1"/>
  <c r="AZ100" i="1"/>
  <c r="AQ99" i="1"/>
  <c r="AZ99" i="1"/>
  <c r="AQ98" i="1"/>
  <c r="AZ98" i="1"/>
  <c r="AQ97" i="1"/>
  <c r="AZ97" i="1"/>
  <c r="AQ96" i="1"/>
  <c r="AZ96" i="1"/>
  <c r="AQ95" i="1"/>
  <c r="AZ95" i="1"/>
  <c r="AQ94" i="1"/>
  <c r="AZ94" i="1"/>
  <c r="AQ93" i="1"/>
  <c r="AZ93" i="1"/>
  <c r="AQ92" i="1"/>
  <c r="AZ92" i="1"/>
  <c r="AQ91" i="1"/>
  <c r="AZ91" i="1"/>
  <c r="AQ90" i="1"/>
  <c r="AZ90" i="1"/>
  <c r="AQ89" i="1"/>
  <c r="AZ89" i="1"/>
  <c r="AQ88" i="1"/>
  <c r="AZ88" i="1"/>
  <c r="AQ87" i="1"/>
  <c r="AZ87" i="1"/>
  <c r="AQ86" i="1"/>
  <c r="AZ86" i="1"/>
  <c r="AQ85" i="1"/>
  <c r="AZ85" i="1"/>
  <c r="AQ84" i="1"/>
  <c r="AZ84" i="1"/>
  <c r="AQ83" i="1"/>
  <c r="AZ83" i="1"/>
  <c r="AQ82" i="1"/>
  <c r="AZ82" i="1"/>
  <c r="AQ81" i="1"/>
  <c r="AZ81" i="1"/>
  <c r="AQ80" i="1"/>
  <c r="AZ80" i="1"/>
  <c r="AQ79" i="1"/>
  <c r="AZ79" i="1"/>
  <c r="AQ78" i="1"/>
  <c r="AZ78" i="1"/>
  <c r="AQ77" i="1"/>
  <c r="AZ77" i="1"/>
  <c r="AQ76" i="1"/>
  <c r="AZ76" i="1"/>
  <c r="AQ75" i="1"/>
  <c r="AZ75" i="1"/>
  <c r="AQ74" i="1"/>
  <c r="AZ74" i="1"/>
  <c r="AQ73" i="1"/>
  <c r="AZ73" i="1"/>
  <c r="AQ72" i="1"/>
  <c r="AZ72" i="1"/>
  <c r="AQ71" i="1"/>
  <c r="AZ71" i="1"/>
  <c r="AQ70" i="1"/>
  <c r="AZ70" i="1"/>
  <c r="AQ69" i="1"/>
  <c r="AZ69" i="1"/>
  <c r="AQ68" i="1"/>
  <c r="AZ68" i="1"/>
  <c r="AQ67" i="1"/>
  <c r="AZ67" i="1"/>
  <c r="AQ66" i="1"/>
  <c r="AZ66" i="1"/>
  <c r="AQ65" i="1"/>
  <c r="AZ65" i="1"/>
  <c r="AQ64" i="1"/>
  <c r="AZ64" i="1"/>
  <c r="AQ63" i="1"/>
  <c r="AZ63" i="1"/>
  <c r="AQ62" i="1"/>
  <c r="AZ62" i="1"/>
  <c r="AQ61" i="1"/>
  <c r="AZ61" i="1"/>
  <c r="AQ60" i="1"/>
  <c r="AZ60" i="1"/>
  <c r="AQ59" i="1"/>
  <c r="AZ59" i="1"/>
  <c r="AQ58" i="1"/>
  <c r="AZ58" i="1"/>
  <c r="AQ57" i="1"/>
  <c r="AZ57" i="1"/>
  <c r="AQ56" i="1"/>
  <c r="AZ56" i="1"/>
  <c r="AQ55" i="1"/>
  <c r="AZ55" i="1"/>
  <c r="AQ54" i="1"/>
  <c r="AZ54" i="1"/>
  <c r="AQ53" i="1"/>
  <c r="AZ53" i="1"/>
  <c r="AQ52" i="1"/>
  <c r="AZ52" i="1"/>
  <c r="AQ51" i="1"/>
  <c r="AZ51" i="1"/>
  <c r="AQ50" i="1"/>
  <c r="AZ50" i="1"/>
  <c r="AQ49" i="1"/>
  <c r="AZ49" i="1"/>
  <c r="AQ48" i="1"/>
  <c r="AZ48" i="1"/>
  <c r="AQ47" i="1"/>
  <c r="AZ47" i="1"/>
  <c r="AQ46" i="1"/>
  <c r="AZ46" i="1"/>
  <c r="AQ45" i="1"/>
  <c r="AZ45" i="1"/>
  <c r="AQ44" i="1"/>
  <c r="AZ44" i="1"/>
  <c r="AQ43" i="1"/>
  <c r="AZ43" i="1"/>
  <c r="AQ42" i="1"/>
  <c r="AZ42" i="1"/>
  <c r="AQ41" i="1"/>
  <c r="AZ41" i="1"/>
  <c r="AQ40" i="1"/>
  <c r="AZ40" i="1"/>
  <c r="AQ39" i="1"/>
  <c r="AZ39" i="1"/>
  <c r="AQ38" i="1"/>
  <c r="AZ38" i="1"/>
  <c r="AQ37" i="1"/>
  <c r="AZ37" i="1"/>
  <c r="AQ36" i="1"/>
  <c r="AZ36" i="1"/>
  <c r="AQ35" i="1"/>
  <c r="AZ35" i="1"/>
  <c r="AQ34" i="1"/>
  <c r="AZ34" i="1"/>
  <c r="AQ33" i="1"/>
  <c r="AZ33" i="1"/>
  <c r="AQ32" i="1"/>
  <c r="AZ32" i="1"/>
  <c r="AQ31" i="1"/>
  <c r="AZ31" i="1"/>
  <c r="AQ30" i="1"/>
  <c r="AZ30" i="1"/>
  <c r="AQ29" i="1"/>
  <c r="AZ29" i="1"/>
  <c r="AQ28" i="1"/>
  <c r="AZ28" i="1"/>
  <c r="AQ27" i="1"/>
  <c r="AZ27" i="1"/>
  <c r="AQ26" i="1"/>
  <c r="AZ26" i="1"/>
  <c r="AQ25" i="1"/>
  <c r="AZ25" i="1"/>
  <c r="AQ24" i="1"/>
  <c r="AZ24" i="1"/>
  <c r="AQ23" i="1"/>
  <c r="AZ23" i="1"/>
  <c r="AQ22" i="1"/>
  <c r="AZ22" i="1"/>
  <c r="AQ21" i="1"/>
  <c r="AZ21" i="1"/>
  <c r="AQ20" i="1"/>
  <c r="AZ20" i="1"/>
  <c r="AQ19" i="1"/>
  <c r="AZ19" i="1"/>
  <c r="AQ18" i="1"/>
  <c r="AZ18" i="1"/>
  <c r="AQ17" i="1"/>
  <c r="AZ17" i="1"/>
  <c r="AQ16" i="1"/>
  <c r="AZ16" i="1"/>
  <c r="AP15" i="1"/>
  <c r="AY15" i="1"/>
  <c r="AP14" i="1"/>
  <c r="AY14" i="1"/>
  <c r="AP13" i="1"/>
  <c r="AY13" i="1"/>
  <c r="AP12" i="1"/>
  <c r="AY12" i="1"/>
  <c r="AP11" i="1"/>
  <c r="AY11" i="1"/>
  <c r="AP10" i="1"/>
  <c r="AY10" i="1"/>
  <c r="AP9" i="1"/>
  <c r="AY9" i="1"/>
  <c r="AP8" i="1"/>
  <c r="AY8" i="1"/>
  <c r="AP7" i="1"/>
  <c r="AY7" i="1"/>
  <c r="AP6" i="1"/>
  <c r="AY6" i="1"/>
  <c r="AP5" i="1"/>
  <c r="AY5" i="1"/>
  <c r="AP4" i="1"/>
  <c r="AY4" i="1"/>
  <c r="AQ152" i="1"/>
  <c r="AT126" i="1"/>
  <c r="AT107" i="1"/>
  <c r="AR76" i="1"/>
  <c r="AZ3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W158" i="1"/>
  <c r="AY155" i="1"/>
  <c r="BA152" i="1"/>
  <c r="AW150" i="1"/>
  <c r="AY147" i="1"/>
  <c r="BA144" i="1"/>
  <c r="AW142" i="1"/>
  <c r="AY139" i="1"/>
  <c r="AW132" i="1"/>
  <c r="AW124" i="1"/>
  <c r="AW116" i="1"/>
  <c r="AW108" i="1"/>
  <c r="AW100" i="1"/>
  <c r="AW92" i="1"/>
  <c r="BC69" i="1"/>
  <c r="BC10" i="1"/>
  <c r="T178" i="1" l="1"/>
  <c r="AC178" i="1" s="1"/>
  <c r="S178" i="1"/>
  <c r="AB178" i="1" s="1"/>
  <c r="R178" i="1"/>
  <c r="AA178" i="1" s="1"/>
  <c r="Q178" i="1"/>
  <c r="Z178" i="1" s="1"/>
  <c r="P178" i="1"/>
  <c r="Y178" i="1" s="1"/>
  <c r="O178" i="1"/>
  <c r="X178" i="1" s="1"/>
  <c r="N178" i="1"/>
  <c r="W178" i="1" s="1"/>
  <c r="M178" i="1"/>
  <c r="V178" i="1" s="1"/>
  <c r="T177" i="1"/>
  <c r="AC177" i="1" s="1"/>
  <c r="S177" i="1"/>
  <c r="AB177" i="1" s="1"/>
  <c r="R177" i="1"/>
  <c r="AA177" i="1" s="1"/>
  <c r="Q177" i="1"/>
  <c r="Z177" i="1" s="1"/>
  <c r="P177" i="1"/>
  <c r="Y177" i="1" s="1"/>
  <c r="O177" i="1"/>
  <c r="X177" i="1" s="1"/>
  <c r="N177" i="1"/>
  <c r="W177" i="1" s="1"/>
  <c r="M177" i="1"/>
  <c r="V177" i="1" s="1"/>
  <c r="T176" i="1"/>
  <c r="AC176" i="1" s="1"/>
  <c r="S176" i="1"/>
  <c r="AB176" i="1" s="1"/>
  <c r="R176" i="1"/>
  <c r="AA176" i="1" s="1"/>
  <c r="Q176" i="1"/>
  <c r="Z176" i="1" s="1"/>
  <c r="P176" i="1"/>
  <c r="Y176" i="1" s="1"/>
  <c r="O176" i="1"/>
  <c r="X176" i="1" s="1"/>
  <c r="N176" i="1"/>
  <c r="W176" i="1" s="1"/>
  <c r="M176" i="1"/>
  <c r="V176" i="1" s="1"/>
  <c r="T175" i="1"/>
  <c r="AC175" i="1" s="1"/>
  <c r="S175" i="1"/>
  <c r="AB175" i="1" s="1"/>
  <c r="R175" i="1"/>
  <c r="AA175" i="1" s="1"/>
  <c r="Q175" i="1"/>
  <c r="Z175" i="1" s="1"/>
  <c r="P175" i="1"/>
  <c r="Y175" i="1" s="1"/>
  <c r="O175" i="1"/>
  <c r="X175" i="1" s="1"/>
  <c r="N175" i="1"/>
  <c r="W175" i="1" s="1"/>
  <c r="M175" i="1"/>
  <c r="V175" i="1" s="1"/>
  <c r="T174" i="1"/>
  <c r="AC174" i="1" s="1"/>
  <c r="S174" i="1"/>
  <c r="AB174" i="1" s="1"/>
  <c r="R174" i="1"/>
  <c r="AA174" i="1" s="1"/>
  <c r="Q174" i="1"/>
  <c r="Z174" i="1" s="1"/>
  <c r="P174" i="1"/>
  <c r="Y174" i="1" s="1"/>
  <c r="O174" i="1"/>
  <c r="X174" i="1" s="1"/>
  <c r="N174" i="1"/>
  <c r="W174" i="1" s="1"/>
  <c r="M174" i="1"/>
  <c r="V174" i="1" s="1"/>
  <c r="T173" i="1"/>
  <c r="AC173" i="1" s="1"/>
  <c r="S173" i="1"/>
  <c r="AB173" i="1" s="1"/>
  <c r="R173" i="1"/>
  <c r="AA173" i="1" s="1"/>
  <c r="Q173" i="1"/>
  <c r="Z173" i="1" s="1"/>
  <c r="P173" i="1"/>
  <c r="Y173" i="1" s="1"/>
  <c r="O173" i="1"/>
  <c r="X173" i="1" s="1"/>
  <c r="N173" i="1"/>
  <c r="W173" i="1" s="1"/>
  <c r="M173" i="1"/>
  <c r="V173" i="1" s="1"/>
  <c r="T172" i="1"/>
  <c r="AC172" i="1" s="1"/>
  <c r="S172" i="1"/>
  <c r="AB172" i="1" s="1"/>
  <c r="R172" i="1"/>
  <c r="AA172" i="1" s="1"/>
  <c r="Q172" i="1"/>
  <c r="Z172" i="1" s="1"/>
  <c r="P172" i="1"/>
  <c r="Y172" i="1" s="1"/>
  <c r="O172" i="1"/>
  <c r="X172" i="1" s="1"/>
  <c r="N172" i="1"/>
  <c r="W172" i="1" s="1"/>
  <c r="M172" i="1"/>
  <c r="V172" i="1" s="1"/>
  <c r="T171" i="1"/>
  <c r="AC171" i="1" s="1"/>
  <c r="S171" i="1"/>
  <c r="AB171" i="1" s="1"/>
  <c r="R171" i="1"/>
  <c r="AA171" i="1" s="1"/>
  <c r="Q171" i="1"/>
  <c r="Z171" i="1" s="1"/>
  <c r="P171" i="1"/>
  <c r="Y171" i="1" s="1"/>
  <c r="O171" i="1"/>
  <c r="X171" i="1" s="1"/>
  <c r="N171" i="1"/>
  <c r="W171" i="1" s="1"/>
  <c r="M171" i="1"/>
  <c r="V171" i="1" s="1"/>
  <c r="T170" i="1"/>
  <c r="AC170" i="1" s="1"/>
  <c r="S170" i="1"/>
  <c r="AB170" i="1" s="1"/>
  <c r="R170" i="1"/>
  <c r="AA170" i="1" s="1"/>
  <c r="Q170" i="1"/>
  <c r="Z170" i="1" s="1"/>
  <c r="P170" i="1"/>
  <c r="Y170" i="1" s="1"/>
  <c r="O170" i="1"/>
  <c r="X170" i="1" s="1"/>
  <c r="N170" i="1"/>
  <c r="W170" i="1" s="1"/>
  <c r="M170" i="1"/>
  <c r="V170" i="1" s="1"/>
  <c r="T169" i="1"/>
  <c r="AC169" i="1" s="1"/>
  <c r="S169" i="1"/>
  <c r="AB169" i="1" s="1"/>
  <c r="R169" i="1"/>
  <c r="AA169" i="1" s="1"/>
  <c r="Q169" i="1"/>
  <c r="Z169" i="1" s="1"/>
  <c r="P169" i="1"/>
  <c r="Y169" i="1" s="1"/>
  <c r="O169" i="1"/>
  <c r="X169" i="1" s="1"/>
  <c r="N169" i="1"/>
  <c r="W169" i="1" s="1"/>
  <c r="M169" i="1"/>
  <c r="V169" i="1" s="1"/>
  <c r="T168" i="1"/>
  <c r="AC168" i="1" s="1"/>
  <c r="S168" i="1"/>
  <c r="AB168" i="1" s="1"/>
  <c r="R168" i="1"/>
  <c r="AA168" i="1" s="1"/>
  <c r="Q168" i="1"/>
  <c r="Z168" i="1" s="1"/>
  <c r="P168" i="1"/>
  <c r="Y168" i="1" s="1"/>
  <c r="O168" i="1"/>
  <c r="X168" i="1" s="1"/>
  <c r="N168" i="1"/>
  <c r="W168" i="1" s="1"/>
  <c r="M168" i="1"/>
  <c r="V168" i="1" s="1"/>
  <c r="T167" i="1"/>
  <c r="AC167" i="1" s="1"/>
  <c r="S167" i="1"/>
  <c r="AB167" i="1" s="1"/>
  <c r="R167" i="1"/>
  <c r="AA167" i="1" s="1"/>
  <c r="Q167" i="1"/>
  <c r="Z167" i="1" s="1"/>
  <c r="P167" i="1"/>
  <c r="Y167" i="1" s="1"/>
  <c r="O167" i="1"/>
  <c r="X167" i="1" s="1"/>
  <c r="N167" i="1"/>
  <c r="W167" i="1" s="1"/>
  <c r="M167" i="1"/>
  <c r="V167" i="1" s="1"/>
  <c r="T166" i="1"/>
  <c r="AC166" i="1" s="1"/>
  <c r="S166" i="1"/>
  <c r="AB166" i="1" s="1"/>
  <c r="R166" i="1"/>
  <c r="AA166" i="1" s="1"/>
  <c r="Q166" i="1"/>
  <c r="Z166" i="1" s="1"/>
  <c r="P166" i="1"/>
  <c r="Y166" i="1" s="1"/>
  <c r="O166" i="1"/>
  <c r="X166" i="1" s="1"/>
  <c r="N166" i="1"/>
  <c r="W166" i="1" s="1"/>
  <c r="M166" i="1"/>
  <c r="V166" i="1" s="1"/>
  <c r="T165" i="1"/>
  <c r="AC165" i="1" s="1"/>
  <c r="S165" i="1"/>
  <c r="AB165" i="1" s="1"/>
  <c r="R165" i="1"/>
  <c r="AA165" i="1" s="1"/>
  <c r="Q165" i="1"/>
  <c r="Z165" i="1" s="1"/>
  <c r="P165" i="1"/>
  <c r="Y165" i="1" s="1"/>
  <c r="O165" i="1"/>
  <c r="X165" i="1" s="1"/>
  <c r="N165" i="1"/>
  <c r="W165" i="1" s="1"/>
  <c r="M165" i="1"/>
  <c r="V165" i="1" s="1"/>
  <c r="T164" i="1"/>
  <c r="AC164" i="1" s="1"/>
  <c r="S164" i="1"/>
  <c r="AB164" i="1" s="1"/>
  <c r="R164" i="1"/>
  <c r="AA164" i="1" s="1"/>
  <c r="Q164" i="1"/>
  <c r="Z164" i="1" s="1"/>
  <c r="P164" i="1"/>
  <c r="Y164" i="1" s="1"/>
  <c r="O164" i="1"/>
  <c r="X164" i="1" s="1"/>
  <c r="N164" i="1"/>
  <c r="W164" i="1" s="1"/>
  <c r="M164" i="1"/>
  <c r="V164" i="1" s="1"/>
  <c r="T163" i="1"/>
  <c r="AC163" i="1" s="1"/>
  <c r="S163" i="1"/>
  <c r="AB163" i="1" s="1"/>
  <c r="R163" i="1"/>
  <c r="AA163" i="1" s="1"/>
  <c r="Q163" i="1"/>
  <c r="Z163" i="1" s="1"/>
  <c r="P163" i="1"/>
  <c r="Y163" i="1" s="1"/>
  <c r="O163" i="1"/>
  <c r="X163" i="1" s="1"/>
  <c r="N163" i="1"/>
  <c r="W163" i="1" s="1"/>
  <c r="M163" i="1"/>
  <c r="V163" i="1" s="1"/>
  <c r="T162" i="1"/>
  <c r="AC162" i="1" s="1"/>
  <c r="S162" i="1"/>
  <c r="AB162" i="1" s="1"/>
  <c r="R162" i="1"/>
  <c r="AA162" i="1" s="1"/>
  <c r="Q162" i="1"/>
  <c r="Z162" i="1" s="1"/>
  <c r="P162" i="1"/>
  <c r="Y162" i="1" s="1"/>
  <c r="O162" i="1"/>
  <c r="X162" i="1" s="1"/>
  <c r="N162" i="1"/>
  <c r="W162" i="1" s="1"/>
  <c r="M162" i="1"/>
  <c r="V162" i="1" s="1"/>
  <c r="T161" i="1"/>
  <c r="AC161" i="1" s="1"/>
  <c r="S161" i="1"/>
  <c r="AB161" i="1" s="1"/>
  <c r="R161" i="1"/>
  <c r="AA161" i="1" s="1"/>
  <c r="Q161" i="1"/>
  <c r="Z161" i="1" s="1"/>
  <c r="P161" i="1"/>
  <c r="Y161" i="1" s="1"/>
  <c r="O161" i="1"/>
  <c r="X161" i="1" s="1"/>
  <c r="N161" i="1"/>
  <c r="W161" i="1" s="1"/>
  <c r="M161" i="1"/>
  <c r="V161" i="1" s="1"/>
  <c r="T160" i="1"/>
  <c r="AC160" i="1" s="1"/>
  <c r="S160" i="1"/>
  <c r="AB160" i="1" s="1"/>
  <c r="R160" i="1"/>
  <c r="AA160" i="1" s="1"/>
  <c r="Q160" i="1"/>
  <c r="Z160" i="1" s="1"/>
  <c r="P160" i="1"/>
  <c r="Y160" i="1" s="1"/>
  <c r="O160" i="1"/>
  <c r="X160" i="1" s="1"/>
  <c r="N160" i="1"/>
  <c r="W160" i="1" s="1"/>
  <c r="M160" i="1"/>
  <c r="V160" i="1" s="1"/>
  <c r="T159" i="1"/>
  <c r="AC159" i="1" s="1"/>
  <c r="S159" i="1"/>
  <c r="AB159" i="1" s="1"/>
  <c r="R159" i="1"/>
  <c r="AA159" i="1" s="1"/>
  <c r="Q159" i="1"/>
  <c r="Z159" i="1" s="1"/>
  <c r="P159" i="1"/>
  <c r="Y159" i="1" s="1"/>
  <c r="O159" i="1"/>
  <c r="X159" i="1" s="1"/>
  <c r="N159" i="1"/>
  <c r="W159" i="1" s="1"/>
  <c r="M159" i="1"/>
  <c r="V159" i="1" s="1"/>
  <c r="T158" i="1"/>
  <c r="AC158" i="1" s="1"/>
  <c r="S158" i="1"/>
  <c r="AB158" i="1" s="1"/>
  <c r="R158" i="1"/>
  <c r="AA158" i="1" s="1"/>
  <c r="Q158" i="1"/>
  <c r="Z158" i="1" s="1"/>
  <c r="P158" i="1"/>
  <c r="Y158" i="1" s="1"/>
  <c r="O158" i="1"/>
  <c r="X158" i="1" s="1"/>
  <c r="N158" i="1"/>
  <c r="W158" i="1" s="1"/>
  <c r="M158" i="1"/>
  <c r="V158" i="1" s="1"/>
  <c r="T157" i="1"/>
  <c r="AC157" i="1" s="1"/>
  <c r="S157" i="1"/>
  <c r="AB157" i="1" s="1"/>
  <c r="R157" i="1"/>
  <c r="AA157" i="1" s="1"/>
  <c r="Q157" i="1"/>
  <c r="Z157" i="1" s="1"/>
  <c r="P157" i="1"/>
  <c r="Y157" i="1" s="1"/>
  <c r="O157" i="1"/>
  <c r="X157" i="1" s="1"/>
  <c r="N157" i="1"/>
  <c r="W157" i="1" s="1"/>
  <c r="M157" i="1"/>
  <c r="V157" i="1" s="1"/>
  <c r="T156" i="1"/>
  <c r="AC156" i="1" s="1"/>
  <c r="S156" i="1"/>
  <c r="AB156" i="1" s="1"/>
  <c r="R156" i="1"/>
  <c r="AA156" i="1" s="1"/>
  <c r="Q156" i="1"/>
  <c r="Z156" i="1" s="1"/>
  <c r="P156" i="1"/>
  <c r="Y156" i="1" s="1"/>
  <c r="O156" i="1"/>
  <c r="X156" i="1" s="1"/>
  <c r="N156" i="1"/>
  <c r="W156" i="1" s="1"/>
  <c r="M156" i="1"/>
  <c r="V156" i="1" s="1"/>
  <c r="T155" i="1"/>
  <c r="AC155" i="1" s="1"/>
  <c r="S155" i="1"/>
  <c r="AB155" i="1" s="1"/>
  <c r="R155" i="1"/>
  <c r="AA155" i="1" s="1"/>
  <c r="Q155" i="1"/>
  <c r="Z155" i="1" s="1"/>
  <c r="P155" i="1"/>
  <c r="Y155" i="1" s="1"/>
  <c r="O155" i="1"/>
  <c r="X155" i="1" s="1"/>
  <c r="N155" i="1"/>
  <c r="W155" i="1" s="1"/>
  <c r="M155" i="1"/>
  <c r="V155" i="1" s="1"/>
  <c r="T154" i="1"/>
  <c r="AC154" i="1" s="1"/>
  <c r="S154" i="1"/>
  <c r="AB154" i="1" s="1"/>
  <c r="R154" i="1"/>
  <c r="AA154" i="1" s="1"/>
  <c r="Q154" i="1"/>
  <c r="Z154" i="1" s="1"/>
  <c r="P154" i="1"/>
  <c r="Y154" i="1" s="1"/>
  <c r="O154" i="1"/>
  <c r="X154" i="1" s="1"/>
  <c r="N154" i="1"/>
  <c r="W154" i="1" s="1"/>
  <c r="M154" i="1"/>
  <c r="V154" i="1" s="1"/>
  <c r="T153" i="1"/>
  <c r="AC153" i="1" s="1"/>
  <c r="S153" i="1"/>
  <c r="AB153" i="1" s="1"/>
  <c r="R153" i="1"/>
  <c r="AA153" i="1" s="1"/>
  <c r="Q153" i="1"/>
  <c r="Z153" i="1" s="1"/>
  <c r="P153" i="1"/>
  <c r="Y153" i="1" s="1"/>
  <c r="O153" i="1"/>
  <c r="X153" i="1" s="1"/>
  <c r="N153" i="1"/>
  <c r="W153" i="1" s="1"/>
  <c r="M153" i="1"/>
  <c r="V153" i="1" s="1"/>
  <c r="T152" i="1"/>
  <c r="AC152" i="1" s="1"/>
  <c r="S152" i="1"/>
  <c r="AB152" i="1" s="1"/>
  <c r="R152" i="1"/>
  <c r="AA152" i="1" s="1"/>
  <c r="Q152" i="1"/>
  <c r="Z152" i="1" s="1"/>
  <c r="P152" i="1"/>
  <c r="Y152" i="1" s="1"/>
  <c r="O152" i="1"/>
  <c r="X152" i="1" s="1"/>
  <c r="N152" i="1"/>
  <c r="W152" i="1" s="1"/>
  <c r="M152" i="1"/>
  <c r="V152" i="1" s="1"/>
  <c r="T151" i="1"/>
  <c r="AC151" i="1" s="1"/>
  <c r="S151" i="1"/>
  <c r="AB151" i="1" s="1"/>
  <c r="R151" i="1"/>
  <c r="AA151" i="1" s="1"/>
  <c r="Q151" i="1"/>
  <c r="Z151" i="1" s="1"/>
  <c r="P151" i="1"/>
  <c r="Y151" i="1" s="1"/>
  <c r="O151" i="1"/>
  <c r="X151" i="1" s="1"/>
  <c r="N151" i="1"/>
  <c r="W151" i="1" s="1"/>
  <c r="M151" i="1"/>
  <c r="V151" i="1" s="1"/>
  <c r="T150" i="1"/>
  <c r="AC150" i="1" s="1"/>
  <c r="S150" i="1"/>
  <c r="AB150" i="1" s="1"/>
  <c r="R150" i="1"/>
  <c r="AA150" i="1" s="1"/>
  <c r="Q150" i="1"/>
  <c r="Z150" i="1" s="1"/>
  <c r="P150" i="1"/>
  <c r="Y150" i="1" s="1"/>
  <c r="O150" i="1"/>
  <c r="X150" i="1" s="1"/>
  <c r="N150" i="1"/>
  <c r="W150" i="1" s="1"/>
  <c r="M150" i="1"/>
  <c r="V150" i="1" s="1"/>
  <c r="T149" i="1"/>
  <c r="AC149" i="1" s="1"/>
  <c r="S149" i="1"/>
  <c r="AB149" i="1" s="1"/>
  <c r="R149" i="1"/>
  <c r="AA149" i="1" s="1"/>
  <c r="Q149" i="1"/>
  <c r="Z149" i="1" s="1"/>
  <c r="P149" i="1"/>
  <c r="Y149" i="1" s="1"/>
  <c r="O149" i="1"/>
  <c r="X149" i="1" s="1"/>
  <c r="N149" i="1"/>
  <c r="W149" i="1" s="1"/>
  <c r="M149" i="1"/>
  <c r="V149" i="1" s="1"/>
  <c r="T148" i="1"/>
  <c r="AC148" i="1" s="1"/>
  <c r="S148" i="1"/>
  <c r="AB148" i="1" s="1"/>
  <c r="R148" i="1"/>
  <c r="AA148" i="1" s="1"/>
  <c r="Q148" i="1"/>
  <c r="Z148" i="1" s="1"/>
  <c r="P148" i="1"/>
  <c r="Y148" i="1" s="1"/>
  <c r="O148" i="1"/>
  <c r="X148" i="1" s="1"/>
  <c r="N148" i="1"/>
  <c r="W148" i="1" s="1"/>
  <c r="M148" i="1"/>
  <c r="V148" i="1" s="1"/>
  <c r="T147" i="1"/>
  <c r="AC147" i="1" s="1"/>
  <c r="S147" i="1"/>
  <c r="AB147" i="1" s="1"/>
  <c r="R147" i="1"/>
  <c r="AA147" i="1" s="1"/>
  <c r="Q147" i="1"/>
  <c r="Z147" i="1" s="1"/>
  <c r="P147" i="1"/>
  <c r="Y147" i="1" s="1"/>
  <c r="O147" i="1"/>
  <c r="X147" i="1" s="1"/>
  <c r="N147" i="1"/>
  <c r="W147" i="1" s="1"/>
  <c r="M147" i="1"/>
  <c r="V147" i="1" s="1"/>
  <c r="T146" i="1"/>
  <c r="AC146" i="1" s="1"/>
  <c r="S146" i="1"/>
  <c r="AB146" i="1" s="1"/>
  <c r="R146" i="1"/>
  <c r="AA146" i="1" s="1"/>
  <c r="Q146" i="1"/>
  <c r="Z146" i="1" s="1"/>
  <c r="P146" i="1"/>
  <c r="Y146" i="1" s="1"/>
  <c r="O146" i="1"/>
  <c r="X146" i="1" s="1"/>
  <c r="N146" i="1"/>
  <c r="W146" i="1" s="1"/>
  <c r="M146" i="1"/>
  <c r="V146" i="1" s="1"/>
  <c r="T145" i="1"/>
  <c r="AC145" i="1" s="1"/>
  <c r="S145" i="1"/>
  <c r="AB145" i="1" s="1"/>
  <c r="R145" i="1"/>
  <c r="AA145" i="1" s="1"/>
  <c r="Q145" i="1"/>
  <c r="Z145" i="1" s="1"/>
  <c r="P145" i="1"/>
  <c r="Y145" i="1" s="1"/>
  <c r="O145" i="1"/>
  <c r="X145" i="1" s="1"/>
  <c r="N145" i="1"/>
  <c r="W145" i="1" s="1"/>
  <c r="M145" i="1"/>
  <c r="V145" i="1" s="1"/>
  <c r="T144" i="1"/>
  <c r="AC144" i="1" s="1"/>
  <c r="S144" i="1"/>
  <c r="AB144" i="1" s="1"/>
  <c r="R144" i="1"/>
  <c r="AA144" i="1" s="1"/>
  <c r="Q144" i="1"/>
  <c r="Z144" i="1" s="1"/>
  <c r="P144" i="1"/>
  <c r="Y144" i="1" s="1"/>
  <c r="O144" i="1"/>
  <c r="X144" i="1" s="1"/>
  <c r="N144" i="1"/>
  <c r="W144" i="1" s="1"/>
  <c r="M144" i="1"/>
  <c r="V144" i="1" s="1"/>
  <c r="T143" i="1"/>
  <c r="AC143" i="1" s="1"/>
  <c r="S143" i="1"/>
  <c r="AB143" i="1" s="1"/>
  <c r="R143" i="1"/>
  <c r="AA143" i="1" s="1"/>
  <c r="Q143" i="1"/>
  <c r="Z143" i="1" s="1"/>
  <c r="P143" i="1"/>
  <c r="Y143" i="1" s="1"/>
  <c r="O143" i="1"/>
  <c r="X143" i="1" s="1"/>
  <c r="N143" i="1"/>
  <c r="W143" i="1" s="1"/>
  <c r="M143" i="1"/>
  <c r="V143" i="1" s="1"/>
  <c r="T142" i="1"/>
  <c r="AC142" i="1" s="1"/>
  <c r="S142" i="1"/>
  <c r="AB142" i="1" s="1"/>
  <c r="R142" i="1"/>
  <c r="AA142" i="1" s="1"/>
  <c r="Q142" i="1"/>
  <c r="Z142" i="1" s="1"/>
  <c r="P142" i="1"/>
  <c r="Y142" i="1" s="1"/>
  <c r="O142" i="1"/>
  <c r="X142" i="1" s="1"/>
  <c r="N142" i="1"/>
  <c r="W142" i="1" s="1"/>
  <c r="M142" i="1"/>
  <c r="V142" i="1" s="1"/>
  <c r="T141" i="1"/>
  <c r="AC141" i="1" s="1"/>
  <c r="S141" i="1"/>
  <c r="AB141" i="1" s="1"/>
  <c r="R141" i="1"/>
  <c r="AA141" i="1" s="1"/>
  <c r="Q141" i="1"/>
  <c r="Z141" i="1" s="1"/>
  <c r="P141" i="1"/>
  <c r="Y141" i="1" s="1"/>
  <c r="O141" i="1"/>
  <c r="X141" i="1" s="1"/>
  <c r="N141" i="1"/>
  <c r="W141" i="1" s="1"/>
  <c r="M141" i="1"/>
  <c r="V141" i="1" s="1"/>
  <c r="T140" i="1"/>
  <c r="AC140" i="1" s="1"/>
  <c r="S140" i="1"/>
  <c r="AB140" i="1" s="1"/>
  <c r="R140" i="1"/>
  <c r="AA140" i="1" s="1"/>
  <c r="Q140" i="1"/>
  <c r="Z140" i="1" s="1"/>
  <c r="P140" i="1"/>
  <c r="Y140" i="1" s="1"/>
  <c r="O140" i="1"/>
  <c r="X140" i="1" s="1"/>
  <c r="N140" i="1"/>
  <c r="W140" i="1" s="1"/>
  <c r="M140" i="1"/>
  <c r="V140" i="1" s="1"/>
  <c r="T139" i="1"/>
  <c r="AC139" i="1" s="1"/>
  <c r="S139" i="1"/>
  <c r="AB139" i="1" s="1"/>
  <c r="R139" i="1"/>
  <c r="AA139" i="1" s="1"/>
  <c r="Q139" i="1"/>
  <c r="Z139" i="1" s="1"/>
  <c r="P139" i="1"/>
  <c r="Y139" i="1" s="1"/>
  <c r="O139" i="1"/>
  <c r="X139" i="1" s="1"/>
  <c r="N139" i="1"/>
  <c r="W139" i="1" s="1"/>
  <c r="M139" i="1"/>
  <c r="V139" i="1" s="1"/>
  <c r="T138" i="1"/>
  <c r="AC138" i="1" s="1"/>
  <c r="S138" i="1"/>
  <c r="AB138" i="1" s="1"/>
  <c r="R138" i="1"/>
  <c r="AA138" i="1" s="1"/>
  <c r="Q138" i="1"/>
  <c r="Z138" i="1" s="1"/>
  <c r="P138" i="1"/>
  <c r="Y138" i="1" s="1"/>
  <c r="O138" i="1"/>
  <c r="X138" i="1" s="1"/>
  <c r="N138" i="1"/>
  <c r="W138" i="1" s="1"/>
  <c r="M138" i="1"/>
  <c r="V138" i="1" s="1"/>
  <c r="T137" i="1"/>
  <c r="AC137" i="1" s="1"/>
  <c r="S137" i="1"/>
  <c r="AB137" i="1" s="1"/>
  <c r="R137" i="1"/>
  <c r="AA137" i="1" s="1"/>
  <c r="Q137" i="1"/>
  <c r="Z137" i="1" s="1"/>
  <c r="P137" i="1"/>
  <c r="Y137" i="1" s="1"/>
  <c r="O137" i="1"/>
  <c r="X137" i="1" s="1"/>
  <c r="N137" i="1"/>
  <c r="W137" i="1" s="1"/>
  <c r="M137" i="1"/>
  <c r="V137" i="1" s="1"/>
  <c r="T136" i="1"/>
  <c r="AC136" i="1" s="1"/>
  <c r="S136" i="1"/>
  <c r="AB136" i="1" s="1"/>
  <c r="R136" i="1"/>
  <c r="AA136" i="1" s="1"/>
  <c r="Q136" i="1"/>
  <c r="Z136" i="1" s="1"/>
  <c r="P136" i="1"/>
  <c r="Y136" i="1" s="1"/>
  <c r="O136" i="1"/>
  <c r="X136" i="1" s="1"/>
  <c r="N136" i="1"/>
  <c r="W136" i="1" s="1"/>
  <c r="M136" i="1"/>
  <c r="V136" i="1" s="1"/>
  <c r="T135" i="1"/>
  <c r="AC135" i="1" s="1"/>
  <c r="S135" i="1"/>
  <c r="AB135" i="1" s="1"/>
  <c r="R135" i="1"/>
  <c r="AA135" i="1" s="1"/>
  <c r="Q135" i="1"/>
  <c r="Z135" i="1" s="1"/>
  <c r="P135" i="1"/>
  <c r="Y135" i="1" s="1"/>
  <c r="O135" i="1"/>
  <c r="X135" i="1" s="1"/>
  <c r="N135" i="1"/>
  <c r="W135" i="1" s="1"/>
  <c r="M135" i="1"/>
  <c r="V135" i="1" s="1"/>
  <c r="T134" i="1"/>
  <c r="AC134" i="1" s="1"/>
  <c r="S134" i="1"/>
  <c r="AB134" i="1" s="1"/>
  <c r="R134" i="1"/>
  <c r="AA134" i="1" s="1"/>
  <c r="Q134" i="1"/>
  <c r="Z134" i="1" s="1"/>
  <c r="P134" i="1"/>
  <c r="Y134" i="1" s="1"/>
  <c r="O134" i="1"/>
  <c r="X134" i="1" s="1"/>
  <c r="N134" i="1"/>
  <c r="W134" i="1" s="1"/>
  <c r="M134" i="1"/>
  <c r="V134" i="1" s="1"/>
  <c r="T133" i="1"/>
  <c r="AC133" i="1" s="1"/>
  <c r="S133" i="1"/>
  <c r="AB133" i="1" s="1"/>
  <c r="R133" i="1"/>
  <c r="AA133" i="1" s="1"/>
  <c r="Q133" i="1"/>
  <c r="Z133" i="1" s="1"/>
  <c r="P133" i="1"/>
  <c r="Y133" i="1" s="1"/>
  <c r="O133" i="1"/>
  <c r="X133" i="1" s="1"/>
  <c r="N133" i="1"/>
  <c r="W133" i="1" s="1"/>
  <c r="M133" i="1"/>
  <c r="V133" i="1" s="1"/>
  <c r="T132" i="1"/>
  <c r="AC132" i="1" s="1"/>
  <c r="S132" i="1"/>
  <c r="AB132" i="1" s="1"/>
  <c r="R132" i="1"/>
  <c r="AA132" i="1" s="1"/>
  <c r="Q132" i="1"/>
  <c r="Z132" i="1" s="1"/>
  <c r="P132" i="1"/>
  <c r="Y132" i="1" s="1"/>
  <c r="O132" i="1"/>
  <c r="X132" i="1" s="1"/>
  <c r="N132" i="1"/>
  <c r="W132" i="1" s="1"/>
  <c r="M132" i="1"/>
  <c r="V132" i="1" s="1"/>
  <c r="T131" i="1"/>
  <c r="AC131" i="1" s="1"/>
  <c r="S131" i="1"/>
  <c r="AB131" i="1" s="1"/>
  <c r="R131" i="1"/>
  <c r="AA131" i="1" s="1"/>
  <c r="Q131" i="1"/>
  <c r="Z131" i="1" s="1"/>
  <c r="P131" i="1"/>
  <c r="Y131" i="1" s="1"/>
  <c r="O131" i="1"/>
  <c r="X131" i="1" s="1"/>
  <c r="N131" i="1"/>
  <c r="W131" i="1" s="1"/>
  <c r="M131" i="1"/>
  <c r="V131" i="1" s="1"/>
  <c r="T130" i="1"/>
  <c r="AC130" i="1" s="1"/>
  <c r="S130" i="1"/>
  <c r="AB130" i="1" s="1"/>
  <c r="R130" i="1"/>
  <c r="AA130" i="1" s="1"/>
  <c r="Q130" i="1"/>
  <c r="Z130" i="1" s="1"/>
  <c r="P130" i="1"/>
  <c r="Y130" i="1" s="1"/>
  <c r="O130" i="1"/>
  <c r="X130" i="1" s="1"/>
  <c r="N130" i="1"/>
  <c r="W130" i="1" s="1"/>
  <c r="M130" i="1"/>
  <c r="V130" i="1" s="1"/>
  <c r="T129" i="1"/>
  <c r="AC129" i="1" s="1"/>
  <c r="S129" i="1"/>
  <c r="AB129" i="1" s="1"/>
  <c r="R129" i="1"/>
  <c r="AA129" i="1" s="1"/>
  <c r="Q129" i="1"/>
  <c r="Z129" i="1" s="1"/>
  <c r="P129" i="1"/>
  <c r="Y129" i="1" s="1"/>
  <c r="O129" i="1"/>
  <c r="X129" i="1" s="1"/>
  <c r="N129" i="1"/>
  <c r="W129" i="1" s="1"/>
  <c r="M129" i="1"/>
  <c r="V129" i="1" s="1"/>
  <c r="T128" i="1"/>
  <c r="AC128" i="1" s="1"/>
  <c r="S128" i="1"/>
  <c r="AB128" i="1" s="1"/>
  <c r="R128" i="1"/>
  <c r="AA128" i="1" s="1"/>
  <c r="Q128" i="1"/>
  <c r="Z128" i="1" s="1"/>
  <c r="P128" i="1"/>
  <c r="Y128" i="1" s="1"/>
  <c r="O128" i="1"/>
  <c r="X128" i="1" s="1"/>
  <c r="N128" i="1"/>
  <c r="W128" i="1" s="1"/>
  <c r="M128" i="1"/>
  <c r="V128" i="1" s="1"/>
  <c r="T127" i="1"/>
  <c r="AC127" i="1" s="1"/>
  <c r="S127" i="1"/>
  <c r="AB127" i="1" s="1"/>
  <c r="R127" i="1"/>
  <c r="AA127" i="1" s="1"/>
  <c r="Q127" i="1"/>
  <c r="Z127" i="1" s="1"/>
  <c r="P127" i="1"/>
  <c r="Y127" i="1" s="1"/>
  <c r="O127" i="1"/>
  <c r="X127" i="1" s="1"/>
  <c r="N127" i="1"/>
  <c r="W127" i="1" s="1"/>
  <c r="M127" i="1"/>
  <c r="V127" i="1" s="1"/>
  <c r="T126" i="1"/>
  <c r="AC126" i="1" s="1"/>
  <c r="S126" i="1"/>
  <c r="AB126" i="1" s="1"/>
  <c r="R126" i="1"/>
  <c r="AA126" i="1" s="1"/>
  <c r="Q126" i="1"/>
  <c r="Z126" i="1" s="1"/>
  <c r="P126" i="1"/>
  <c r="Y126" i="1" s="1"/>
  <c r="O126" i="1"/>
  <c r="X126" i="1" s="1"/>
  <c r="N126" i="1"/>
  <c r="W126" i="1" s="1"/>
  <c r="M126" i="1"/>
  <c r="V126" i="1" s="1"/>
  <c r="T125" i="1"/>
  <c r="AC125" i="1" s="1"/>
  <c r="S125" i="1"/>
  <c r="AB125" i="1" s="1"/>
  <c r="R125" i="1"/>
  <c r="AA125" i="1" s="1"/>
  <c r="Q125" i="1"/>
  <c r="Z125" i="1" s="1"/>
  <c r="P125" i="1"/>
  <c r="Y125" i="1" s="1"/>
  <c r="O125" i="1"/>
  <c r="X125" i="1" s="1"/>
  <c r="N125" i="1"/>
  <c r="W125" i="1" s="1"/>
  <c r="M125" i="1"/>
  <c r="V125" i="1" s="1"/>
  <c r="T124" i="1"/>
  <c r="AC124" i="1" s="1"/>
  <c r="S124" i="1"/>
  <c r="AB124" i="1" s="1"/>
  <c r="R124" i="1"/>
  <c r="AA124" i="1" s="1"/>
  <c r="Q124" i="1"/>
  <c r="Z124" i="1" s="1"/>
  <c r="P124" i="1"/>
  <c r="Y124" i="1" s="1"/>
  <c r="O124" i="1"/>
  <c r="X124" i="1" s="1"/>
  <c r="N124" i="1"/>
  <c r="W124" i="1" s="1"/>
  <c r="M124" i="1"/>
  <c r="V124" i="1" s="1"/>
  <c r="T123" i="1"/>
  <c r="AC123" i="1" s="1"/>
  <c r="S123" i="1"/>
  <c r="AB123" i="1" s="1"/>
  <c r="R123" i="1"/>
  <c r="AA123" i="1" s="1"/>
  <c r="Q123" i="1"/>
  <c r="Z123" i="1" s="1"/>
  <c r="P123" i="1"/>
  <c r="Y123" i="1" s="1"/>
  <c r="O123" i="1"/>
  <c r="X123" i="1" s="1"/>
  <c r="N123" i="1"/>
  <c r="W123" i="1" s="1"/>
  <c r="M123" i="1"/>
  <c r="V123" i="1" s="1"/>
  <c r="T122" i="1"/>
  <c r="AC122" i="1" s="1"/>
  <c r="S122" i="1"/>
  <c r="AB122" i="1" s="1"/>
  <c r="R122" i="1"/>
  <c r="AA122" i="1" s="1"/>
  <c r="Q122" i="1"/>
  <c r="Z122" i="1" s="1"/>
  <c r="P122" i="1"/>
  <c r="Y122" i="1" s="1"/>
  <c r="O122" i="1"/>
  <c r="X122" i="1" s="1"/>
  <c r="N122" i="1"/>
  <c r="W122" i="1" s="1"/>
  <c r="M122" i="1"/>
  <c r="V122" i="1" s="1"/>
  <c r="T121" i="1"/>
  <c r="AC121" i="1" s="1"/>
  <c r="S121" i="1"/>
  <c r="AB121" i="1" s="1"/>
  <c r="R121" i="1"/>
  <c r="AA121" i="1" s="1"/>
  <c r="Q121" i="1"/>
  <c r="Z121" i="1" s="1"/>
  <c r="P121" i="1"/>
  <c r="Y121" i="1" s="1"/>
  <c r="O121" i="1"/>
  <c r="X121" i="1" s="1"/>
  <c r="N121" i="1"/>
  <c r="W121" i="1" s="1"/>
  <c r="M121" i="1"/>
  <c r="V121" i="1" s="1"/>
  <c r="T120" i="1"/>
  <c r="AC120" i="1" s="1"/>
  <c r="S120" i="1"/>
  <c r="AB120" i="1" s="1"/>
  <c r="R120" i="1"/>
  <c r="AA120" i="1" s="1"/>
  <c r="Q120" i="1"/>
  <c r="Z120" i="1" s="1"/>
  <c r="P120" i="1"/>
  <c r="Y120" i="1" s="1"/>
  <c r="O120" i="1"/>
  <c r="X120" i="1" s="1"/>
  <c r="N120" i="1"/>
  <c r="W120" i="1" s="1"/>
  <c r="M120" i="1"/>
  <c r="V120" i="1" s="1"/>
  <c r="T119" i="1"/>
  <c r="AC119" i="1" s="1"/>
  <c r="S119" i="1"/>
  <c r="AB119" i="1" s="1"/>
  <c r="R119" i="1"/>
  <c r="AA119" i="1" s="1"/>
  <c r="Q119" i="1"/>
  <c r="Z119" i="1" s="1"/>
  <c r="P119" i="1"/>
  <c r="Y119" i="1" s="1"/>
  <c r="O119" i="1"/>
  <c r="X119" i="1" s="1"/>
  <c r="N119" i="1"/>
  <c r="W119" i="1" s="1"/>
  <c r="M119" i="1"/>
  <c r="V119" i="1" s="1"/>
  <c r="T118" i="1"/>
  <c r="AC118" i="1" s="1"/>
  <c r="S118" i="1"/>
  <c r="AB118" i="1" s="1"/>
  <c r="R118" i="1"/>
  <c r="AA118" i="1" s="1"/>
  <c r="Q118" i="1"/>
  <c r="Z118" i="1" s="1"/>
  <c r="P118" i="1"/>
  <c r="Y118" i="1" s="1"/>
  <c r="O118" i="1"/>
  <c r="X118" i="1" s="1"/>
  <c r="N118" i="1"/>
  <c r="W118" i="1" s="1"/>
  <c r="M118" i="1"/>
  <c r="V118" i="1" s="1"/>
  <c r="T117" i="1"/>
  <c r="AC117" i="1" s="1"/>
  <c r="S117" i="1"/>
  <c r="AB117" i="1" s="1"/>
  <c r="R117" i="1"/>
  <c r="AA117" i="1" s="1"/>
  <c r="Q117" i="1"/>
  <c r="Z117" i="1" s="1"/>
  <c r="P117" i="1"/>
  <c r="Y117" i="1" s="1"/>
  <c r="O117" i="1"/>
  <c r="X117" i="1" s="1"/>
  <c r="N117" i="1"/>
  <c r="W117" i="1" s="1"/>
  <c r="M117" i="1"/>
  <c r="V117" i="1" s="1"/>
  <c r="T116" i="1"/>
  <c r="AC116" i="1" s="1"/>
  <c r="S116" i="1"/>
  <c r="AB116" i="1" s="1"/>
  <c r="R116" i="1"/>
  <c r="AA116" i="1" s="1"/>
  <c r="Q116" i="1"/>
  <c r="Z116" i="1" s="1"/>
  <c r="P116" i="1"/>
  <c r="Y116" i="1" s="1"/>
  <c r="O116" i="1"/>
  <c r="X116" i="1" s="1"/>
  <c r="N116" i="1"/>
  <c r="W116" i="1" s="1"/>
  <c r="M116" i="1"/>
  <c r="V116" i="1" s="1"/>
  <c r="T115" i="1"/>
  <c r="AC115" i="1" s="1"/>
  <c r="S115" i="1"/>
  <c r="AB115" i="1" s="1"/>
  <c r="R115" i="1"/>
  <c r="AA115" i="1" s="1"/>
  <c r="Q115" i="1"/>
  <c r="Z115" i="1" s="1"/>
  <c r="P115" i="1"/>
  <c r="Y115" i="1" s="1"/>
  <c r="O115" i="1"/>
  <c r="X115" i="1" s="1"/>
  <c r="N115" i="1"/>
  <c r="W115" i="1" s="1"/>
  <c r="M115" i="1"/>
  <c r="V115" i="1" s="1"/>
  <c r="T114" i="1"/>
  <c r="AC114" i="1" s="1"/>
  <c r="S114" i="1"/>
  <c r="AB114" i="1" s="1"/>
  <c r="R114" i="1"/>
  <c r="AA114" i="1" s="1"/>
  <c r="Q114" i="1"/>
  <c r="Z114" i="1" s="1"/>
  <c r="P114" i="1"/>
  <c r="Y114" i="1" s="1"/>
  <c r="O114" i="1"/>
  <c r="X114" i="1" s="1"/>
  <c r="N114" i="1"/>
  <c r="W114" i="1" s="1"/>
  <c r="M114" i="1"/>
  <c r="V114" i="1" s="1"/>
  <c r="T113" i="1"/>
  <c r="AC113" i="1" s="1"/>
  <c r="S113" i="1"/>
  <c r="AB113" i="1" s="1"/>
  <c r="R113" i="1"/>
  <c r="AA113" i="1" s="1"/>
  <c r="Q113" i="1"/>
  <c r="Z113" i="1" s="1"/>
  <c r="P113" i="1"/>
  <c r="Y113" i="1" s="1"/>
  <c r="O113" i="1"/>
  <c r="X113" i="1" s="1"/>
  <c r="N113" i="1"/>
  <c r="W113" i="1" s="1"/>
  <c r="M113" i="1"/>
  <c r="V113" i="1" s="1"/>
  <c r="T112" i="1"/>
  <c r="AC112" i="1" s="1"/>
  <c r="S112" i="1"/>
  <c r="AB112" i="1" s="1"/>
  <c r="R112" i="1"/>
  <c r="AA112" i="1" s="1"/>
  <c r="Q112" i="1"/>
  <c r="Z112" i="1" s="1"/>
  <c r="P112" i="1"/>
  <c r="Y112" i="1" s="1"/>
  <c r="O112" i="1"/>
  <c r="X112" i="1" s="1"/>
  <c r="N112" i="1"/>
  <c r="W112" i="1" s="1"/>
  <c r="M112" i="1"/>
  <c r="V112" i="1" s="1"/>
  <c r="T111" i="1"/>
  <c r="AC111" i="1" s="1"/>
  <c r="S111" i="1"/>
  <c r="AB111" i="1" s="1"/>
  <c r="R111" i="1"/>
  <c r="AA111" i="1" s="1"/>
  <c r="Q111" i="1"/>
  <c r="Z111" i="1" s="1"/>
  <c r="P111" i="1"/>
  <c r="Y111" i="1" s="1"/>
  <c r="O111" i="1"/>
  <c r="X111" i="1" s="1"/>
  <c r="N111" i="1"/>
  <c r="W111" i="1" s="1"/>
  <c r="M111" i="1"/>
  <c r="V111" i="1" s="1"/>
  <c r="T110" i="1"/>
  <c r="AC110" i="1" s="1"/>
  <c r="S110" i="1"/>
  <c r="AB110" i="1" s="1"/>
  <c r="R110" i="1"/>
  <c r="AA110" i="1" s="1"/>
  <c r="Q110" i="1"/>
  <c r="Z110" i="1" s="1"/>
  <c r="P110" i="1"/>
  <c r="Y110" i="1" s="1"/>
  <c r="O110" i="1"/>
  <c r="X110" i="1" s="1"/>
  <c r="N110" i="1"/>
  <c r="W110" i="1" s="1"/>
  <c r="M110" i="1"/>
  <c r="V110" i="1" s="1"/>
  <c r="T109" i="1"/>
  <c r="AC109" i="1" s="1"/>
  <c r="S109" i="1"/>
  <c r="AB109" i="1" s="1"/>
  <c r="R109" i="1"/>
  <c r="AA109" i="1" s="1"/>
  <c r="Q109" i="1"/>
  <c r="Z109" i="1" s="1"/>
  <c r="P109" i="1"/>
  <c r="Y109" i="1" s="1"/>
  <c r="O109" i="1"/>
  <c r="X109" i="1" s="1"/>
  <c r="N109" i="1"/>
  <c r="W109" i="1" s="1"/>
  <c r="M109" i="1"/>
  <c r="V109" i="1" s="1"/>
  <c r="T108" i="1"/>
  <c r="AC108" i="1" s="1"/>
  <c r="S108" i="1"/>
  <c r="AB108" i="1" s="1"/>
  <c r="R108" i="1"/>
  <c r="AA108" i="1" s="1"/>
  <c r="Q108" i="1"/>
  <c r="Z108" i="1" s="1"/>
  <c r="P108" i="1"/>
  <c r="Y108" i="1" s="1"/>
  <c r="O108" i="1"/>
  <c r="X108" i="1" s="1"/>
  <c r="N108" i="1"/>
  <c r="W108" i="1" s="1"/>
  <c r="M108" i="1"/>
  <c r="V108" i="1" s="1"/>
  <c r="T107" i="1"/>
  <c r="AC107" i="1" s="1"/>
  <c r="S107" i="1"/>
  <c r="AB107" i="1" s="1"/>
  <c r="R107" i="1"/>
  <c r="AA107" i="1" s="1"/>
  <c r="Q107" i="1"/>
  <c r="Z107" i="1" s="1"/>
  <c r="P107" i="1"/>
  <c r="Y107" i="1" s="1"/>
  <c r="O107" i="1"/>
  <c r="X107" i="1" s="1"/>
  <c r="N107" i="1"/>
  <c r="W107" i="1" s="1"/>
  <c r="M107" i="1"/>
  <c r="V107" i="1" s="1"/>
  <c r="T106" i="1"/>
  <c r="AC106" i="1" s="1"/>
  <c r="S106" i="1"/>
  <c r="AB106" i="1" s="1"/>
  <c r="R106" i="1"/>
  <c r="AA106" i="1" s="1"/>
  <c r="Q106" i="1"/>
  <c r="Z106" i="1" s="1"/>
  <c r="P106" i="1"/>
  <c r="Y106" i="1" s="1"/>
  <c r="O106" i="1"/>
  <c r="X106" i="1" s="1"/>
  <c r="N106" i="1"/>
  <c r="W106" i="1" s="1"/>
  <c r="M106" i="1"/>
  <c r="V106" i="1" s="1"/>
  <c r="T105" i="1"/>
  <c r="AC105" i="1" s="1"/>
  <c r="S105" i="1"/>
  <c r="AB105" i="1" s="1"/>
  <c r="R105" i="1"/>
  <c r="AA105" i="1" s="1"/>
  <c r="Q105" i="1"/>
  <c r="Z105" i="1" s="1"/>
  <c r="P105" i="1"/>
  <c r="Y105" i="1" s="1"/>
  <c r="O105" i="1"/>
  <c r="X105" i="1" s="1"/>
  <c r="N105" i="1"/>
  <c r="W105" i="1" s="1"/>
  <c r="M105" i="1"/>
  <c r="V105" i="1" s="1"/>
  <c r="T104" i="1"/>
  <c r="AC104" i="1" s="1"/>
  <c r="S104" i="1"/>
  <c r="AB104" i="1" s="1"/>
  <c r="R104" i="1"/>
  <c r="AA104" i="1" s="1"/>
  <c r="Q104" i="1"/>
  <c r="Z104" i="1" s="1"/>
  <c r="P104" i="1"/>
  <c r="Y104" i="1" s="1"/>
  <c r="O104" i="1"/>
  <c r="X104" i="1" s="1"/>
  <c r="N104" i="1"/>
  <c r="W104" i="1" s="1"/>
  <c r="M104" i="1"/>
  <c r="V104" i="1" s="1"/>
  <c r="T103" i="1"/>
  <c r="AC103" i="1" s="1"/>
  <c r="S103" i="1"/>
  <c r="AB103" i="1" s="1"/>
  <c r="R103" i="1"/>
  <c r="AA103" i="1" s="1"/>
  <c r="Q103" i="1"/>
  <c r="Z103" i="1" s="1"/>
  <c r="P103" i="1"/>
  <c r="Y103" i="1" s="1"/>
  <c r="O103" i="1"/>
  <c r="X103" i="1" s="1"/>
  <c r="N103" i="1"/>
  <c r="W103" i="1" s="1"/>
  <c r="M103" i="1"/>
  <c r="V103" i="1" s="1"/>
  <c r="T102" i="1"/>
  <c r="AC102" i="1" s="1"/>
  <c r="S102" i="1"/>
  <c r="AB102" i="1" s="1"/>
  <c r="R102" i="1"/>
  <c r="AA102" i="1" s="1"/>
  <c r="Q102" i="1"/>
  <c r="Z102" i="1" s="1"/>
  <c r="P102" i="1"/>
  <c r="Y102" i="1" s="1"/>
  <c r="O102" i="1"/>
  <c r="X102" i="1" s="1"/>
  <c r="N102" i="1"/>
  <c r="W102" i="1" s="1"/>
  <c r="M102" i="1"/>
  <c r="V102" i="1" s="1"/>
  <c r="T101" i="1"/>
  <c r="AC101" i="1" s="1"/>
  <c r="S101" i="1"/>
  <c r="AB101" i="1" s="1"/>
  <c r="R101" i="1"/>
  <c r="AA101" i="1" s="1"/>
  <c r="Q101" i="1"/>
  <c r="Z101" i="1" s="1"/>
  <c r="P101" i="1"/>
  <c r="Y101" i="1" s="1"/>
  <c r="O101" i="1"/>
  <c r="X101" i="1" s="1"/>
  <c r="N101" i="1"/>
  <c r="W101" i="1" s="1"/>
  <c r="M101" i="1"/>
  <c r="V101" i="1" s="1"/>
  <c r="T100" i="1"/>
  <c r="AC100" i="1" s="1"/>
  <c r="S100" i="1"/>
  <c r="AB100" i="1" s="1"/>
  <c r="R100" i="1"/>
  <c r="AA100" i="1" s="1"/>
  <c r="Q100" i="1"/>
  <c r="Z100" i="1" s="1"/>
  <c r="P100" i="1"/>
  <c r="Y100" i="1" s="1"/>
  <c r="O100" i="1"/>
  <c r="X100" i="1" s="1"/>
  <c r="N100" i="1"/>
  <c r="W100" i="1" s="1"/>
  <c r="M100" i="1"/>
  <c r="V100" i="1" s="1"/>
  <c r="T99" i="1"/>
  <c r="AC99" i="1" s="1"/>
  <c r="S99" i="1"/>
  <c r="AB99" i="1" s="1"/>
  <c r="R99" i="1"/>
  <c r="AA99" i="1" s="1"/>
  <c r="Q99" i="1"/>
  <c r="Z99" i="1" s="1"/>
  <c r="P99" i="1"/>
  <c r="Y99" i="1" s="1"/>
  <c r="O99" i="1"/>
  <c r="X99" i="1" s="1"/>
  <c r="N99" i="1"/>
  <c r="W99" i="1" s="1"/>
  <c r="M99" i="1"/>
  <c r="V99" i="1" s="1"/>
  <c r="T98" i="1"/>
  <c r="AC98" i="1" s="1"/>
  <c r="S98" i="1"/>
  <c r="AB98" i="1" s="1"/>
  <c r="R98" i="1"/>
  <c r="AA98" i="1" s="1"/>
  <c r="Q98" i="1"/>
  <c r="Z98" i="1" s="1"/>
  <c r="P98" i="1"/>
  <c r="Y98" i="1" s="1"/>
  <c r="O98" i="1"/>
  <c r="X98" i="1" s="1"/>
  <c r="N98" i="1"/>
  <c r="W98" i="1" s="1"/>
  <c r="M98" i="1"/>
  <c r="V98" i="1" s="1"/>
  <c r="T97" i="1"/>
  <c r="AC97" i="1" s="1"/>
  <c r="S97" i="1"/>
  <c r="AB97" i="1" s="1"/>
  <c r="R97" i="1"/>
  <c r="AA97" i="1" s="1"/>
  <c r="Q97" i="1"/>
  <c r="Z97" i="1" s="1"/>
  <c r="P97" i="1"/>
  <c r="Y97" i="1" s="1"/>
  <c r="O97" i="1"/>
  <c r="X97" i="1" s="1"/>
  <c r="N97" i="1"/>
  <c r="W97" i="1" s="1"/>
  <c r="M97" i="1"/>
  <c r="V97" i="1" s="1"/>
  <c r="T96" i="1"/>
  <c r="AC96" i="1" s="1"/>
  <c r="S96" i="1"/>
  <c r="AB96" i="1" s="1"/>
  <c r="R96" i="1"/>
  <c r="AA96" i="1" s="1"/>
  <c r="Q96" i="1"/>
  <c r="Z96" i="1" s="1"/>
  <c r="P96" i="1"/>
  <c r="Y96" i="1" s="1"/>
  <c r="O96" i="1"/>
  <c r="X96" i="1" s="1"/>
  <c r="N96" i="1"/>
  <c r="W96" i="1" s="1"/>
  <c r="M96" i="1"/>
  <c r="V96" i="1" s="1"/>
  <c r="T95" i="1"/>
  <c r="AC95" i="1" s="1"/>
  <c r="S95" i="1"/>
  <c r="AB95" i="1" s="1"/>
  <c r="R95" i="1"/>
  <c r="AA95" i="1" s="1"/>
  <c r="Q95" i="1"/>
  <c r="Z95" i="1" s="1"/>
  <c r="P95" i="1"/>
  <c r="Y95" i="1" s="1"/>
  <c r="O95" i="1"/>
  <c r="X95" i="1" s="1"/>
  <c r="N95" i="1"/>
  <c r="W95" i="1" s="1"/>
  <c r="M95" i="1"/>
  <c r="V95" i="1" s="1"/>
  <c r="T94" i="1"/>
  <c r="AC94" i="1" s="1"/>
  <c r="S94" i="1"/>
  <c r="AB94" i="1" s="1"/>
  <c r="R94" i="1"/>
  <c r="AA94" i="1" s="1"/>
  <c r="Q94" i="1"/>
  <c r="Z94" i="1" s="1"/>
  <c r="P94" i="1"/>
  <c r="Y94" i="1" s="1"/>
  <c r="O94" i="1"/>
  <c r="X94" i="1" s="1"/>
  <c r="N94" i="1"/>
  <c r="W94" i="1" s="1"/>
  <c r="M94" i="1"/>
  <c r="V94" i="1" s="1"/>
  <c r="T93" i="1"/>
  <c r="AC93" i="1" s="1"/>
  <c r="S93" i="1"/>
  <c r="AB93" i="1" s="1"/>
  <c r="R93" i="1"/>
  <c r="AA93" i="1" s="1"/>
  <c r="Q93" i="1"/>
  <c r="Z93" i="1" s="1"/>
  <c r="P93" i="1"/>
  <c r="Y93" i="1" s="1"/>
  <c r="O93" i="1"/>
  <c r="X93" i="1" s="1"/>
  <c r="N93" i="1"/>
  <c r="W93" i="1" s="1"/>
  <c r="M93" i="1"/>
  <c r="V93" i="1" s="1"/>
  <c r="T92" i="1"/>
  <c r="AC92" i="1" s="1"/>
  <c r="S92" i="1"/>
  <c r="AB92" i="1" s="1"/>
  <c r="R92" i="1"/>
  <c r="AA92" i="1" s="1"/>
  <c r="Q92" i="1"/>
  <c r="Z92" i="1" s="1"/>
  <c r="P92" i="1"/>
  <c r="Y92" i="1" s="1"/>
  <c r="O92" i="1"/>
  <c r="X92" i="1" s="1"/>
  <c r="N92" i="1"/>
  <c r="W92" i="1" s="1"/>
  <c r="M92" i="1"/>
  <c r="V92" i="1" s="1"/>
  <c r="T91" i="1"/>
  <c r="AC91" i="1" s="1"/>
  <c r="S91" i="1"/>
  <c r="AB91" i="1" s="1"/>
  <c r="R91" i="1"/>
  <c r="AA91" i="1" s="1"/>
  <c r="Q91" i="1"/>
  <c r="Z91" i="1" s="1"/>
  <c r="P91" i="1"/>
  <c r="Y91" i="1" s="1"/>
  <c r="O91" i="1"/>
  <c r="X91" i="1" s="1"/>
  <c r="N91" i="1"/>
  <c r="W91" i="1" s="1"/>
  <c r="M91" i="1"/>
  <c r="V91" i="1" s="1"/>
  <c r="T90" i="1"/>
  <c r="AC90" i="1" s="1"/>
  <c r="S90" i="1"/>
  <c r="AB90" i="1" s="1"/>
  <c r="R90" i="1"/>
  <c r="AA90" i="1" s="1"/>
  <c r="Q90" i="1"/>
  <c r="Z90" i="1" s="1"/>
  <c r="P90" i="1"/>
  <c r="Y90" i="1" s="1"/>
  <c r="O90" i="1"/>
  <c r="X90" i="1" s="1"/>
  <c r="N90" i="1"/>
  <c r="W90" i="1" s="1"/>
  <c r="M90" i="1"/>
  <c r="V90" i="1" s="1"/>
  <c r="T89" i="1"/>
  <c r="AC89" i="1" s="1"/>
  <c r="S89" i="1"/>
  <c r="AB89" i="1" s="1"/>
  <c r="R89" i="1"/>
  <c r="AA89" i="1" s="1"/>
  <c r="Q89" i="1"/>
  <c r="Z89" i="1" s="1"/>
  <c r="P89" i="1"/>
  <c r="Y89" i="1" s="1"/>
  <c r="O89" i="1"/>
  <c r="X89" i="1" s="1"/>
  <c r="N89" i="1"/>
  <c r="W89" i="1" s="1"/>
  <c r="M89" i="1"/>
  <c r="V89" i="1" s="1"/>
  <c r="T88" i="1"/>
  <c r="AC88" i="1" s="1"/>
  <c r="S88" i="1"/>
  <c r="AB88" i="1" s="1"/>
  <c r="R88" i="1"/>
  <c r="AA88" i="1" s="1"/>
  <c r="Q88" i="1"/>
  <c r="Z88" i="1" s="1"/>
  <c r="P88" i="1"/>
  <c r="Y88" i="1" s="1"/>
  <c r="O88" i="1"/>
  <c r="X88" i="1" s="1"/>
  <c r="N88" i="1"/>
  <c r="W88" i="1" s="1"/>
  <c r="M88" i="1"/>
  <c r="V88" i="1" s="1"/>
  <c r="T87" i="1"/>
  <c r="AC87" i="1" s="1"/>
  <c r="S87" i="1"/>
  <c r="AB87" i="1" s="1"/>
  <c r="R87" i="1"/>
  <c r="AA87" i="1" s="1"/>
  <c r="Q87" i="1"/>
  <c r="Z87" i="1" s="1"/>
  <c r="P87" i="1"/>
  <c r="Y87" i="1" s="1"/>
  <c r="O87" i="1"/>
  <c r="X87" i="1" s="1"/>
  <c r="N87" i="1"/>
  <c r="W87" i="1" s="1"/>
  <c r="M87" i="1"/>
  <c r="V87" i="1" s="1"/>
  <c r="T86" i="1"/>
  <c r="AC86" i="1" s="1"/>
  <c r="S86" i="1"/>
  <c r="AB86" i="1" s="1"/>
  <c r="R86" i="1"/>
  <c r="AA86" i="1" s="1"/>
  <c r="Q86" i="1"/>
  <c r="Z86" i="1" s="1"/>
  <c r="P86" i="1"/>
  <c r="Y86" i="1" s="1"/>
  <c r="O86" i="1"/>
  <c r="X86" i="1" s="1"/>
  <c r="N86" i="1"/>
  <c r="W86" i="1" s="1"/>
  <c r="M86" i="1"/>
  <c r="V86" i="1" s="1"/>
  <c r="T85" i="1"/>
  <c r="AC85" i="1" s="1"/>
  <c r="S85" i="1"/>
  <c r="AB85" i="1" s="1"/>
  <c r="R85" i="1"/>
  <c r="AA85" i="1" s="1"/>
  <c r="Q85" i="1"/>
  <c r="Z85" i="1" s="1"/>
  <c r="P85" i="1"/>
  <c r="Y85" i="1" s="1"/>
  <c r="O85" i="1"/>
  <c r="X85" i="1" s="1"/>
  <c r="N85" i="1"/>
  <c r="W85" i="1" s="1"/>
  <c r="M85" i="1"/>
  <c r="V85" i="1" s="1"/>
  <c r="T84" i="1"/>
  <c r="AC84" i="1" s="1"/>
  <c r="S84" i="1"/>
  <c r="AB84" i="1" s="1"/>
  <c r="R84" i="1"/>
  <c r="AA84" i="1" s="1"/>
  <c r="Q84" i="1"/>
  <c r="Z84" i="1" s="1"/>
  <c r="P84" i="1"/>
  <c r="Y84" i="1" s="1"/>
  <c r="O84" i="1"/>
  <c r="X84" i="1" s="1"/>
  <c r="N84" i="1"/>
  <c r="W84" i="1" s="1"/>
  <c r="M84" i="1"/>
  <c r="V84" i="1" s="1"/>
  <c r="T83" i="1"/>
  <c r="AC83" i="1" s="1"/>
  <c r="S83" i="1"/>
  <c r="AB83" i="1" s="1"/>
  <c r="R83" i="1"/>
  <c r="AA83" i="1" s="1"/>
  <c r="Q83" i="1"/>
  <c r="Z83" i="1" s="1"/>
  <c r="P83" i="1"/>
  <c r="Y83" i="1" s="1"/>
  <c r="O83" i="1"/>
  <c r="X83" i="1" s="1"/>
  <c r="N83" i="1"/>
  <c r="W83" i="1" s="1"/>
  <c r="M83" i="1"/>
  <c r="V83" i="1" s="1"/>
  <c r="T82" i="1"/>
  <c r="AC82" i="1" s="1"/>
  <c r="S82" i="1"/>
  <c r="AB82" i="1" s="1"/>
  <c r="R82" i="1"/>
  <c r="AA82" i="1" s="1"/>
  <c r="Q82" i="1"/>
  <c r="Z82" i="1" s="1"/>
  <c r="P82" i="1"/>
  <c r="Y82" i="1" s="1"/>
  <c r="O82" i="1"/>
  <c r="X82" i="1" s="1"/>
  <c r="N82" i="1"/>
  <c r="W82" i="1" s="1"/>
  <c r="M82" i="1"/>
  <c r="V82" i="1" s="1"/>
  <c r="T81" i="1"/>
  <c r="AC81" i="1" s="1"/>
  <c r="S81" i="1"/>
  <c r="AB81" i="1" s="1"/>
  <c r="R81" i="1"/>
  <c r="AA81" i="1" s="1"/>
  <c r="Q81" i="1"/>
  <c r="Z81" i="1" s="1"/>
  <c r="P81" i="1"/>
  <c r="Y81" i="1" s="1"/>
  <c r="O81" i="1"/>
  <c r="X81" i="1" s="1"/>
  <c r="N81" i="1"/>
  <c r="W81" i="1" s="1"/>
  <c r="M81" i="1"/>
  <c r="V81" i="1" s="1"/>
  <c r="T80" i="1"/>
  <c r="AC80" i="1" s="1"/>
  <c r="S80" i="1"/>
  <c r="AB80" i="1" s="1"/>
  <c r="R80" i="1"/>
  <c r="AA80" i="1" s="1"/>
  <c r="Q80" i="1"/>
  <c r="Z80" i="1" s="1"/>
  <c r="P80" i="1"/>
  <c r="Y80" i="1" s="1"/>
  <c r="O80" i="1"/>
  <c r="X80" i="1" s="1"/>
  <c r="N80" i="1"/>
  <c r="W80" i="1" s="1"/>
  <c r="M80" i="1"/>
  <c r="V80" i="1" s="1"/>
  <c r="T79" i="1"/>
  <c r="AC79" i="1" s="1"/>
  <c r="S79" i="1"/>
  <c r="AB79" i="1" s="1"/>
  <c r="R79" i="1"/>
  <c r="AA79" i="1" s="1"/>
  <c r="Q79" i="1"/>
  <c r="Z79" i="1" s="1"/>
  <c r="P79" i="1"/>
  <c r="Y79" i="1" s="1"/>
  <c r="O79" i="1"/>
  <c r="X79" i="1" s="1"/>
  <c r="N79" i="1"/>
  <c r="W79" i="1" s="1"/>
  <c r="M79" i="1"/>
  <c r="V79" i="1" s="1"/>
  <c r="T78" i="1"/>
  <c r="AC78" i="1" s="1"/>
  <c r="S78" i="1"/>
  <c r="AB78" i="1" s="1"/>
  <c r="R78" i="1"/>
  <c r="AA78" i="1" s="1"/>
  <c r="Q78" i="1"/>
  <c r="Z78" i="1" s="1"/>
  <c r="P78" i="1"/>
  <c r="Y78" i="1" s="1"/>
  <c r="O78" i="1"/>
  <c r="X78" i="1" s="1"/>
  <c r="N78" i="1"/>
  <c r="W78" i="1" s="1"/>
  <c r="M78" i="1"/>
  <c r="V78" i="1" s="1"/>
  <c r="T77" i="1"/>
  <c r="AC77" i="1" s="1"/>
  <c r="S77" i="1"/>
  <c r="AB77" i="1" s="1"/>
  <c r="R77" i="1"/>
  <c r="AA77" i="1" s="1"/>
  <c r="Q77" i="1"/>
  <c r="Z77" i="1" s="1"/>
  <c r="P77" i="1"/>
  <c r="Y77" i="1" s="1"/>
  <c r="O77" i="1"/>
  <c r="X77" i="1" s="1"/>
  <c r="N77" i="1"/>
  <c r="W77" i="1" s="1"/>
  <c r="M77" i="1"/>
  <c r="V77" i="1" s="1"/>
  <c r="T76" i="1"/>
  <c r="AC76" i="1" s="1"/>
  <c r="S76" i="1"/>
  <c r="AB76" i="1" s="1"/>
  <c r="R76" i="1"/>
  <c r="AA76" i="1" s="1"/>
  <c r="Q76" i="1"/>
  <c r="Z76" i="1" s="1"/>
  <c r="P76" i="1"/>
  <c r="Y76" i="1" s="1"/>
  <c r="O76" i="1"/>
  <c r="X76" i="1" s="1"/>
  <c r="N76" i="1"/>
  <c r="W76" i="1" s="1"/>
  <c r="M76" i="1"/>
  <c r="V76" i="1" s="1"/>
  <c r="T75" i="1"/>
  <c r="AC75" i="1" s="1"/>
  <c r="S75" i="1"/>
  <c r="AB75" i="1" s="1"/>
  <c r="R75" i="1"/>
  <c r="AA75" i="1" s="1"/>
  <c r="Q75" i="1"/>
  <c r="Z75" i="1" s="1"/>
  <c r="P75" i="1"/>
  <c r="Y75" i="1" s="1"/>
  <c r="O75" i="1"/>
  <c r="X75" i="1" s="1"/>
  <c r="N75" i="1"/>
  <c r="W75" i="1" s="1"/>
  <c r="M75" i="1"/>
  <c r="V75" i="1" s="1"/>
  <c r="T74" i="1"/>
  <c r="AC74" i="1" s="1"/>
  <c r="S74" i="1"/>
  <c r="AB74" i="1" s="1"/>
  <c r="R74" i="1"/>
  <c r="AA74" i="1" s="1"/>
  <c r="Q74" i="1"/>
  <c r="Z74" i="1" s="1"/>
  <c r="P74" i="1"/>
  <c r="Y74" i="1" s="1"/>
  <c r="O74" i="1"/>
  <c r="X74" i="1" s="1"/>
  <c r="N74" i="1"/>
  <c r="W74" i="1" s="1"/>
  <c r="M74" i="1"/>
  <c r="V74" i="1" s="1"/>
  <c r="T73" i="1"/>
  <c r="AC73" i="1" s="1"/>
  <c r="S73" i="1"/>
  <c r="AB73" i="1" s="1"/>
  <c r="R73" i="1"/>
  <c r="AA73" i="1" s="1"/>
  <c r="Q73" i="1"/>
  <c r="Z73" i="1" s="1"/>
  <c r="P73" i="1"/>
  <c r="Y73" i="1" s="1"/>
  <c r="O73" i="1"/>
  <c r="X73" i="1" s="1"/>
  <c r="N73" i="1"/>
  <c r="W73" i="1" s="1"/>
  <c r="M73" i="1"/>
  <c r="V73" i="1" s="1"/>
  <c r="T72" i="1"/>
  <c r="AC72" i="1" s="1"/>
  <c r="S72" i="1"/>
  <c r="AB72" i="1" s="1"/>
  <c r="R72" i="1"/>
  <c r="AA72" i="1" s="1"/>
  <c r="Q72" i="1"/>
  <c r="Z72" i="1" s="1"/>
  <c r="P72" i="1"/>
  <c r="Y72" i="1" s="1"/>
  <c r="O72" i="1"/>
  <c r="X72" i="1" s="1"/>
  <c r="N72" i="1"/>
  <c r="W72" i="1" s="1"/>
  <c r="M72" i="1"/>
  <c r="V72" i="1" s="1"/>
  <c r="T71" i="1"/>
  <c r="AC71" i="1" s="1"/>
  <c r="S71" i="1"/>
  <c r="AB71" i="1" s="1"/>
  <c r="R71" i="1"/>
  <c r="AA71" i="1" s="1"/>
  <c r="Q71" i="1"/>
  <c r="Z71" i="1" s="1"/>
  <c r="P71" i="1"/>
  <c r="Y71" i="1" s="1"/>
  <c r="O71" i="1"/>
  <c r="X71" i="1" s="1"/>
  <c r="N71" i="1"/>
  <c r="W71" i="1" s="1"/>
  <c r="M71" i="1"/>
  <c r="V71" i="1" s="1"/>
  <c r="T70" i="1"/>
  <c r="AC70" i="1" s="1"/>
  <c r="S70" i="1"/>
  <c r="AB70" i="1" s="1"/>
  <c r="R70" i="1"/>
  <c r="AA70" i="1" s="1"/>
  <c r="Q70" i="1"/>
  <c r="Z70" i="1" s="1"/>
  <c r="P70" i="1"/>
  <c r="Y70" i="1" s="1"/>
  <c r="O70" i="1"/>
  <c r="X70" i="1" s="1"/>
  <c r="N70" i="1"/>
  <c r="W70" i="1" s="1"/>
  <c r="M70" i="1"/>
  <c r="V70" i="1" s="1"/>
  <c r="T69" i="1"/>
  <c r="AC69" i="1" s="1"/>
  <c r="S69" i="1"/>
  <c r="AB69" i="1" s="1"/>
  <c r="R69" i="1"/>
  <c r="AA69" i="1" s="1"/>
  <c r="Q69" i="1"/>
  <c r="Z69" i="1" s="1"/>
  <c r="P69" i="1"/>
  <c r="Y69" i="1" s="1"/>
  <c r="O69" i="1"/>
  <c r="X69" i="1" s="1"/>
  <c r="N69" i="1"/>
  <c r="W69" i="1" s="1"/>
  <c r="M69" i="1"/>
  <c r="V69" i="1" s="1"/>
  <c r="T68" i="1"/>
  <c r="AC68" i="1" s="1"/>
  <c r="S68" i="1"/>
  <c r="AB68" i="1" s="1"/>
  <c r="R68" i="1"/>
  <c r="AA68" i="1" s="1"/>
  <c r="Q68" i="1"/>
  <c r="Z68" i="1" s="1"/>
  <c r="P68" i="1"/>
  <c r="Y68" i="1" s="1"/>
  <c r="O68" i="1"/>
  <c r="X68" i="1" s="1"/>
  <c r="N68" i="1"/>
  <c r="W68" i="1" s="1"/>
  <c r="M68" i="1"/>
  <c r="V68" i="1" s="1"/>
  <c r="T67" i="1"/>
  <c r="AC67" i="1" s="1"/>
  <c r="S67" i="1"/>
  <c r="AB67" i="1" s="1"/>
  <c r="R67" i="1"/>
  <c r="AA67" i="1" s="1"/>
  <c r="Q67" i="1"/>
  <c r="Z67" i="1" s="1"/>
  <c r="P67" i="1"/>
  <c r="Y67" i="1" s="1"/>
  <c r="O67" i="1"/>
  <c r="X67" i="1" s="1"/>
  <c r="N67" i="1"/>
  <c r="W67" i="1" s="1"/>
  <c r="M67" i="1"/>
  <c r="V67" i="1" s="1"/>
  <c r="T66" i="1"/>
  <c r="AC66" i="1" s="1"/>
  <c r="S66" i="1"/>
  <c r="AB66" i="1" s="1"/>
  <c r="R66" i="1"/>
  <c r="AA66" i="1" s="1"/>
  <c r="Q66" i="1"/>
  <c r="Z66" i="1" s="1"/>
  <c r="P66" i="1"/>
  <c r="Y66" i="1" s="1"/>
  <c r="O66" i="1"/>
  <c r="X66" i="1" s="1"/>
  <c r="N66" i="1"/>
  <c r="W66" i="1" s="1"/>
  <c r="M66" i="1"/>
  <c r="V66" i="1" s="1"/>
  <c r="T65" i="1"/>
  <c r="AC65" i="1" s="1"/>
  <c r="S65" i="1"/>
  <c r="AB65" i="1" s="1"/>
  <c r="R65" i="1"/>
  <c r="AA65" i="1" s="1"/>
  <c r="Q65" i="1"/>
  <c r="Z65" i="1" s="1"/>
  <c r="P65" i="1"/>
  <c r="Y65" i="1" s="1"/>
  <c r="O65" i="1"/>
  <c r="X65" i="1" s="1"/>
  <c r="N65" i="1"/>
  <c r="W65" i="1" s="1"/>
  <c r="M65" i="1"/>
  <c r="V65" i="1" s="1"/>
  <c r="T64" i="1"/>
  <c r="AC64" i="1" s="1"/>
  <c r="S64" i="1"/>
  <c r="AB64" i="1" s="1"/>
  <c r="R64" i="1"/>
  <c r="AA64" i="1" s="1"/>
  <c r="Q64" i="1"/>
  <c r="Z64" i="1" s="1"/>
  <c r="P64" i="1"/>
  <c r="Y64" i="1" s="1"/>
  <c r="O64" i="1"/>
  <c r="X64" i="1" s="1"/>
  <c r="N64" i="1"/>
  <c r="W64" i="1" s="1"/>
  <c r="M64" i="1"/>
  <c r="V64" i="1" s="1"/>
  <c r="T63" i="1"/>
  <c r="AC63" i="1" s="1"/>
  <c r="S63" i="1"/>
  <c r="AB63" i="1" s="1"/>
  <c r="R63" i="1"/>
  <c r="AA63" i="1" s="1"/>
  <c r="Q63" i="1"/>
  <c r="Z63" i="1" s="1"/>
  <c r="P63" i="1"/>
  <c r="Y63" i="1" s="1"/>
  <c r="O63" i="1"/>
  <c r="X63" i="1" s="1"/>
  <c r="N63" i="1"/>
  <c r="W63" i="1" s="1"/>
  <c r="M63" i="1"/>
  <c r="V63" i="1" s="1"/>
  <c r="T62" i="1"/>
  <c r="AC62" i="1" s="1"/>
  <c r="S62" i="1"/>
  <c r="AB62" i="1" s="1"/>
  <c r="R62" i="1"/>
  <c r="AA62" i="1" s="1"/>
  <c r="Q62" i="1"/>
  <c r="Z62" i="1" s="1"/>
  <c r="P62" i="1"/>
  <c r="Y62" i="1" s="1"/>
  <c r="O62" i="1"/>
  <c r="X62" i="1" s="1"/>
  <c r="N62" i="1"/>
  <c r="W62" i="1" s="1"/>
  <c r="M62" i="1"/>
  <c r="V62" i="1" s="1"/>
  <c r="T61" i="1"/>
  <c r="AC61" i="1" s="1"/>
  <c r="S61" i="1"/>
  <c r="AB61" i="1" s="1"/>
  <c r="R61" i="1"/>
  <c r="AA61" i="1" s="1"/>
  <c r="Q61" i="1"/>
  <c r="Z61" i="1" s="1"/>
  <c r="P61" i="1"/>
  <c r="Y61" i="1" s="1"/>
  <c r="O61" i="1"/>
  <c r="X61" i="1" s="1"/>
  <c r="N61" i="1"/>
  <c r="W61" i="1" s="1"/>
  <c r="M61" i="1"/>
  <c r="V61" i="1" s="1"/>
  <c r="T60" i="1"/>
  <c r="AC60" i="1" s="1"/>
  <c r="S60" i="1"/>
  <c r="AB60" i="1" s="1"/>
  <c r="R60" i="1"/>
  <c r="AA60" i="1" s="1"/>
  <c r="Q60" i="1"/>
  <c r="Z60" i="1" s="1"/>
  <c r="P60" i="1"/>
  <c r="Y60" i="1" s="1"/>
  <c r="O60" i="1"/>
  <c r="X60" i="1" s="1"/>
  <c r="N60" i="1"/>
  <c r="W60" i="1" s="1"/>
  <c r="M60" i="1"/>
  <c r="V60" i="1" s="1"/>
  <c r="T59" i="1"/>
  <c r="AC59" i="1" s="1"/>
  <c r="S59" i="1"/>
  <c r="AB59" i="1" s="1"/>
  <c r="R59" i="1"/>
  <c r="AA59" i="1" s="1"/>
  <c r="Q59" i="1"/>
  <c r="Z59" i="1" s="1"/>
  <c r="P59" i="1"/>
  <c r="Y59" i="1" s="1"/>
  <c r="O59" i="1"/>
  <c r="X59" i="1" s="1"/>
  <c r="N59" i="1"/>
  <c r="W59" i="1" s="1"/>
  <c r="M59" i="1"/>
  <c r="V59" i="1" s="1"/>
  <c r="T58" i="1"/>
  <c r="AC58" i="1" s="1"/>
  <c r="S58" i="1"/>
  <c r="AB58" i="1" s="1"/>
  <c r="R58" i="1"/>
  <c r="AA58" i="1" s="1"/>
  <c r="Q58" i="1"/>
  <c r="Z58" i="1" s="1"/>
  <c r="P58" i="1"/>
  <c r="Y58" i="1" s="1"/>
  <c r="O58" i="1"/>
  <c r="X58" i="1" s="1"/>
  <c r="N58" i="1"/>
  <c r="W58" i="1" s="1"/>
  <c r="M58" i="1"/>
  <c r="V58" i="1" s="1"/>
  <c r="T57" i="1"/>
  <c r="AC57" i="1" s="1"/>
  <c r="S57" i="1"/>
  <c r="AB57" i="1" s="1"/>
  <c r="R57" i="1"/>
  <c r="AA57" i="1" s="1"/>
  <c r="Q57" i="1"/>
  <c r="Z57" i="1" s="1"/>
  <c r="P57" i="1"/>
  <c r="Y57" i="1" s="1"/>
  <c r="O57" i="1"/>
  <c r="X57" i="1" s="1"/>
  <c r="N57" i="1"/>
  <c r="W57" i="1" s="1"/>
  <c r="M57" i="1"/>
  <c r="V57" i="1" s="1"/>
  <c r="T56" i="1"/>
  <c r="AC56" i="1" s="1"/>
  <c r="S56" i="1"/>
  <c r="AB56" i="1" s="1"/>
  <c r="R56" i="1"/>
  <c r="AA56" i="1" s="1"/>
  <c r="Q56" i="1"/>
  <c r="Z56" i="1" s="1"/>
  <c r="P56" i="1"/>
  <c r="Y56" i="1" s="1"/>
  <c r="O56" i="1"/>
  <c r="X56" i="1" s="1"/>
  <c r="N56" i="1"/>
  <c r="W56" i="1" s="1"/>
  <c r="M56" i="1"/>
  <c r="V56" i="1" s="1"/>
  <c r="T55" i="1"/>
  <c r="AC55" i="1" s="1"/>
  <c r="S55" i="1"/>
  <c r="AB55" i="1" s="1"/>
  <c r="R55" i="1"/>
  <c r="AA55" i="1" s="1"/>
  <c r="Q55" i="1"/>
  <c r="Z55" i="1" s="1"/>
  <c r="P55" i="1"/>
  <c r="Y55" i="1" s="1"/>
  <c r="O55" i="1"/>
  <c r="X55" i="1" s="1"/>
  <c r="N55" i="1"/>
  <c r="W55" i="1" s="1"/>
  <c r="M55" i="1"/>
  <c r="V55" i="1" s="1"/>
  <c r="T54" i="1"/>
  <c r="AC54" i="1" s="1"/>
  <c r="S54" i="1"/>
  <c r="AB54" i="1" s="1"/>
  <c r="R54" i="1"/>
  <c r="AA54" i="1" s="1"/>
  <c r="Q54" i="1"/>
  <c r="Z54" i="1" s="1"/>
  <c r="P54" i="1"/>
  <c r="Y54" i="1" s="1"/>
  <c r="O54" i="1"/>
  <c r="X54" i="1" s="1"/>
  <c r="N54" i="1"/>
  <c r="W54" i="1" s="1"/>
  <c r="M54" i="1"/>
  <c r="V54" i="1" s="1"/>
  <c r="T53" i="1"/>
  <c r="AC53" i="1" s="1"/>
  <c r="S53" i="1"/>
  <c r="AB53" i="1" s="1"/>
  <c r="R53" i="1"/>
  <c r="AA53" i="1" s="1"/>
  <c r="Q53" i="1"/>
  <c r="Z53" i="1" s="1"/>
  <c r="P53" i="1"/>
  <c r="Y53" i="1" s="1"/>
  <c r="O53" i="1"/>
  <c r="X53" i="1" s="1"/>
  <c r="N53" i="1"/>
  <c r="W53" i="1" s="1"/>
  <c r="M53" i="1"/>
  <c r="V53" i="1" s="1"/>
  <c r="T52" i="1"/>
  <c r="AC52" i="1" s="1"/>
  <c r="S52" i="1"/>
  <c r="AB52" i="1" s="1"/>
  <c r="R52" i="1"/>
  <c r="AA52" i="1" s="1"/>
  <c r="Q52" i="1"/>
  <c r="Z52" i="1" s="1"/>
  <c r="P52" i="1"/>
  <c r="Y52" i="1" s="1"/>
  <c r="O52" i="1"/>
  <c r="X52" i="1" s="1"/>
  <c r="N52" i="1"/>
  <c r="W52" i="1" s="1"/>
  <c r="M52" i="1"/>
  <c r="V52" i="1" s="1"/>
  <c r="T51" i="1"/>
  <c r="AC51" i="1" s="1"/>
  <c r="S51" i="1"/>
  <c r="AB51" i="1" s="1"/>
  <c r="R51" i="1"/>
  <c r="AA51" i="1" s="1"/>
  <c r="Q51" i="1"/>
  <c r="Z51" i="1" s="1"/>
  <c r="P51" i="1"/>
  <c r="Y51" i="1" s="1"/>
  <c r="O51" i="1"/>
  <c r="X51" i="1" s="1"/>
  <c r="N51" i="1"/>
  <c r="W51" i="1" s="1"/>
  <c r="M51" i="1"/>
  <c r="V51" i="1" s="1"/>
  <c r="T50" i="1"/>
  <c r="AC50" i="1" s="1"/>
  <c r="S50" i="1"/>
  <c r="AB50" i="1" s="1"/>
  <c r="R50" i="1"/>
  <c r="AA50" i="1" s="1"/>
  <c r="Q50" i="1"/>
  <c r="Z50" i="1" s="1"/>
  <c r="P50" i="1"/>
  <c r="Y50" i="1" s="1"/>
  <c r="O50" i="1"/>
  <c r="X50" i="1" s="1"/>
  <c r="N50" i="1"/>
  <c r="W50" i="1" s="1"/>
  <c r="M50" i="1"/>
  <c r="V50" i="1" s="1"/>
  <c r="T49" i="1"/>
  <c r="AC49" i="1" s="1"/>
  <c r="S49" i="1"/>
  <c r="AB49" i="1" s="1"/>
  <c r="R49" i="1"/>
  <c r="AA49" i="1" s="1"/>
  <c r="Q49" i="1"/>
  <c r="Z49" i="1" s="1"/>
  <c r="P49" i="1"/>
  <c r="Y49" i="1" s="1"/>
  <c r="O49" i="1"/>
  <c r="X49" i="1" s="1"/>
  <c r="N49" i="1"/>
  <c r="W49" i="1" s="1"/>
  <c r="M49" i="1"/>
  <c r="V49" i="1" s="1"/>
  <c r="T48" i="1"/>
  <c r="AC48" i="1" s="1"/>
  <c r="S48" i="1"/>
  <c r="AB48" i="1" s="1"/>
  <c r="R48" i="1"/>
  <c r="AA48" i="1" s="1"/>
  <c r="Q48" i="1"/>
  <c r="Z48" i="1" s="1"/>
  <c r="P48" i="1"/>
  <c r="Y48" i="1" s="1"/>
  <c r="O48" i="1"/>
  <c r="X48" i="1" s="1"/>
  <c r="N48" i="1"/>
  <c r="W48" i="1" s="1"/>
  <c r="M48" i="1"/>
  <c r="V48" i="1" s="1"/>
  <c r="T47" i="1"/>
  <c r="AC47" i="1" s="1"/>
  <c r="S47" i="1"/>
  <c r="AB47" i="1" s="1"/>
  <c r="R47" i="1"/>
  <c r="AA47" i="1" s="1"/>
  <c r="Q47" i="1"/>
  <c r="Z47" i="1" s="1"/>
  <c r="P47" i="1"/>
  <c r="Y47" i="1" s="1"/>
  <c r="O47" i="1"/>
  <c r="X47" i="1" s="1"/>
  <c r="N47" i="1"/>
  <c r="W47" i="1" s="1"/>
  <c r="M47" i="1"/>
  <c r="V47" i="1" s="1"/>
  <c r="T46" i="1"/>
  <c r="AC46" i="1" s="1"/>
  <c r="S46" i="1"/>
  <c r="AB46" i="1" s="1"/>
  <c r="R46" i="1"/>
  <c r="AA46" i="1" s="1"/>
  <c r="Q46" i="1"/>
  <c r="Z46" i="1" s="1"/>
  <c r="P46" i="1"/>
  <c r="Y46" i="1" s="1"/>
  <c r="O46" i="1"/>
  <c r="X46" i="1" s="1"/>
  <c r="N46" i="1"/>
  <c r="W46" i="1" s="1"/>
  <c r="M46" i="1"/>
  <c r="V46" i="1" s="1"/>
  <c r="T45" i="1"/>
  <c r="AC45" i="1" s="1"/>
  <c r="S45" i="1"/>
  <c r="AB45" i="1" s="1"/>
  <c r="R45" i="1"/>
  <c r="AA45" i="1" s="1"/>
  <c r="Q45" i="1"/>
  <c r="Z45" i="1" s="1"/>
  <c r="P45" i="1"/>
  <c r="Y45" i="1" s="1"/>
  <c r="O45" i="1"/>
  <c r="X45" i="1" s="1"/>
  <c r="N45" i="1"/>
  <c r="W45" i="1" s="1"/>
  <c r="M45" i="1"/>
  <c r="V45" i="1" s="1"/>
  <c r="T44" i="1"/>
  <c r="AC44" i="1" s="1"/>
  <c r="S44" i="1"/>
  <c r="AB44" i="1" s="1"/>
  <c r="R44" i="1"/>
  <c r="AA44" i="1" s="1"/>
  <c r="Q44" i="1"/>
  <c r="Z44" i="1" s="1"/>
  <c r="P44" i="1"/>
  <c r="Y44" i="1" s="1"/>
  <c r="O44" i="1"/>
  <c r="X44" i="1" s="1"/>
  <c r="N44" i="1"/>
  <c r="W44" i="1" s="1"/>
  <c r="M44" i="1"/>
  <c r="V44" i="1" s="1"/>
  <c r="T43" i="1"/>
  <c r="AC43" i="1" s="1"/>
  <c r="S43" i="1"/>
  <c r="AB43" i="1" s="1"/>
  <c r="R43" i="1"/>
  <c r="AA43" i="1" s="1"/>
  <c r="Q43" i="1"/>
  <c r="Z43" i="1" s="1"/>
  <c r="P43" i="1"/>
  <c r="Y43" i="1" s="1"/>
  <c r="O43" i="1"/>
  <c r="X43" i="1" s="1"/>
  <c r="N43" i="1"/>
  <c r="W43" i="1" s="1"/>
  <c r="M43" i="1"/>
  <c r="V43" i="1" s="1"/>
  <c r="T42" i="1"/>
  <c r="AC42" i="1" s="1"/>
  <c r="S42" i="1"/>
  <c r="AB42" i="1" s="1"/>
  <c r="R42" i="1"/>
  <c r="AA42" i="1" s="1"/>
  <c r="Q42" i="1"/>
  <c r="Z42" i="1" s="1"/>
  <c r="P42" i="1"/>
  <c r="Y42" i="1" s="1"/>
  <c r="O42" i="1"/>
  <c r="X42" i="1" s="1"/>
  <c r="N42" i="1"/>
  <c r="W42" i="1" s="1"/>
  <c r="M42" i="1"/>
  <c r="V42" i="1" s="1"/>
  <c r="T41" i="1"/>
  <c r="AC41" i="1" s="1"/>
  <c r="S41" i="1"/>
  <c r="AB41" i="1" s="1"/>
  <c r="R41" i="1"/>
  <c r="AA41" i="1" s="1"/>
  <c r="Q41" i="1"/>
  <c r="Z41" i="1" s="1"/>
  <c r="P41" i="1"/>
  <c r="Y41" i="1" s="1"/>
  <c r="O41" i="1"/>
  <c r="X41" i="1" s="1"/>
  <c r="N41" i="1"/>
  <c r="W41" i="1" s="1"/>
  <c r="M41" i="1"/>
  <c r="V41" i="1" s="1"/>
  <c r="T40" i="1"/>
  <c r="AC40" i="1" s="1"/>
  <c r="S40" i="1"/>
  <c r="AB40" i="1" s="1"/>
  <c r="R40" i="1"/>
  <c r="AA40" i="1" s="1"/>
  <c r="Q40" i="1"/>
  <c r="Z40" i="1" s="1"/>
  <c r="P40" i="1"/>
  <c r="Y40" i="1" s="1"/>
  <c r="O40" i="1"/>
  <c r="X40" i="1" s="1"/>
  <c r="N40" i="1"/>
  <c r="W40" i="1" s="1"/>
  <c r="M40" i="1"/>
  <c r="V40" i="1" s="1"/>
  <c r="T39" i="1"/>
  <c r="AC39" i="1" s="1"/>
  <c r="S39" i="1"/>
  <c r="AB39" i="1" s="1"/>
  <c r="R39" i="1"/>
  <c r="AA39" i="1" s="1"/>
  <c r="Q39" i="1"/>
  <c r="Z39" i="1" s="1"/>
  <c r="P39" i="1"/>
  <c r="Y39" i="1" s="1"/>
  <c r="O39" i="1"/>
  <c r="X39" i="1" s="1"/>
  <c r="N39" i="1"/>
  <c r="W39" i="1" s="1"/>
  <c r="M39" i="1"/>
  <c r="V39" i="1" s="1"/>
  <c r="T38" i="1"/>
  <c r="AC38" i="1" s="1"/>
  <c r="S38" i="1"/>
  <c r="AB38" i="1" s="1"/>
  <c r="R38" i="1"/>
  <c r="AA38" i="1" s="1"/>
  <c r="Q38" i="1"/>
  <c r="Z38" i="1" s="1"/>
  <c r="P38" i="1"/>
  <c r="Y38" i="1" s="1"/>
  <c r="O38" i="1"/>
  <c r="X38" i="1" s="1"/>
  <c r="N38" i="1"/>
  <c r="W38" i="1" s="1"/>
  <c r="M38" i="1"/>
  <c r="V38" i="1" s="1"/>
  <c r="T37" i="1"/>
  <c r="AC37" i="1" s="1"/>
  <c r="S37" i="1"/>
  <c r="AB37" i="1" s="1"/>
  <c r="R37" i="1"/>
  <c r="AA37" i="1" s="1"/>
  <c r="Q37" i="1"/>
  <c r="Z37" i="1" s="1"/>
  <c r="P37" i="1"/>
  <c r="Y37" i="1" s="1"/>
  <c r="O37" i="1"/>
  <c r="X37" i="1" s="1"/>
  <c r="N37" i="1"/>
  <c r="W37" i="1" s="1"/>
  <c r="M37" i="1"/>
  <c r="V37" i="1" s="1"/>
  <c r="T36" i="1"/>
  <c r="AC36" i="1" s="1"/>
  <c r="S36" i="1"/>
  <c r="AB36" i="1" s="1"/>
  <c r="R36" i="1"/>
  <c r="AA36" i="1" s="1"/>
  <c r="Q36" i="1"/>
  <c r="Z36" i="1" s="1"/>
  <c r="P36" i="1"/>
  <c r="Y36" i="1" s="1"/>
  <c r="O36" i="1"/>
  <c r="X36" i="1" s="1"/>
  <c r="N36" i="1"/>
  <c r="W36" i="1" s="1"/>
  <c r="M36" i="1"/>
  <c r="V36" i="1" s="1"/>
  <c r="T35" i="1"/>
  <c r="AC35" i="1" s="1"/>
  <c r="S35" i="1"/>
  <c r="AB35" i="1" s="1"/>
  <c r="R35" i="1"/>
  <c r="AA35" i="1" s="1"/>
  <c r="Q35" i="1"/>
  <c r="Z35" i="1" s="1"/>
  <c r="P35" i="1"/>
  <c r="Y35" i="1" s="1"/>
  <c r="O35" i="1"/>
  <c r="X35" i="1" s="1"/>
  <c r="N35" i="1"/>
  <c r="W35" i="1" s="1"/>
  <c r="M35" i="1"/>
  <c r="V35" i="1" s="1"/>
  <c r="T34" i="1"/>
  <c r="AC34" i="1" s="1"/>
  <c r="S34" i="1"/>
  <c r="AB34" i="1" s="1"/>
  <c r="R34" i="1"/>
  <c r="AA34" i="1" s="1"/>
  <c r="Q34" i="1"/>
  <c r="Z34" i="1" s="1"/>
  <c r="P34" i="1"/>
  <c r="Y34" i="1" s="1"/>
  <c r="O34" i="1"/>
  <c r="X34" i="1" s="1"/>
  <c r="N34" i="1"/>
  <c r="W34" i="1" s="1"/>
  <c r="M34" i="1"/>
  <c r="V34" i="1" s="1"/>
  <c r="T33" i="1"/>
  <c r="AC33" i="1" s="1"/>
  <c r="S33" i="1"/>
  <c r="AB33" i="1" s="1"/>
  <c r="R33" i="1"/>
  <c r="AA33" i="1" s="1"/>
  <c r="Q33" i="1"/>
  <c r="Z33" i="1" s="1"/>
  <c r="P33" i="1"/>
  <c r="Y33" i="1" s="1"/>
  <c r="O33" i="1"/>
  <c r="X33" i="1" s="1"/>
  <c r="N33" i="1"/>
  <c r="W33" i="1" s="1"/>
  <c r="M33" i="1"/>
  <c r="V33" i="1" s="1"/>
  <c r="T32" i="1"/>
  <c r="AC32" i="1" s="1"/>
  <c r="S32" i="1"/>
  <c r="AB32" i="1" s="1"/>
  <c r="R32" i="1"/>
  <c r="AA32" i="1" s="1"/>
  <c r="Q32" i="1"/>
  <c r="Z32" i="1" s="1"/>
  <c r="P32" i="1"/>
  <c r="Y32" i="1" s="1"/>
  <c r="O32" i="1"/>
  <c r="X32" i="1" s="1"/>
  <c r="N32" i="1"/>
  <c r="W32" i="1" s="1"/>
  <c r="M32" i="1"/>
  <c r="V32" i="1" s="1"/>
  <c r="T31" i="1"/>
  <c r="AC31" i="1" s="1"/>
  <c r="S31" i="1"/>
  <c r="AB31" i="1" s="1"/>
  <c r="R31" i="1"/>
  <c r="AA31" i="1" s="1"/>
  <c r="Q31" i="1"/>
  <c r="Z31" i="1" s="1"/>
  <c r="P31" i="1"/>
  <c r="Y31" i="1" s="1"/>
  <c r="O31" i="1"/>
  <c r="X31" i="1" s="1"/>
  <c r="N31" i="1"/>
  <c r="W31" i="1" s="1"/>
  <c r="M31" i="1"/>
  <c r="V31" i="1" s="1"/>
  <c r="T30" i="1"/>
  <c r="AC30" i="1" s="1"/>
  <c r="S30" i="1"/>
  <c r="AB30" i="1" s="1"/>
  <c r="R30" i="1"/>
  <c r="AA30" i="1" s="1"/>
  <c r="Q30" i="1"/>
  <c r="Z30" i="1" s="1"/>
  <c r="P30" i="1"/>
  <c r="Y30" i="1" s="1"/>
  <c r="O30" i="1"/>
  <c r="X30" i="1" s="1"/>
  <c r="N30" i="1"/>
  <c r="W30" i="1" s="1"/>
  <c r="M30" i="1"/>
  <c r="V30" i="1" s="1"/>
  <c r="T29" i="1"/>
  <c r="AC29" i="1" s="1"/>
  <c r="S29" i="1"/>
  <c r="AB29" i="1" s="1"/>
  <c r="R29" i="1"/>
  <c r="AA29" i="1" s="1"/>
  <c r="Q29" i="1"/>
  <c r="Z29" i="1" s="1"/>
  <c r="P29" i="1"/>
  <c r="Y29" i="1" s="1"/>
  <c r="O29" i="1"/>
  <c r="X29" i="1" s="1"/>
  <c r="N29" i="1"/>
  <c r="W29" i="1" s="1"/>
  <c r="M29" i="1"/>
  <c r="V29" i="1" s="1"/>
  <c r="T28" i="1"/>
  <c r="AC28" i="1" s="1"/>
  <c r="S28" i="1"/>
  <c r="AB28" i="1" s="1"/>
  <c r="R28" i="1"/>
  <c r="AA28" i="1" s="1"/>
  <c r="Q28" i="1"/>
  <c r="Z28" i="1" s="1"/>
  <c r="P28" i="1"/>
  <c r="Y28" i="1" s="1"/>
  <c r="O28" i="1"/>
  <c r="X28" i="1" s="1"/>
  <c r="N28" i="1"/>
  <c r="W28" i="1" s="1"/>
  <c r="M28" i="1"/>
  <c r="V28" i="1" s="1"/>
  <c r="T27" i="1"/>
  <c r="AC27" i="1" s="1"/>
  <c r="S27" i="1"/>
  <c r="AB27" i="1" s="1"/>
  <c r="R27" i="1"/>
  <c r="AA27" i="1" s="1"/>
  <c r="Q27" i="1"/>
  <c r="Z27" i="1" s="1"/>
  <c r="P27" i="1"/>
  <c r="Y27" i="1" s="1"/>
  <c r="O27" i="1"/>
  <c r="X27" i="1" s="1"/>
  <c r="N27" i="1"/>
  <c r="W27" i="1" s="1"/>
  <c r="M27" i="1"/>
  <c r="V27" i="1" s="1"/>
  <c r="T26" i="1"/>
  <c r="AC26" i="1" s="1"/>
  <c r="S26" i="1"/>
  <c r="AB26" i="1" s="1"/>
  <c r="R26" i="1"/>
  <c r="AA26" i="1" s="1"/>
  <c r="Q26" i="1"/>
  <c r="Z26" i="1" s="1"/>
  <c r="P26" i="1"/>
  <c r="Y26" i="1" s="1"/>
  <c r="O26" i="1"/>
  <c r="X26" i="1" s="1"/>
  <c r="N26" i="1"/>
  <c r="W26" i="1" s="1"/>
  <c r="M26" i="1"/>
  <c r="V26" i="1" s="1"/>
  <c r="T25" i="1"/>
  <c r="AC25" i="1" s="1"/>
  <c r="S25" i="1"/>
  <c r="AB25" i="1" s="1"/>
  <c r="R25" i="1"/>
  <c r="AA25" i="1" s="1"/>
  <c r="Q25" i="1"/>
  <c r="Z25" i="1" s="1"/>
  <c r="P25" i="1"/>
  <c r="Y25" i="1" s="1"/>
  <c r="O25" i="1"/>
  <c r="X25" i="1" s="1"/>
  <c r="N25" i="1"/>
  <c r="W25" i="1" s="1"/>
  <c r="M25" i="1"/>
  <c r="V25" i="1" s="1"/>
  <c r="T24" i="1"/>
  <c r="AC24" i="1" s="1"/>
  <c r="S24" i="1"/>
  <c r="AB24" i="1" s="1"/>
  <c r="R24" i="1"/>
  <c r="AA24" i="1" s="1"/>
  <c r="Q24" i="1"/>
  <c r="Z24" i="1" s="1"/>
  <c r="P24" i="1"/>
  <c r="Y24" i="1" s="1"/>
  <c r="O24" i="1"/>
  <c r="X24" i="1" s="1"/>
  <c r="N24" i="1"/>
  <c r="W24" i="1" s="1"/>
  <c r="M24" i="1"/>
  <c r="V24" i="1" s="1"/>
  <c r="T23" i="1"/>
  <c r="AC23" i="1" s="1"/>
  <c r="S23" i="1"/>
  <c r="AB23" i="1" s="1"/>
  <c r="R23" i="1"/>
  <c r="AA23" i="1" s="1"/>
  <c r="Q23" i="1"/>
  <c r="Z23" i="1" s="1"/>
  <c r="P23" i="1"/>
  <c r="Y23" i="1" s="1"/>
  <c r="O23" i="1"/>
  <c r="X23" i="1" s="1"/>
  <c r="N23" i="1"/>
  <c r="W23" i="1" s="1"/>
  <c r="M23" i="1"/>
  <c r="V23" i="1" s="1"/>
  <c r="T22" i="1"/>
  <c r="AC22" i="1" s="1"/>
  <c r="S22" i="1"/>
  <c r="AB22" i="1" s="1"/>
  <c r="R22" i="1"/>
  <c r="AA22" i="1" s="1"/>
  <c r="Q22" i="1"/>
  <c r="Z22" i="1" s="1"/>
  <c r="P22" i="1"/>
  <c r="Y22" i="1" s="1"/>
  <c r="O22" i="1"/>
  <c r="X22" i="1" s="1"/>
  <c r="N22" i="1"/>
  <c r="W22" i="1" s="1"/>
  <c r="M22" i="1"/>
  <c r="V22" i="1" s="1"/>
  <c r="T21" i="1"/>
  <c r="AC21" i="1" s="1"/>
  <c r="S21" i="1"/>
  <c r="AB21" i="1" s="1"/>
  <c r="R21" i="1"/>
  <c r="AA21" i="1" s="1"/>
  <c r="Q21" i="1"/>
  <c r="Z21" i="1" s="1"/>
  <c r="P21" i="1"/>
  <c r="Y21" i="1" s="1"/>
  <c r="O21" i="1"/>
  <c r="X21" i="1" s="1"/>
  <c r="N21" i="1"/>
  <c r="W21" i="1" s="1"/>
  <c r="M21" i="1"/>
  <c r="V21" i="1" s="1"/>
  <c r="T20" i="1"/>
  <c r="AC20" i="1" s="1"/>
  <c r="S20" i="1"/>
  <c r="AB20" i="1" s="1"/>
  <c r="R20" i="1"/>
  <c r="AA20" i="1" s="1"/>
  <c r="Q20" i="1"/>
  <c r="Z20" i="1" s="1"/>
  <c r="P20" i="1"/>
  <c r="Y20" i="1" s="1"/>
  <c r="O20" i="1"/>
  <c r="X20" i="1" s="1"/>
  <c r="N20" i="1"/>
  <c r="W20" i="1" s="1"/>
  <c r="M20" i="1"/>
  <c r="V20" i="1" s="1"/>
  <c r="T19" i="1"/>
  <c r="AC19" i="1" s="1"/>
  <c r="S19" i="1"/>
  <c r="AB19" i="1" s="1"/>
  <c r="R19" i="1"/>
  <c r="AA19" i="1" s="1"/>
  <c r="Q19" i="1"/>
  <c r="Z19" i="1" s="1"/>
  <c r="P19" i="1"/>
  <c r="Y19" i="1" s="1"/>
  <c r="O19" i="1"/>
  <c r="X19" i="1" s="1"/>
  <c r="N19" i="1"/>
  <c r="W19" i="1" s="1"/>
  <c r="M19" i="1"/>
  <c r="V19" i="1" s="1"/>
  <c r="T18" i="1"/>
  <c r="AC18" i="1" s="1"/>
  <c r="S18" i="1"/>
  <c r="AB18" i="1" s="1"/>
  <c r="R18" i="1"/>
  <c r="AA18" i="1" s="1"/>
  <c r="Q18" i="1"/>
  <c r="Z18" i="1" s="1"/>
  <c r="P18" i="1"/>
  <c r="Y18" i="1" s="1"/>
  <c r="O18" i="1"/>
  <c r="X18" i="1" s="1"/>
  <c r="N18" i="1"/>
  <c r="W18" i="1" s="1"/>
  <c r="M18" i="1"/>
  <c r="V18" i="1" s="1"/>
  <c r="T17" i="1"/>
  <c r="AC17" i="1" s="1"/>
  <c r="S17" i="1"/>
  <c r="AB17" i="1" s="1"/>
  <c r="R17" i="1"/>
  <c r="AA17" i="1" s="1"/>
  <c r="Q17" i="1"/>
  <c r="Z17" i="1" s="1"/>
  <c r="P17" i="1"/>
  <c r="Y17" i="1" s="1"/>
  <c r="O17" i="1"/>
  <c r="X17" i="1" s="1"/>
  <c r="N17" i="1"/>
  <c r="W17" i="1" s="1"/>
  <c r="M17" i="1"/>
  <c r="V17" i="1" s="1"/>
  <c r="T16" i="1"/>
  <c r="AC16" i="1" s="1"/>
  <c r="S16" i="1"/>
  <c r="AB16" i="1" s="1"/>
  <c r="R16" i="1"/>
  <c r="AA16" i="1" s="1"/>
  <c r="Q16" i="1"/>
  <c r="Z16" i="1" s="1"/>
  <c r="P16" i="1"/>
  <c r="Y16" i="1" s="1"/>
  <c r="O16" i="1"/>
  <c r="X16" i="1" s="1"/>
  <c r="N16" i="1"/>
  <c r="W16" i="1" s="1"/>
  <c r="M16" i="1"/>
  <c r="V16" i="1" s="1"/>
  <c r="T15" i="1"/>
  <c r="AC15" i="1" s="1"/>
  <c r="S15" i="1"/>
  <c r="AB15" i="1" s="1"/>
  <c r="R15" i="1"/>
  <c r="AA15" i="1" s="1"/>
  <c r="Q15" i="1"/>
  <c r="Z15" i="1" s="1"/>
  <c r="P15" i="1"/>
  <c r="Y15" i="1" s="1"/>
  <c r="O15" i="1"/>
  <c r="X15" i="1" s="1"/>
  <c r="N15" i="1"/>
  <c r="W15" i="1" s="1"/>
  <c r="M15" i="1"/>
  <c r="V15" i="1" s="1"/>
  <c r="T14" i="1"/>
  <c r="AC14" i="1" s="1"/>
  <c r="S14" i="1"/>
  <c r="AB14" i="1" s="1"/>
  <c r="R14" i="1"/>
  <c r="AA14" i="1" s="1"/>
  <c r="Q14" i="1"/>
  <c r="Z14" i="1" s="1"/>
  <c r="P14" i="1"/>
  <c r="Y14" i="1" s="1"/>
  <c r="O14" i="1"/>
  <c r="X14" i="1" s="1"/>
  <c r="N14" i="1"/>
  <c r="W14" i="1" s="1"/>
  <c r="M14" i="1"/>
  <c r="V14" i="1" s="1"/>
  <c r="T13" i="1"/>
  <c r="AC13" i="1" s="1"/>
  <c r="S13" i="1"/>
  <c r="AB13" i="1" s="1"/>
  <c r="R13" i="1"/>
  <c r="AA13" i="1" s="1"/>
  <c r="Q13" i="1"/>
  <c r="Z13" i="1" s="1"/>
  <c r="P13" i="1"/>
  <c r="Y13" i="1" s="1"/>
  <c r="O13" i="1"/>
  <c r="X13" i="1" s="1"/>
  <c r="N13" i="1"/>
  <c r="W13" i="1" s="1"/>
  <c r="M13" i="1"/>
  <c r="V13" i="1" s="1"/>
  <c r="T12" i="1"/>
  <c r="AC12" i="1" s="1"/>
  <c r="S12" i="1"/>
  <c r="AB12" i="1" s="1"/>
  <c r="R12" i="1"/>
  <c r="AA12" i="1" s="1"/>
  <c r="Q12" i="1"/>
  <c r="Z12" i="1" s="1"/>
  <c r="P12" i="1"/>
  <c r="Y12" i="1" s="1"/>
  <c r="O12" i="1"/>
  <c r="X12" i="1" s="1"/>
  <c r="N12" i="1"/>
  <c r="W12" i="1" s="1"/>
  <c r="M12" i="1"/>
  <c r="V12" i="1" s="1"/>
  <c r="T11" i="1"/>
  <c r="AC11" i="1" s="1"/>
  <c r="S11" i="1"/>
  <c r="AB11" i="1" s="1"/>
  <c r="R11" i="1"/>
  <c r="AA11" i="1" s="1"/>
  <c r="Q11" i="1"/>
  <c r="Z11" i="1" s="1"/>
  <c r="P11" i="1"/>
  <c r="Y11" i="1" s="1"/>
  <c r="O11" i="1"/>
  <c r="X11" i="1" s="1"/>
  <c r="N11" i="1"/>
  <c r="W11" i="1" s="1"/>
  <c r="M11" i="1"/>
  <c r="V11" i="1" s="1"/>
  <c r="T10" i="1"/>
  <c r="AC10" i="1" s="1"/>
  <c r="S10" i="1"/>
  <c r="AB10" i="1" s="1"/>
  <c r="R10" i="1"/>
  <c r="AA10" i="1" s="1"/>
  <c r="Q10" i="1"/>
  <c r="Z10" i="1" s="1"/>
  <c r="P10" i="1"/>
  <c r="Y10" i="1" s="1"/>
  <c r="O10" i="1"/>
  <c r="X10" i="1" s="1"/>
  <c r="N10" i="1"/>
  <c r="W10" i="1" s="1"/>
  <c r="M10" i="1"/>
  <c r="V10" i="1" s="1"/>
  <c r="T9" i="1"/>
  <c r="AC9" i="1" s="1"/>
  <c r="S9" i="1"/>
  <c r="AB9" i="1" s="1"/>
  <c r="R9" i="1"/>
  <c r="AA9" i="1" s="1"/>
  <c r="Q9" i="1"/>
  <c r="Z9" i="1" s="1"/>
  <c r="P9" i="1"/>
  <c r="Y9" i="1" s="1"/>
  <c r="O9" i="1"/>
  <c r="X9" i="1" s="1"/>
  <c r="N9" i="1"/>
  <c r="W9" i="1" s="1"/>
  <c r="M9" i="1"/>
  <c r="V9" i="1" s="1"/>
  <c r="T8" i="1"/>
  <c r="AC8" i="1" s="1"/>
  <c r="S8" i="1"/>
  <c r="AB8" i="1" s="1"/>
  <c r="R8" i="1"/>
  <c r="AA8" i="1" s="1"/>
  <c r="Q8" i="1"/>
  <c r="Z8" i="1" s="1"/>
  <c r="P8" i="1"/>
  <c r="Y8" i="1" s="1"/>
  <c r="O8" i="1"/>
  <c r="X8" i="1" s="1"/>
  <c r="N8" i="1"/>
  <c r="W8" i="1" s="1"/>
  <c r="M8" i="1"/>
  <c r="V8" i="1" s="1"/>
  <c r="T7" i="1"/>
  <c r="AC7" i="1" s="1"/>
  <c r="S7" i="1"/>
  <c r="AB7" i="1" s="1"/>
  <c r="R7" i="1"/>
  <c r="AA7" i="1" s="1"/>
  <c r="Q7" i="1"/>
  <c r="Z7" i="1" s="1"/>
  <c r="P7" i="1"/>
  <c r="Y7" i="1" s="1"/>
  <c r="O7" i="1"/>
  <c r="X7" i="1" s="1"/>
  <c r="N7" i="1"/>
  <c r="W7" i="1" s="1"/>
  <c r="M7" i="1"/>
  <c r="V7" i="1" s="1"/>
  <c r="T6" i="1"/>
  <c r="AC6" i="1" s="1"/>
  <c r="S6" i="1"/>
  <c r="AB6" i="1" s="1"/>
  <c r="R6" i="1"/>
  <c r="AA6" i="1" s="1"/>
  <c r="Q6" i="1"/>
  <c r="Z6" i="1" s="1"/>
  <c r="P6" i="1"/>
  <c r="Y6" i="1" s="1"/>
  <c r="O6" i="1"/>
  <c r="X6" i="1" s="1"/>
  <c r="N6" i="1"/>
  <c r="W6" i="1" s="1"/>
  <c r="M6" i="1"/>
  <c r="V6" i="1" s="1"/>
  <c r="T5" i="1"/>
  <c r="AC5" i="1" s="1"/>
  <c r="S5" i="1"/>
  <c r="AB5" i="1" s="1"/>
  <c r="R5" i="1"/>
  <c r="AA5" i="1" s="1"/>
  <c r="Q5" i="1"/>
  <c r="Z5" i="1" s="1"/>
  <c r="P5" i="1"/>
  <c r="Y5" i="1" s="1"/>
  <c r="O5" i="1"/>
  <c r="X5" i="1" s="1"/>
  <c r="N5" i="1"/>
  <c r="W5" i="1" s="1"/>
  <c r="M5" i="1"/>
  <c r="V5" i="1" s="1"/>
  <c r="T4" i="1"/>
  <c r="AC4" i="1" s="1"/>
  <c r="S4" i="1"/>
  <c r="AB4" i="1" s="1"/>
  <c r="R4" i="1"/>
  <c r="AA4" i="1" s="1"/>
  <c r="Q4" i="1"/>
  <c r="Z4" i="1" s="1"/>
  <c r="P4" i="1"/>
  <c r="Y4" i="1" s="1"/>
  <c r="O4" i="1"/>
  <c r="X4" i="1" s="1"/>
  <c r="N4" i="1"/>
  <c r="W4" i="1" s="1"/>
  <c r="M4" i="1"/>
  <c r="V4" i="1" s="1"/>
  <c r="T3" i="1"/>
  <c r="AC3" i="1" s="1"/>
  <c r="S3" i="1"/>
  <c r="AB3" i="1" s="1"/>
  <c r="R3" i="1"/>
  <c r="AA3" i="1" s="1"/>
  <c r="Q3" i="1"/>
  <c r="Z3" i="1" s="1"/>
  <c r="P3" i="1"/>
  <c r="Y3" i="1" s="1"/>
  <c r="O3" i="1"/>
  <c r="X3" i="1" s="1"/>
  <c r="N3" i="1"/>
  <c r="W3" i="1" s="1"/>
  <c r="V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<sst xmlns="http://schemas.openxmlformats.org/spreadsheetml/2006/main" count="10857" uniqueCount="2153">
  <si>
    <t>FL</t>
  </si>
  <si>
    <t>IF</t>
  </si>
  <si>
    <t>VVS1</t>
  </si>
  <si>
    <t>VVS2</t>
  </si>
  <si>
    <t>VS1</t>
  </si>
  <si>
    <t>VS2</t>
  </si>
  <si>
    <t>SI1</t>
  </si>
  <si>
    <t>SI2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</si>
  <si>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</si>
  <si>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</si>
  <si>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</si>
  <si>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</si>
  <si>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</si>
  <si>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</si>
  <si>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</si>
  <si>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</si>
  <si>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</si>
  <si>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</si>
  <si>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1.10 - 1.19</t>
  </si>
  <si>
    <t>1.20 - 1.29</t>
  </si>
  <si>
    <t>1.30 - 1.39</t>
  </si>
  <si>
    <t>1.40 - 1.49</t>
  </si>
  <si>
    <t/>
  </si>
  <si>
    <t>3EX</t>
  </si>
  <si>
    <t>Size</t>
  </si>
  <si>
    <t>Color</t>
  </si>
  <si>
    <t>FNT</t>
  </si>
  <si>
    <t>3EX-FNT</t>
  </si>
  <si>
    <t>3EX-NON</t>
  </si>
  <si>
    <t>3EX-MED</t>
  </si>
  <si>
    <t>0.18 - 0.19</t>
  </si>
  <si>
    <t>0.20 - 0.22</t>
  </si>
  <si>
    <t>0.23 - 0.24</t>
  </si>
  <si>
    <t>0.30 - 0.34</t>
  </si>
  <si>
    <t>0.35 - 0.37</t>
  </si>
  <si>
    <t>0.38 - 0.39</t>
  </si>
  <si>
    <t>0.40 - 0.44</t>
  </si>
  <si>
    <t>3EX-FNT-Diff</t>
  </si>
  <si>
    <t>3EX-MED-Diff</t>
  </si>
  <si>
    <t>VG-NON</t>
  </si>
  <si>
    <t>VG-FNT</t>
  </si>
  <si>
    <t>VG-MED</t>
  </si>
  <si>
    <t>VG-FNT-Diff</t>
  </si>
  <si>
    <t>VG-MED-Diff</t>
  </si>
  <si>
    <t>Shape</t>
  </si>
  <si>
    <t>Clarity</t>
  </si>
  <si>
    <t>Min Size</t>
  </si>
  <si>
    <t>Max Size</t>
  </si>
  <si>
    <t>RAP_SIZE</t>
  </si>
  <si>
    <t>Mix</t>
  </si>
  <si>
    <t>ROUND</t>
  </si>
  <si>
    <t>IF-VVS</t>
  </si>
  <si>
    <t>NON</t>
  </si>
  <si>
    <t>0.01 - 0.03</t>
  </si>
  <si>
    <t>ROUND0.01 - 0.03IFD</t>
  </si>
  <si>
    <t>VG</t>
  </si>
  <si>
    <t>0.04 - 0.07</t>
  </si>
  <si>
    <t>ROUND0.01 - 0.03VVS1D</t>
  </si>
  <si>
    <t>GD</t>
  </si>
  <si>
    <t>MED</t>
  </si>
  <si>
    <t>0.08 - 0.14</t>
  </si>
  <si>
    <t>ROUND0.01 - 0.03VVS2D</t>
  </si>
  <si>
    <t>STG</t>
  </si>
  <si>
    <t>0.15 - 0.17</t>
  </si>
  <si>
    <t>ROUND0.01 - 0.03VS1D</t>
  </si>
  <si>
    <t>VS</t>
  </si>
  <si>
    <t>VST</t>
  </si>
  <si>
    <t>0.18 - 0.22</t>
  </si>
  <si>
    <t>ROUND0.01 - 0.03VS2D</t>
  </si>
  <si>
    <t>0.23 - 0.29</t>
  </si>
  <si>
    <t>ROUND0.01 - 0.03SI1D</t>
  </si>
  <si>
    <t>SI</t>
  </si>
  <si>
    <t>0.30 - 0.39</t>
  </si>
  <si>
    <t>ROUND0.01 - 0.03SI2D</t>
  </si>
  <si>
    <t>0.40 - 0.49</t>
  </si>
  <si>
    <t>SI3</t>
  </si>
  <si>
    <t>ROUND0.01 - 0.03SI3D</t>
  </si>
  <si>
    <t>0.50 - 0.69</t>
  </si>
  <si>
    <t>I1</t>
  </si>
  <si>
    <t>ROUND0.01 - 0.03I1D</t>
  </si>
  <si>
    <t>0.70 - 0.89</t>
  </si>
  <si>
    <t>I2</t>
  </si>
  <si>
    <t>ROUND0.01 - 0.03I2D</t>
  </si>
  <si>
    <t>0.90 - 0.99</t>
  </si>
  <si>
    <t>I3</t>
  </si>
  <si>
    <t>ROUND0.01 - 0.03I3D</t>
  </si>
  <si>
    <t>1.00 - 1.49</t>
  </si>
  <si>
    <t>ROUND0.01 - 0.03IFE</t>
  </si>
  <si>
    <t>PK</t>
  </si>
  <si>
    <t>1.50 - 1.99</t>
  </si>
  <si>
    <t>ROUND0.01 - 0.03VVS1E</t>
  </si>
  <si>
    <t>2.00 - 2.99</t>
  </si>
  <si>
    <t>ROUND0.01 - 0.03VVS2E</t>
  </si>
  <si>
    <t>3.00 - 3.99</t>
  </si>
  <si>
    <t>ROUND0.01 - 0.03VS1E</t>
  </si>
  <si>
    <t>4.00 - 4.99</t>
  </si>
  <si>
    <t>ROUND0.01 - 0.03VS2E</t>
  </si>
  <si>
    <t>5.00 - 9.99</t>
  </si>
  <si>
    <t>ROUND0.01 - 0.03SI1E</t>
  </si>
  <si>
    <t>10.00 - 14.99</t>
  </si>
  <si>
    <t>ROUND0.01 - 0.03SI2E</t>
  </si>
  <si>
    <t>ROUND0.01 - 0.03SI3E</t>
  </si>
  <si>
    <t>ROUND0.01 - 0.03I1E</t>
  </si>
  <si>
    <t>ROUND0.01 - 0.03I2E</t>
  </si>
  <si>
    <t>ROUND0.01 - 0.03I3E</t>
  </si>
  <si>
    <t>ROUND0.01 - 0.03IFF</t>
  </si>
  <si>
    <t>ROUND0.01 - 0.03VVS1F</t>
  </si>
  <si>
    <t>ROUND0.01 - 0.03VVS2F</t>
  </si>
  <si>
    <t>ROUND0.01 - 0.03VS1F</t>
  </si>
  <si>
    <t>ROUND0.01 - 0.03VS2F</t>
  </si>
  <si>
    <t>ROUND0.01 - 0.03SI1F</t>
  </si>
  <si>
    <t>ROUND0.01 - 0.03SI2F</t>
  </si>
  <si>
    <t>ROUND0.01 - 0.03SI3F</t>
  </si>
  <si>
    <t>ROUND0.01 - 0.03I1F</t>
  </si>
  <si>
    <t>ROUND0.01 - 0.03I2F</t>
  </si>
  <si>
    <t>ROUND0.01 - 0.03I3F</t>
  </si>
  <si>
    <t>ROUND0.01 - 0.03IFG</t>
  </si>
  <si>
    <t>ROUND0.01 - 0.03VVS1G</t>
  </si>
  <si>
    <t>ROUND0.01 - 0.03VVS2G</t>
  </si>
  <si>
    <t>ROUND0.01 - 0.03VS1G</t>
  </si>
  <si>
    <t>ROUND0.01 - 0.03VS2G</t>
  </si>
  <si>
    <t>ROUND0.01 - 0.03SI1G</t>
  </si>
  <si>
    <t>ROUND0.01 - 0.03SI2G</t>
  </si>
  <si>
    <t>ROUND0.01 - 0.03SI3G</t>
  </si>
  <si>
    <t>ROUND0.01 - 0.03I1G</t>
  </si>
  <si>
    <t>ROUND0.01 - 0.03I2G</t>
  </si>
  <si>
    <t>ROUND0.01 - 0.03I3G</t>
  </si>
  <si>
    <t>ROUND0.01 - 0.03IFH</t>
  </si>
  <si>
    <t>ROUND0.01 - 0.03VVS1H</t>
  </si>
  <si>
    <t>ROUND0.01 - 0.03VVS2H</t>
  </si>
  <si>
    <t>ROUND0.01 - 0.03VS1H</t>
  </si>
  <si>
    <t>ROUND0.01 - 0.03VS2H</t>
  </si>
  <si>
    <t>ROUND0.01 - 0.03SI1H</t>
  </si>
  <si>
    <t>ROUND0.01 - 0.03SI2H</t>
  </si>
  <si>
    <t>ROUND0.01 - 0.03SI3H</t>
  </si>
  <si>
    <t>ROUND0.01 - 0.03I1H</t>
  </si>
  <si>
    <t>ROUND0.01 - 0.03I2H</t>
  </si>
  <si>
    <t>ROUND0.01 - 0.03I3H</t>
  </si>
  <si>
    <t>ROUND0.01 - 0.03IFI</t>
  </si>
  <si>
    <t>ROUND0.01 - 0.03VVS1I</t>
  </si>
  <si>
    <t>ROUND0.01 - 0.03VVS2I</t>
  </si>
  <si>
    <t>ROUND0.01 - 0.03VS1I</t>
  </si>
  <si>
    <t>ROUND0.01 - 0.03VS2I</t>
  </si>
  <si>
    <t>ROUND0.01 - 0.03SI1I</t>
  </si>
  <si>
    <t>ROUND0.01 - 0.03SI2I</t>
  </si>
  <si>
    <t>ROUND0.01 - 0.03SI3I</t>
  </si>
  <si>
    <t>ROUND0.01 - 0.03I1I</t>
  </si>
  <si>
    <t>ROUND0.01 - 0.03I2I</t>
  </si>
  <si>
    <t>ROUND0.01 - 0.03I3I</t>
  </si>
  <si>
    <t>ROUND0.01 - 0.03IFJ</t>
  </si>
  <si>
    <t>ROUND0.01 - 0.03VVS1J</t>
  </si>
  <si>
    <t>ROUND0.01 - 0.03VVS2J</t>
  </si>
  <si>
    <t>ROUND0.01 - 0.03VS1J</t>
  </si>
  <si>
    <t>ROUND0.01 - 0.03VS2J</t>
  </si>
  <si>
    <t>ROUND0.01 - 0.03SI1J</t>
  </si>
  <si>
    <t>ROUND0.01 - 0.03SI2J</t>
  </si>
  <si>
    <t>ROUND0.01 - 0.03SI3J</t>
  </si>
  <si>
    <t>ROUND0.01 - 0.03I1J</t>
  </si>
  <si>
    <t>ROUND0.01 - 0.03I2J</t>
  </si>
  <si>
    <t>ROUND0.01 - 0.03I3J</t>
  </si>
  <si>
    <t>ROUND0.01 - 0.03IFK</t>
  </si>
  <si>
    <t>ROUND0.01 - 0.03VVS1K</t>
  </si>
  <si>
    <t>ROUND0.01 - 0.03VVS2K</t>
  </si>
  <si>
    <t>ROUND0.01 - 0.03VS1K</t>
  </si>
  <si>
    <t>ROUND0.01 - 0.03VS2K</t>
  </si>
  <si>
    <t>ROUND0.01 - 0.03SI1K</t>
  </si>
  <si>
    <t>ROUND0.01 - 0.03SI2K</t>
  </si>
  <si>
    <t>ROUND0.01 - 0.03SI3K</t>
  </si>
  <si>
    <t>ROUND0.01 - 0.03I1K</t>
  </si>
  <si>
    <t>ROUND0.01 - 0.03I2K</t>
  </si>
  <si>
    <t>ROUND0.01 - 0.03I3K</t>
  </si>
  <si>
    <t>ROUND0.01 - 0.03IFL</t>
  </si>
  <si>
    <t>ROUND0.01 - 0.03VVS1L</t>
  </si>
  <si>
    <t>ROUND0.01 - 0.03VVS2L</t>
  </si>
  <si>
    <t>ROUND0.01 - 0.03VS1L</t>
  </si>
  <si>
    <t>ROUND0.01 - 0.03VS2L</t>
  </si>
  <si>
    <t>ROUND0.01 - 0.03SI1L</t>
  </si>
  <si>
    <t>ROUND0.01 - 0.03SI2L</t>
  </si>
  <si>
    <t>ROUND0.01 - 0.03SI3L</t>
  </si>
  <si>
    <t>ROUND0.01 - 0.03I1L</t>
  </si>
  <si>
    <t>ROUND0.01 - 0.03I2L</t>
  </si>
  <si>
    <t>ROUND0.01 - 0.03I3L</t>
  </si>
  <si>
    <t>ROUND0.01 - 0.03IFM</t>
  </si>
  <si>
    <t>ROUND0.01 - 0.03VVS1M</t>
  </si>
  <si>
    <t>ROUND0.01 - 0.03VVS2M</t>
  </si>
  <si>
    <t>ROUND0.01 - 0.03VS1M</t>
  </si>
  <si>
    <t>ROUND0.01 - 0.03VS2M</t>
  </si>
  <si>
    <t>ROUND0.01 - 0.03SI1M</t>
  </si>
  <si>
    <t>ROUND0.01 - 0.03SI2M</t>
  </si>
  <si>
    <t>ROUND0.01 - 0.03SI3M</t>
  </si>
  <si>
    <t>ROUND0.01 - 0.03I1M</t>
  </si>
  <si>
    <t>ROUND0.01 - 0.03I2M</t>
  </si>
  <si>
    <t>ROUND0.01 - 0.03I3M</t>
  </si>
  <si>
    <t>N</t>
  </si>
  <si>
    <t>ROUND0.01 - 0.03IFN</t>
  </si>
  <si>
    <t>ROUND0.01 - 0.03VVS1N</t>
  </si>
  <si>
    <t>ROUND0.01 - 0.03VVS2N</t>
  </si>
  <si>
    <t>ROUND0.01 - 0.03VS1N</t>
  </si>
  <si>
    <t>ROUND0.01 - 0.03VS2N</t>
  </si>
  <si>
    <t>ROUND0.01 - 0.03SI1N</t>
  </si>
  <si>
    <t>ROUND0.01 - 0.03SI2N</t>
  </si>
  <si>
    <t>ROUND0.01 - 0.03SI3N</t>
  </si>
  <si>
    <t>ROUND0.01 - 0.03I1N</t>
  </si>
  <si>
    <t>ROUND0.01 - 0.03I2N</t>
  </si>
  <si>
    <t>ROUND0.01 - 0.03I3N</t>
  </si>
  <si>
    <t>ROUND0.04 - 0.07IFD</t>
  </si>
  <si>
    <t>ROUND0.04 - 0.07VVS1D</t>
  </si>
  <si>
    <t>ROUND0.04 - 0.07VVS2D</t>
  </si>
  <si>
    <t>ROUND0.04 - 0.07VS1D</t>
  </si>
  <si>
    <t>ROUND0.04 - 0.07VS2D</t>
  </si>
  <si>
    <t>ROUND0.04 - 0.07SI1D</t>
  </si>
  <si>
    <t>ROUND0.04 - 0.07SI2D</t>
  </si>
  <si>
    <t>ROUND0.04 - 0.07SI3D</t>
  </si>
  <si>
    <t>ROUND0.04 - 0.07I1D</t>
  </si>
  <si>
    <t>ROUND0.04 - 0.07I2D</t>
  </si>
  <si>
    <t>ROUND0.04 - 0.07I3D</t>
  </si>
  <si>
    <t>ROUND0.04 - 0.07IFE</t>
  </si>
  <si>
    <t>ROUND0.04 - 0.07VVS1E</t>
  </si>
  <si>
    <t>ROUND0.04 - 0.07VVS2E</t>
  </si>
  <si>
    <t>ROUND0.04 - 0.07VS1E</t>
  </si>
  <si>
    <t>ROUND0.04 - 0.07VS2E</t>
  </si>
  <si>
    <t>ROUND0.04 - 0.07SI1E</t>
  </si>
  <si>
    <t>ROUND0.04 - 0.07SI2E</t>
  </si>
  <si>
    <t>ROUND0.04 - 0.07SI3E</t>
  </si>
  <si>
    <t>ROUND0.04 - 0.07I1E</t>
  </si>
  <si>
    <t>ROUND0.04 - 0.07I2E</t>
  </si>
  <si>
    <t>ROUND0.04 - 0.07I3E</t>
  </si>
  <si>
    <t>ROUND0.04 - 0.07IFF</t>
  </si>
  <si>
    <t>ROUND0.04 - 0.07VVS1F</t>
  </si>
  <si>
    <t>ROUND0.04 - 0.07VVS2F</t>
  </si>
  <si>
    <t>ROUND0.04 - 0.07VS1F</t>
  </si>
  <si>
    <t>ROUND0.04 - 0.07VS2F</t>
  </si>
  <si>
    <t>ROUND0.04 - 0.07SI1F</t>
  </si>
  <si>
    <t>ROUND0.04 - 0.07SI2F</t>
  </si>
  <si>
    <t>ROUND0.04 - 0.07SI3F</t>
  </si>
  <si>
    <t>ROUND0.04 - 0.07I1F</t>
  </si>
  <si>
    <t>ROUND0.04 - 0.07I2F</t>
  </si>
  <si>
    <t>ROUND0.04 - 0.07I3F</t>
  </si>
  <si>
    <t>ROUND0.04 - 0.07IFG</t>
  </si>
  <si>
    <t>ROUND0.04 - 0.07VVS1G</t>
  </si>
  <si>
    <t>ROUND0.04 - 0.07VVS2G</t>
  </si>
  <si>
    <t>ROUND0.04 - 0.07VS1G</t>
  </si>
  <si>
    <t>ROUND0.04 - 0.07VS2G</t>
  </si>
  <si>
    <t>ROUND0.04 - 0.07SI1G</t>
  </si>
  <si>
    <t>ROUND0.04 - 0.07SI2G</t>
  </si>
  <si>
    <t>ROUND0.04 - 0.07SI3G</t>
  </si>
  <si>
    <t>ROUND0.04 - 0.07I1G</t>
  </si>
  <si>
    <t>ROUND0.04 - 0.07I2G</t>
  </si>
  <si>
    <t>ROUND0.04 - 0.07I3G</t>
  </si>
  <si>
    <t>ROUND0.04 - 0.07IFH</t>
  </si>
  <si>
    <t>ROUND0.04 - 0.07VVS1H</t>
  </si>
  <si>
    <t>ROUND0.04 - 0.07VVS2H</t>
  </si>
  <si>
    <t>ROUND0.04 - 0.07VS1H</t>
  </si>
  <si>
    <t>ROUND0.04 - 0.07VS2H</t>
  </si>
  <si>
    <t>ROUND0.04 - 0.07SI1H</t>
  </si>
  <si>
    <t>ROUND0.04 - 0.07SI2H</t>
  </si>
  <si>
    <t>ROUND0.04 - 0.07SI3H</t>
  </si>
  <si>
    <t>ROUND0.04 - 0.07I1H</t>
  </si>
  <si>
    <t>ROUND0.04 - 0.07I2H</t>
  </si>
  <si>
    <t>ROUND0.04 - 0.07I3H</t>
  </si>
  <si>
    <t>ROUND0.04 - 0.07IFI</t>
  </si>
  <si>
    <t>ROUND0.04 - 0.07VVS1I</t>
  </si>
  <si>
    <t>ROUND0.04 - 0.07VVS2I</t>
  </si>
  <si>
    <t>ROUND0.04 - 0.07VS1I</t>
  </si>
  <si>
    <t>ROUND0.04 - 0.07VS2I</t>
  </si>
  <si>
    <t>ROUND0.04 - 0.07SI1I</t>
  </si>
  <si>
    <t>ROUND0.04 - 0.07SI2I</t>
  </si>
  <si>
    <t>ROUND0.04 - 0.07SI3I</t>
  </si>
  <si>
    <t>ROUND0.04 - 0.07I1I</t>
  </si>
  <si>
    <t>ROUND0.04 - 0.07I2I</t>
  </si>
  <si>
    <t>ROUND0.04 - 0.07I3I</t>
  </si>
  <si>
    <t>ROUND0.04 - 0.07IFJ</t>
  </si>
  <si>
    <t>ROUND0.04 - 0.07VVS1J</t>
  </si>
  <si>
    <t>ROUND0.04 - 0.07VVS2J</t>
  </si>
  <si>
    <t>ROUND0.04 - 0.07VS1J</t>
  </si>
  <si>
    <t>ROUND0.04 - 0.07VS2J</t>
  </si>
  <si>
    <t>ROUND0.04 - 0.07SI1J</t>
  </si>
  <si>
    <t>ROUND0.04 - 0.07SI2J</t>
  </si>
  <si>
    <t>ROUND0.04 - 0.07SI3J</t>
  </si>
  <si>
    <t>ROUND0.04 - 0.07I1J</t>
  </si>
  <si>
    <t>ROUND0.04 - 0.07I2J</t>
  </si>
  <si>
    <t>ROUND0.04 - 0.07I3J</t>
  </si>
  <si>
    <t>ROUND0.04 - 0.07IFK</t>
  </si>
  <si>
    <t>ROUND0.04 - 0.07VVS1K</t>
  </si>
  <si>
    <t>ROUND0.04 - 0.07VVS2K</t>
  </si>
  <si>
    <t>ROUND0.04 - 0.07VS1K</t>
  </si>
  <si>
    <t>ROUND0.04 - 0.07VS2K</t>
  </si>
  <si>
    <t>ROUND0.04 - 0.07SI1K</t>
  </si>
  <si>
    <t>ROUND0.04 - 0.07SI2K</t>
  </si>
  <si>
    <t>ROUND0.04 - 0.07SI3K</t>
  </si>
  <si>
    <t>ROUND0.04 - 0.07I1K</t>
  </si>
  <si>
    <t>ROUND0.04 - 0.07I2K</t>
  </si>
  <si>
    <t>ROUND0.04 - 0.07I3K</t>
  </si>
  <si>
    <t>ROUND0.04 - 0.07IFL</t>
  </si>
  <si>
    <t>ROUND0.04 - 0.07VVS1L</t>
  </si>
  <si>
    <t>ROUND0.04 - 0.07VVS2L</t>
  </si>
  <si>
    <t>ROUND0.04 - 0.07VS1L</t>
  </si>
  <si>
    <t>ROUND0.04 - 0.07VS2L</t>
  </si>
  <si>
    <t>ROUND0.04 - 0.07SI1L</t>
  </si>
  <si>
    <t>ROUND0.04 - 0.07SI2L</t>
  </si>
  <si>
    <t>ROUND0.04 - 0.07SI3L</t>
  </si>
  <si>
    <t>ROUND0.04 - 0.07I1L</t>
  </si>
  <si>
    <t>ROUND0.04 - 0.07I2L</t>
  </si>
  <si>
    <t>ROUND0.04 - 0.07I3L</t>
  </si>
  <si>
    <t>ROUND0.04 - 0.07IFM</t>
  </si>
  <si>
    <t>ROUND0.04 - 0.07VVS1M</t>
  </si>
  <si>
    <t>ROUND0.04 - 0.07VVS2M</t>
  </si>
  <si>
    <t>ROUND0.04 - 0.07VS1M</t>
  </si>
  <si>
    <t>ROUND0.04 - 0.07VS2M</t>
  </si>
  <si>
    <t>ROUND0.04 - 0.07SI1M</t>
  </si>
  <si>
    <t>ROUND0.04 - 0.07SI2M</t>
  </si>
  <si>
    <t>ROUND0.04 - 0.07SI3M</t>
  </si>
  <si>
    <t>ROUND0.04 - 0.07I1M</t>
  </si>
  <si>
    <t>ROUND0.04 - 0.07I2M</t>
  </si>
  <si>
    <t>ROUND0.04 - 0.07I3M</t>
  </si>
  <si>
    <t>ROUND0.04 - 0.07IFN</t>
  </si>
  <si>
    <t>ROUND0.04 - 0.07VVS1N</t>
  </si>
  <si>
    <t>ROUND0.04 - 0.07VVS2N</t>
  </si>
  <si>
    <t>ROUND0.04 - 0.07VS1N</t>
  </si>
  <si>
    <t>ROUND0.04 - 0.07VS2N</t>
  </si>
  <si>
    <t>ROUND0.04 - 0.07SI1N</t>
  </si>
  <si>
    <t>ROUND0.04 - 0.07SI2N</t>
  </si>
  <si>
    <t>ROUND0.04 - 0.07SI3N</t>
  </si>
  <si>
    <t>ROUND0.04 - 0.07I1N</t>
  </si>
  <si>
    <t>ROUND0.04 - 0.07I2N</t>
  </si>
  <si>
    <t>ROUND0.04 - 0.07I3N</t>
  </si>
  <si>
    <t>ROUND0.08 - 0.14IFD</t>
  </si>
  <si>
    <t>ROUND0.08 - 0.14VVS1D</t>
  </si>
  <si>
    <t>ROUND0.08 - 0.14VVS2D</t>
  </si>
  <si>
    <t>ROUND0.08 - 0.14VS1D</t>
  </si>
  <si>
    <t>ROUND0.08 - 0.14VS2D</t>
  </si>
  <si>
    <t>ROUND0.08 - 0.14SI1D</t>
  </si>
  <si>
    <t>ROUND0.08 - 0.14SI2D</t>
  </si>
  <si>
    <t>ROUND0.08 - 0.14SI3D</t>
  </si>
  <si>
    <t>ROUND0.08 - 0.14I1D</t>
  </si>
  <si>
    <t>ROUND0.08 - 0.14I2D</t>
  </si>
  <si>
    <t>ROUND0.08 - 0.14I3D</t>
  </si>
  <si>
    <t>ROUND0.08 - 0.14IFE</t>
  </si>
  <si>
    <t>ROUND0.08 - 0.14VVS1E</t>
  </si>
  <si>
    <t>ROUND0.08 - 0.14VVS2E</t>
  </si>
  <si>
    <t>ROUND0.08 - 0.14VS1E</t>
  </si>
  <si>
    <t>ROUND0.08 - 0.14VS2E</t>
  </si>
  <si>
    <t>ROUND0.08 - 0.14SI1E</t>
  </si>
  <si>
    <t>ROUND0.08 - 0.14SI2E</t>
  </si>
  <si>
    <t>ROUND0.08 - 0.14SI3E</t>
  </si>
  <si>
    <t>ROUND0.08 - 0.14I1E</t>
  </si>
  <si>
    <t>ROUND0.08 - 0.14I2E</t>
  </si>
  <si>
    <t>ROUND0.08 - 0.14I3E</t>
  </si>
  <si>
    <t>ROUND0.08 - 0.14IFF</t>
  </si>
  <si>
    <t>ROUND0.08 - 0.14VVS1F</t>
  </si>
  <si>
    <t>ROUND0.08 - 0.14VVS2F</t>
  </si>
  <si>
    <t>ROUND0.08 - 0.14VS1F</t>
  </si>
  <si>
    <t>ROUND0.08 - 0.14VS2F</t>
  </si>
  <si>
    <t>ROUND0.08 - 0.14SI1F</t>
  </si>
  <si>
    <t>ROUND0.08 - 0.14SI2F</t>
  </si>
  <si>
    <t>ROUND0.08 - 0.14SI3F</t>
  </si>
  <si>
    <t>ROUND0.08 - 0.14I1F</t>
  </si>
  <si>
    <t>ROUND0.08 - 0.14I2F</t>
  </si>
  <si>
    <t>ROUND0.08 - 0.14I3F</t>
  </si>
  <si>
    <t>ROUND0.08 - 0.14IFG</t>
  </si>
  <si>
    <t>ROUND0.08 - 0.14VVS1G</t>
  </si>
  <si>
    <t>ROUND0.08 - 0.14VVS2G</t>
  </si>
  <si>
    <t>ROUND0.08 - 0.14VS1G</t>
  </si>
  <si>
    <t>ROUND0.08 - 0.14VS2G</t>
  </si>
  <si>
    <t>ROUND0.08 - 0.14SI1G</t>
  </si>
  <si>
    <t>ROUND0.08 - 0.14SI2G</t>
  </si>
  <si>
    <t>ROUND0.08 - 0.14SI3G</t>
  </si>
  <si>
    <t>ROUND0.08 - 0.14I1G</t>
  </si>
  <si>
    <t>ROUND0.08 - 0.14I2G</t>
  </si>
  <si>
    <t>ROUND0.08 - 0.14I3G</t>
  </si>
  <si>
    <t>ROUND0.08 - 0.14IFH</t>
  </si>
  <si>
    <t>ROUND0.08 - 0.14VVS1H</t>
  </si>
  <si>
    <t>ROUND0.08 - 0.14VVS2H</t>
  </si>
  <si>
    <t>ROUND0.08 - 0.14VS1H</t>
  </si>
  <si>
    <t>ROUND0.08 - 0.14VS2H</t>
  </si>
  <si>
    <t>ROUND0.08 - 0.14SI1H</t>
  </si>
  <si>
    <t>ROUND0.08 - 0.14SI2H</t>
  </si>
  <si>
    <t>ROUND0.08 - 0.14SI3H</t>
  </si>
  <si>
    <t>ROUND0.08 - 0.14I1H</t>
  </si>
  <si>
    <t>ROUND0.08 - 0.14I2H</t>
  </si>
  <si>
    <t>ROUND0.08 - 0.14I3H</t>
  </si>
  <si>
    <t>ROUND0.08 - 0.14IFI</t>
  </si>
  <si>
    <t>ROUND0.08 - 0.14VVS1I</t>
  </si>
  <si>
    <t>ROUND0.08 - 0.14VVS2I</t>
  </si>
  <si>
    <t>ROUND0.08 - 0.14VS1I</t>
  </si>
  <si>
    <t>ROUND0.08 - 0.14VS2I</t>
  </si>
  <si>
    <t>ROUND0.08 - 0.14SI1I</t>
  </si>
  <si>
    <t>ROUND0.08 - 0.14SI2I</t>
  </si>
  <si>
    <t>ROUND0.08 - 0.14SI3I</t>
  </si>
  <si>
    <t>ROUND0.08 - 0.14I1I</t>
  </si>
  <si>
    <t>ROUND0.08 - 0.14I2I</t>
  </si>
  <si>
    <t>ROUND0.08 - 0.14I3I</t>
  </si>
  <si>
    <t>ROUND0.08 - 0.14IFJ</t>
  </si>
  <si>
    <t>ROUND0.08 - 0.14VVS1J</t>
  </si>
  <si>
    <t>ROUND0.08 - 0.14VVS2J</t>
  </si>
  <si>
    <t>ROUND0.08 - 0.14VS1J</t>
  </si>
  <si>
    <t>ROUND0.08 - 0.14VS2J</t>
  </si>
  <si>
    <t>ROUND0.08 - 0.14SI1J</t>
  </si>
  <si>
    <t>ROUND0.08 - 0.14SI2J</t>
  </si>
  <si>
    <t>ROUND0.08 - 0.14SI3J</t>
  </si>
  <si>
    <t>ROUND0.08 - 0.14I1J</t>
  </si>
  <si>
    <t>ROUND0.08 - 0.14I2J</t>
  </si>
  <si>
    <t>ROUND0.08 - 0.14I3J</t>
  </si>
  <si>
    <t>ROUND0.08 - 0.14IFK</t>
  </si>
  <si>
    <t>ROUND0.08 - 0.14VVS1K</t>
  </si>
  <si>
    <t>ROUND0.08 - 0.14VVS2K</t>
  </si>
  <si>
    <t>ROUND0.08 - 0.14VS1K</t>
  </si>
  <si>
    <t>ROUND0.08 - 0.14VS2K</t>
  </si>
  <si>
    <t>ROUND0.08 - 0.14SI1K</t>
  </si>
  <si>
    <t>ROUND0.08 - 0.14SI2K</t>
  </si>
  <si>
    <t>ROUND0.08 - 0.14SI3K</t>
  </si>
  <si>
    <t>ROUND0.08 - 0.14I1K</t>
  </si>
  <si>
    <t>ROUND0.08 - 0.14I2K</t>
  </si>
  <si>
    <t>ROUND0.08 - 0.14I3K</t>
  </si>
  <si>
    <t>ROUND0.08 - 0.14IFL</t>
  </si>
  <si>
    <t>ROUND0.08 - 0.14VVS1L</t>
  </si>
  <si>
    <t>ROUND0.08 - 0.14VVS2L</t>
  </si>
  <si>
    <t>ROUND0.08 - 0.14VS1L</t>
  </si>
  <si>
    <t>ROUND0.08 - 0.14VS2L</t>
  </si>
  <si>
    <t>ROUND0.08 - 0.14SI1L</t>
  </si>
  <si>
    <t>ROUND0.08 - 0.14SI2L</t>
  </si>
  <si>
    <t>ROUND0.08 - 0.14SI3L</t>
  </si>
  <si>
    <t>ROUND0.08 - 0.14I1L</t>
  </si>
  <si>
    <t>ROUND0.08 - 0.14I2L</t>
  </si>
  <si>
    <t>ROUND0.08 - 0.14I3L</t>
  </si>
  <si>
    <t>ROUND0.08 - 0.14IFM</t>
  </si>
  <si>
    <t>ROUND0.08 - 0.14VVS1M</t>
  </si>
  <si>
    <t>ROUND0.08 - 0.14VVS2M</t>
  </si>
  <si>
    <t>ROUND0.08 - 0.14VS1M</t>
  </si>
  <si>
    <t>ROUND0.08 - 0.14VS2M</t>
  </si>
  <si>
    <t>ROUND0.08 - 0.14SI1M</t>
  </si>
  <si>
    <t>ROUND0.08 - 0.14SI2M</t>
  </si>
  <si>
    <t>ROUND0.08 - 0.14SI3M</t>
  </si>
  <si>
    <t>ROUND0.08 - 0.14I1M</t>
  </si>
  <si>
    <t>ROUND0.08 - 0.14I2M</t>
  </si>
  <si>
    <t>ROUND0.08 - 0.14I3M</t>
  </si>
  <si>
    <t>ROUND0.08 - 0.14IFN</t>
  </si>
  <si>
    <t>ROUND0.08 - 0.14VVS1N</t>
  </si>
  <si>
    <t>ROUND0.08 - 0.14VVS2N</t>
  </si>
  <si>
    <t>ROUND0.08 - 0.14VS1N</t>
  </si>
  <si>
    <t>ROUND0.08 - 0.14VS2N</t>
  </si>
  <si>
    <t>ROUND0.08 - 0.14SI1N</t>
  </si>
  <si>
    <t>ROUND0.08 - 0.14SI3N</t>
  </si>
  <si>
    <t>ROUND0.08 - 0.14I1N</t>
  </si>
  <si>
    <t>ROUND0.08 - 0.14I2N</t>
  </si>
  <si>
    <t>ROUND0.08 - 0.14I3N</t>
  </si>
  <si>
    <t>ROUND0.15 - 0.17IFD</t>
  </si>
  <si>
    <t>ROUND0.15 - 0.17VVS1D</t>
  </si>
  <si>
    <t>ROUND0.15 - 0.17VVS2D</t>
  </si>
  <si>
    <t>ROUND0.15 - 0.17VS1D</t>
  </si>
  <si>
    <t>ROUND0.15 - 0.17VS2D</t>
  </si>
  <si>
    <t>ROUND0.15 - 0.17SI1D</t>
  </si>
  <si>
    <t>ROUND0.15 - 0.17SI2D</t>
  </si>
  <si>
    <t>ROUND0.15 - 0.17SI3D</t>
  </si>
  <si>
    <t>ROUND0.15 - 0.17I1D</t>
  </si>
  <si>
    <t>ROUND0.15 - 0.17I2D</t>
  </si>
  <si>
    <t>ROUND0.15 - 0.17I3D</t>
  </si>
  <si>
    <t>ROUND0.15 - 0.17IFE</t>
  </si>
  <si>
    <t>ROUND0.15 - 0.17VVS1E</t>
  </si>
  <si>
    <t>ROUND0.15 - 0.17VVS2E</t>
  </si>
  <si>
    <t>ROUND0.15 - 0.17VS1E</t>
  </si>
  <si>
    <t>ROUND0.15 - 0.17VS2E</t>
  </si>
  <si>
    <t>ROUND0.15 - 0.17SI1E</t>
  </si>
  <si>
    <t>ROUND0.15 - 0.17SI2E</t>
  </si>
  <si>
    <t>ROUND0.15 - 0.17SI3E</t>
  </si>
  <si>
    <t>ROUND0.15 - 0.17I1E</t>
  </si>
  <si>
    <t>ROUND0.15 - 0.17I2E</t>
  </si>
  <si>
    <t>ROUND0.15 - 0.17I3E</t>
  </si>
  <si>
    <t>ROUND0.15 - 0.17IFF</t>
  </si>
  <si>
    <t>ROUND0.15 - 0.17VVS1F</t>
  </si>
  <si>
    <t>ROUND0.15 - 0.17VVS2F</t>
  </si>
  <si>
    <t>ROUND0.15 - 0.17VS1F</t>
  </si>
  <si>
    <t>ROUND0.15 - 0.17VS2F</t>
  </si>
  <si>
    <t>ROUND0.15 - 0.17SI1F</t>
  </si>
  <si>
    <t>ROUND0.15 - 0.17SI2F</t>
  </si>
  <si>
    <t>ROUND0.15 - 0.17SI3F</t>
  </si>
  <si>
    <t>ROUND0.15 - 0.17I1F</t>
  </si>
  <si>
    <t>ROUND0.15 - 0.17I2F</t>
  </si>
  <si>
    <t>ROUND0.15 - 0.17I3F</t>
  </si>
  <si>
    <t>ROUND0.15 - 0.17IFG</t>
  </si>
  <si>
    <t>ROUND0.15 - 0.17VVS1G</t>
  </si>
  <si>
    <t>ROUND0.15 - 0.17VVS2G</t>
  </si>
  <si>
    <t>ROUND0.15 - 0.17VS1G</t>
  </si>
  <si>
    <t>ROUND0.15 - 0.17VS2G</t>
  </si>
  <si>
    <t>ROUND0.15 - 0.17SI1G</t>
  </si>
  <si>
    <t>ROUND0.15 - 0.17SI2G</t>
  </si>
  <si>
    <t>ROUND0.15 - 0.17SI3G</t>
  </si>
  <si>
    <t>ROUND0.15 - 0.17I1G</t>
  </si>
  <si>
    <t>ROUND0.15 - 0.17I2G</t>
  </si>
  <si>
    <t>ROUND0.15 - 0.17I3G</t>
  </si>
  <si>
    <t>ROUND0.15 - 0.17IFH</t>
  </si>
  <si>
    <t>ROUND0.15 - 0.17VVS1H</t>
  </si>
  <si>
    <t>ROUND0.15 - 0.17VVS2H</t>
  </si>
  <si>
    <t>ROUND0.15 - 0.17VS1H</t>
  </si>
  <si>
    <t>ROUND0.15 - 0.17VS2H</t>
  </si>
  <si>
    <t>ROUND0.15 - 0.17SI1H</t>
  </si>
  <si>
    <t>ROUND0.15 - 0.17SI2H</t>
  </si>
  <si>
    <t>ROUND0.15 - 0.17SI3H</t>
  </si>
  <si>
    <t>ROUND0.15 - 0.17I1H</t>
  </si>
  <si>
    <t>ROUND0.15 - 0.17I2H</t>
  </si>
  <si>
    <t>ROUND0.15 - 0.17I3H</t>
  </si>
  <si>
    <t>ROUND0.15 - 0.17IFI</t>
  </si>
  <si>
    <t>ROUND0.15 - 0.17VVS1I</t>
  </si>
  <si>
    <t>ROUND0.15 - 0.17VVS2I</t>
  </si>
  <si>
    <t>ROUND0.15 - 0.17VS1I</t>
  </si>
  <si>
    <t>ROUND0.15 - 0.17VS2I</t>
  </si>
  <si>
    <t>ROUND0.15 - 0.17SI1I</t>
  </si>
  <si>
    <t>ROUND0.15 - 0.17SI2I</t>
  </si>
  <si>
    <t>ROUND0.15 - 0.17SI3I</t>
  </si>
  <si>
    <t>ROUND0.15 - 0.17I1I</t>
  </si>
  <si>
    <t>ROUND0.15 - 0.17I2I</t>
  </si>
  <si>
    <t>ROUND0.15 - 0.17I3I</t>
  </si>
  <si>
    <t>ROUND0.15 - 0.17IFJ</t>
  </si>
  <si>
    <t>ROUND0.15 - 0.17VVS1J</t>
  </si>
  <si>
    <t>ROUND0.15 - 0.17VVS2J</t>
  </si>
  <si>
    <t>ROUND0.15 - 0.17VS1J</t>
  </si>
  <si>
    <t>ROUND0.15 - 0.17VS2J</t>
  </si>
  <si>
    <t>ROUND0.15 - 0.17SI1J</t>
  </si>
  <si>
    <t>ROUND0.15 - 0.17SI2J</t>
  </si>
  <si>
    <t>ROUND0.15 - 0.17SI3J</t>
  </si>
  <si>
    <t>ROUND0.15 - 0.17I1J</t>
  </si>
  <si>
    <t>ROUND0.15 - 0.17I2J</t>
  </si>
  <si>
    <t>ROUND0.15 - 0.17I3J</t>
  </si>
  <si>
    <t>ROUND0.15 - 0.17IFK</t>
  </si>
  <si>
    <t>ROUND0.15 - 0.17VVS1K</t>
  </si>
  <si>
    <t>ROUND0.15 - 0.17VVS2K</t>
  </si>
  <si>
    <t>ROUND0.15 - 0.17VS1K</t>
  </si>
  <si>
    <t>ROUND0.15 - 0.17VS2K</t>
  </si>
  <si>
    <t>ROUND0.15 - 0.17SI1K</t>
  </si>
  <si>
    <t>ROUND0.15 - 0.17SI2K</t>
  </si>
  <si>
    <t>ROUND0.15 - 0.17SI3K</t>
  </si>
  <si>
    <t>ROUND0.15 - 0.17I1K</t>
  </si>
  <si>
    <t>ROUND0.15 - 0.17I2K</t>
  </si>
  <si>
    <t>ROUND0.15 - 0.17I3K</t>
  </si>
  <si>
    <t>ROUND0.15 - 0.17IFL</t>
  </si>
  <si>
    <t>ROUND0.15 - 0.17VVS1L</t>
  </si>
  <si>
    <t>ROUND0.15 - 0.17VVS2L</t>
  </si>
  <si>
    <t>ROUND0.15 - 0.17VS1L</t>
  </si>
  <si>
    <t>ROUND0.15 - 0.17VS2L</t>
  </si>
  <si>
    <t>ROUND0.15 - 0.17SI1L</t>
  </si>
  <si>
    <t>ROUND0.15 - 0.17SI2L</t>
  </si>
  <si>
    <t>ROUND0.15 - 0.17SI3L</t>
  </si>
  <si>
    <t>ROUND0.15 - 0.17I1L</t>
  </si>
  <si>
    <t>ROUND0.15 - 0.17I2L</t>
  </si>
  <si>
    <t>ROUND0.15 - 0.17I3L</t>
  </si>
  <si>
    <t>ROUND0.15 - 0.17IFM</t>
  </si>
  <si>
    <t>ROUND0.15 - 0.17VVS1M</t>
  </si>
  <si>
    <t>ROUND0.15 - 0.17VVS2M</t>
  </si>
  <si>
    <t>ROUND0.15 - 0.17VS1M</t>
  </si>
  <si>
    <t>ROUND0.15 - 0.17VS2M</t>
  </si>
  <si>
    <t>ROUND0.15 - 0.17SI1M</t>
  </si>
  <si>
    <t>ROUND0.15 - 0.17SI2M</t>
  </si>
  <si>
    <t>ROUND0.15 - 0.17SI3M</t>
  </si>
  <si>
    <t>ROUND0.15 - 0.17I1M</t>
  </si>
  <si>
    <t>ROUND0.15 - 0.17I2M</t>
  </si>
  <si>
    <t>ROUND0.15 - 0.17I3M</t>
  </si>
  <si>
    <t>ROUND0.15 - 0.17IFN</t>
  </si>
  <si>
    <t>ROUND0.15 - 0.17VVS1N</t>
  </si>
  <si>
    <t>ROUND0.15 - 0.17VVS2N</t>
  </si>
  <si>
    <t>ROUND0.15 - 0.17VS1N</t>
  </si>
  <si>
    <t>ROUND0.15 - 0.17VS2N</t>
  </si>
  <si>
    <t>ROUND0.15 - 0.17SI1N</t>
  </si>
  <si>
    <t>ROUND0.15 - 0.17SI2N</t>
  </si>
  <si>
    <t>ROUND0.15 - 0.17SI3N</t>
  </si>
  <si>
    <t>ROUND0.15 - 0.17I1N</t>
  </si>
  <si>
    <t>ROUND0.15 - 0.17I2N</t>
  </si>
  <si>
    <t>ROUND0.15 - 0.17I3N</t>
  </si>
  <si>
    <t>ROUND0.18 - 0.22IFD</t>
  </si>
  <si>
    <t>ROUND0.18 - 0.22VVS1D</t>
  </si>
  <si>
    <t>ROUND0.18 - 0.22VVS2D</t>
  </si>
  <si>
    <t>ROUND0.18 - 0.22VS1D</t>
  </si>
  <si>
    <t>ROUND0.18 - 0.22VS2D</t>
  </si>
  <si>
    <t>ROUND0.18 - 0.22SI1D</t>
  </si>
  <si>
    <t>ROUND0.18 - 0.22SI2D</t>
  </si>
  <si>
    <t>ROUND0.18 - 0.22SI3D</t>
  </si>
  <si>
    <t>ROUND0.18 - 0.22I1D</t>
  </si>
  <si>
    <t>ROUND0.18 - 0.22I2D</t>
  </si>
  <si>
    <t>ROUND0.18 - 0.22I3D</t>
  </si>
  <si>
    <t>ROUND0.18 - 0.22IFE</t>
  </si>
  <si>
    <t>ROUND0.18 - 0.22VVS1E</t>
  </si>
  <si>
    <t>ROUND0.18 - 0.22VVS2E</t>
  </si>
  <si>
    <t>ROUND0.18 - 0.22VS1E</t>
  </si>
  <si>
    <t>ROUND0.18 - 0.22VS2E</t>
  </si>
  <si>
    <t>ROUND0.18 - 0.22SI1E</t>
  </si>
  <si>
    <t>ROUND0.18 - 0.22SI2E</t>
  </si>
  <si>
    <t>ROUND0.18 - 0.22SI3E</t>
  </si>
  <si>
    <t>ROUND0.18 - 0.22I1E</t>
  </si>
  <si>
    <t>ROUND0.18 - 0.22I2E</t>
  </si>
  <si>
    <t>ROUND0.18 - 0.22I3E</t>
  </si>
  <si>
    <t>ROUND0.18 - 0.22IFF</t>
  </si>
  <si>
    <t>ROUND0.18 - 0.22VVS1F</t>
  </si>
  <si>
    <t>ROUND0.18 - 0.22VVS2F</t>
  </si>
  <si>
    <t>ROUND0.18 - 0.22VS1F</t>
  </si>
  <si>
    <t>ROUND0.18 - 0.22VS2F</t>
  </si>
  <si>
    <t>ROUND0.18 - 0.22SI1F</t>
  </si>
  <si>
    <t>ROUND0.18 - 0.22SI2F</t>
  </si>
  <si>
    <t>ROUND0.18 - 0.22SI3F</t>
  </si>
  <si>
    <t>ROUND0.18 - 0.22I1F</t>
  </si>
  <si>
    <t>ROUND0.18 - 0.22I2F</t>
  </si>
  <si>
    <t>ROUND0.18 - 0.22I3F</t>
  </si>
  <si>
    <t>ROUND0.18 - 0.22IFG</t>
  </si>
  <si>
    <t>ROUND0.18 - 0.22VVS1G</t>
  </si>
  <si>
    <t>ROUND0.18 - 0.22VVS2G</t>
  </si>
  <si>
    <t>ROUND0.18 - 0.22VS1G</t>
  </si>
  <si>
    <t>ROUND0.18 - 0.22VS2G</t>
  </si>
  <si>
    <t>ROUND0.18 - 0.22SI1G</t>
  </si>
  <si>
    <t>ROUND0.18 - 0.22SI2G</t>
  </si>
  <si>
    <t>ROUND0.18 - 0.22SI3G</t>
  </si>
  <si>
    <t>ROUND0.18 - 0.22I1G</t>
  </si>
  <si>
    <t>ROUND0.18 - 0.22I2G</t>
  </si>
  <si>
    <t>ROUND0.18 - 0.22I3G</t>
  </si>
  <si>
    <t>ROUND0.18 - 0.22IFH</t>
  </si>
  <si>
    <t>ROUND0.18 - 0.22VVS1H</t>
  </si>
  <si>
    <t>ROUND0.18 - 0.22VVS2H</t>
  </si>
  <si>
    <t>ROUND0.18 - 0.22VS1H</t>
  </si>
  <si>
    <t>ROUND0.18 - 0.22VS2H</t>
  </si>
  <si>
    <t>ROUND0.18 - 0.22SI1H</t>
  </si>
  <si>
    <t>ROUND0.18 - 0.22SI2H</t>
  </si>
  <si>
    <t>ROUND0.18 - 0.22SI3H</t>
  </si>
  <si>
    <t>ROUND0.18 - 0.22I1H</t>
  </si>
  <si>
    <t>ROUND0.18 - 0.22I2H</t>
  </si>
  <si>
    <t>ROUND0.18 - 0.22I3H</t>
  </si>
  <si>
    <t>ROUND0.18 - 0.22IFI</t>
  </si>
  <si>
    <t>ROUND0.18 - 0.22VVS1I</t>
  </si>
  <si>
    <t>ROUND0.18 - 0.22VVS2I</t>
  </si>
  <si>
    <t>ROUND0.18 - 0.22VS1I</t>
  </si>
  <si>
    <t>ROUND0.18 - 0.22VS2I</t>
  </si>
  <si>
    <t>ROUND0.18 - 0.22SI1I</t>
  </si>
  <si>
    <t>ROUND0.18 - 0.22SI2I</t>
  </si>
  <si>
    <t>ROUND0.18 - 0.22SI3I</t>
  </si>
  <si>
    <t>ROUND0.18 - 0.22I1I</t>
  </si>
  <si>
    <t>ROUND0.18 - 0.22I2I</t>
  </si>
  <si>
    <t>ROUND0.18 - 0.22I3I</t>
  </si>
  <si>
    <t>ROUND0.18 - 0.22IFJ</t>
  </si>
  <si>
    <t>ROUND0.18 - 0.22VVS1J</t>
  </si>
  <si>
    <t>ROUND0.18 - 0.22VVS2J</t>
  </si>
  <si>
    <t>ROUND0.18 - 0.22VS1J</t>
  </si>
  <si>
    <t>ROUND0.18 - 0.22VS2J</t>
  </si>
  <si>
    <t>ROUND0.18 - 0.22SI1J</t>
  </si>
  <si>
    <t>ROUND0.18 - 0.22SI2J</t>
  </si>
  <si>
    <t>ROUND0.18 - 0.22SI3J</t>
  </si>
  <si>
    <t>ROUND0.18 - 0.22I1J</t>
  </si>
  <si>
    <t>ROUND0.18 - 0.22I2J</t>
  </si>
  <si>
    <t>ROUND0.18 - 0.22I3J</t>
  </si>
  <si>
    <t>ROUND0.18 - 0.22IFK</t>
  </si>
  <si>
    <t>ROUND0.18 - 0.22VVS1K</t>
  </si>
  <si>
    <t>ROUND0.18 - 0.22VVS2K</t>
  </si>
  <si>
    <t>ROUND0.18 - 0.22VS1K</t>
  </si>
  <si>
    <t>ROUND0.18 - 0.22VS2K</t>
  </si>
  <si>
    <t>ROUND0.18 - 0.22SI1K</t>
  </si>
  <si>
    <t>ROUND0.18 - 0.22SI2K</t>
  </si>
  <si>
    <t>ROUND0.18 - 0.22SI3K</t>
  </si>
  <si>
    <t>ROUND0.18 - 0.22I1K</t>
  </si>
  <si>
    <t>ROUND0.18 - 0.22I2K</t>
  </si>
  <si>
    <t>ROUND0.18 - 0.22I3K</t>
  </si>
  <si>
    <t>ROUND0.18 - 0.22IFL</t>
  </si>
  <si>
    <t>ROUND0.18 - 0.22VVS1L</t>
  </si>
  <si>
    <t>ROUND0.18 - 0.22VVS2L</t>
  </si>
  <si>
    <t>ROUND0.18 - 0.22VS1L</t>
  </si>
  <si>
    <t>ROUND0.18 - 0.22VS2L</t>
  </si>
  <si>
    <t>ROUND0.18 - 0.22SI1L</t>
  </si>
  <si>
    <t>ROUND0.18 - 0.22SI2L</t>
  </si>
  <si>
    <t>ROUND0.18 - 0.22SI3L</t>
  </si>
  <si>
    <t>ROUND0.18 - 0.22I1L</t>
  </si>
  <si>
    <t>ROUND0.18 - 0.22I2L</t>
  </si>
  <si>
    <t>ROUND0.18 - 0.22I3L</t>
  </si>
  <si>
    <t>ROUND0.18 - 0.22IFM</t>
  </si>
  <si>
    <t>ROUND0.18 - 0.22VVS1M</t>
  </si>
  <si>
    <t>ROUND0.18 - 0.22VVS2M</t>
  </si>
  <si>
    <t>ROUND0.18 - 0.22VS1M</t>
  </si>
  <si>
    <t>ROUND0.18 - 0.22VS2M</t>
  </si>
  <si>
    <t>ROUND0.18 - 0.22SI1M</t>
  </si>
  <si>
    <t>ROUND0.18 - 0.22SI2M</t>
  </si>
  <si>
    <t>ROUND0.18 - 0.22SI3M</t>
  </si>
  <si>
    <t>ROUND0.18 - 0.22I1M</t>
  </si>
  <si>
    <t>ROUND0.18 - 0.22I2M</t>
  </si>
  <si>
    <t>ROUND0.18 - 0.22I3M</t>
  </si>
  <si>
    <t>ROUND0.18 - 0.22IFN</t>
  </si>
  <si>
    <t>ROUND0.18 - 0.22VVS1N</t>
  </si>
  <si>
    <t>ROUND0.18 - 0.22VVS2N</t>
  </si>
  <si>
    <t>ROUND0.18 - 0.22VS1N</t>
  </si>
  <si>
    <t>ROUND0.18 - 0.22VS2N</t>
  </si>
  <si>
    <t>ROUND0.18 - 0.22SI1N</t>
  </si>
  <si>
    <t>ROUND0.18 - 0.22SI2N</t>
  </si>
  <si>
    <t>ROUND0.18 - 0.22SI3N</t>
  </si>
  <si>
    <t>ROUND0.18 - 0.22I1N</t>
  </si>
  <si>
    <t>ROUND0.18 - 0.22I2N</t>
  </si>
  <si>
    <t>ROUND0.18 - 0.22I3N</t>
  </si>
  <si>
    <t>ROUND0.23 - 0.29IFD</t>
  </si>
  <si>
    <t>ROUND0.23 - 0.29VVS1D</t>
  </si>
  <si>
    <t>ROUND0.23 - 0.29VVS2D</t>
  </si>
  <si>
    <t>ROUND0.23 - 0.29VS1D</t>
  </si>
  <si>
    <t>ROUND0.23 - 0.29VS2D</t>
  </si>
  <si>
    <t>ROUND0.23 - 0.29SI1D</t>
  </si>
  <si>
    <t>ROUND0.23 - 0.29SI2D</t>
  </si>
  <si>
    <t>ROUND0.23 - 0.29SI3D</t>
  </si>
  <si>
    <t>ROUND0.23 - 0.29I1D</t>
  </si>
  <si>
    <t>ROUND0.23 - 0.29I2D</t>
  </si>
  <si>
    <t>ROUND0.23 - 0.29I3D</t>
  </si>
  <si>
    <t>ROUND0.23 - 0.29IFE</t>
  </si>
  <si>
    <t>ROUND0.23 - 0.29VVS1E</t>
  </si>
  <si>
    <t>ROUND0.23 - 0.29VVS2E</t>
  </si>
  <si>
    <t>ROUND0.23 - 0.29VS1E</t>
  </si>
  <si>
    <t>ROUND0.23 - 0.29VS2E</t>
  </si>
  <si>
    <t>ROUND0.23 - 0.29SI1E</t>
  </si>
  <si>
    <t>ROUND0.23 - 0.29SI2E</t>
  </si>
  <si>
    <t>ROUND0.23 - 0.29SI3E</t>
  </si>
  <si>
    <t>ROUND0.23 - 0.29I1E</t>
  </si>
  <si>
    <t>ROUND0.23 - 0.29I2E</t>
  </si>
  <si>
    <t>ROUND0.23 - 0.29I3E</t>
  </si>
  <si>
    <t>ROUND0.23 - 0.29IFF</t>
  </si>
  <si>
    <t>ROUND0.23 - 0.29VVS1F</t>
  </si>
  <si>
    <t>ROUND0.23 - 0.29VVS2F</t>
  </si>
  <si>
    <t>ROUND0.23 - 0.29VS1F</t>
  </si>
  <si>
    <t>ROUND0.23 - 0.29VS2F</t>
  </si>
  <si>
    <t>ROUND0.23 - 0.29SI1F</t>
  </si>
  <si>
    <t>ROUND0.23 - 0.29SI2F</t>
  </si>
  <si>
    <t>ROUND0.23 - 0.29SI3F</t>
  </si>
  <si>
    <t>ROUND0.23 - 0.29I1F</t>
  </si>
  <si>
    <t>ROUND0.23 - 0.29I2F</t>
  </si>
  <si>
    <t>ROUND0.23 - 0.29I3F</t>
  </si>
  <si>
    <t>ROUND0.23 - 0.29IFG</t>
  </si>
  <si>
    <t>ROUND0.23 - 0.29VVS1G</t>
  </si>
  <si>
    <t>ROUND0.23 - 0.29VVS2G</t>
  </si>
  <si>
    <t>ROUND0.23 - 0.29VS1G</t>
  </si>
  <si>
    <t>ROUND0.23 - 0.29VS2G</t>
  </si>
  <si>
    <t>ROUND0.23 - 0.29SI1G</t>
  </si>
  <si>
    <t>ROUND0.23 - 0.29SI2G</t>
  </si>
  <si>
    <t>ROUND0.23 - 0.29SI3G</t>
  </si>
  <si>
    <t>ROUND0.23 - 0.29I1G</t>
  </si>
  <si>
    <t>ROUND0.23 - 0.29I2G</t>
  </si>
  <si>
    <t>ROUND0.23 - 0.29I3G</t>
  </si>
  <si>
    <t>ROUND0.23 - 0.29IFH</t>
  </si>
  <si>
    <t>ROUND0.23 - 0.29VVS1H</t>
  </si>
  <si>
    <t>ROUND0.23 - 0.29VVS2H</t>
  </si>
  <si>
    <t>ROUND0.23 - 0.29VS1H</t>
  </si>
  <si>
    <t>ROUND0.23 - 0.29VS2H</t>
  </si>
  <si>
    <t>ROUND0.23 - 0.29SI1H</t>
  </si>
  <si>
    <t>ROUND0.23 - 0.29SI2H</t>
  </si>
  <si>
    <t>ROUND0.23 - 0.29SI3H</t>
  </si>
  <si>
    <t>ROUND0.23 - 0.29I1H</t>
  </si>
  <si>
    <t>ROUND0.23 - 0.29I2H</t>
  </si>
  <si>
    <t>ROUND0.23 - 0.29I3H</t>
  </si>
  <si>
    <t>ROUND0.23 - 0.29IFI</t>
  </si>
  <si>
    <t>ROUND0.23 - 0.29VVS1I</t>
  </si>
  <si>
    <t>ROUND0.23 - 0.29VVS2I</t>
  </si>
  <si>
    <t>ROUND0.23 - 0.29VS1I</t>
  </si>
  <si>
    <t>ROUND0.23 - 0.29VS2I</t>
  </si>
  <si>
    <t>ROUND0.23 - 0.29SI1I</t>
  </si>
  <si>
    <t>ROUND0.23 - 0.29SI2I</t>
  </si>
  <si>
    <t>ROUND0.23 - 0.29SI3I</t>
  </si>
  <si>
    <t>ROUND0.23 - 0.29I1I</t>
  </si>
  <si>
    <t>ROUND0.23 - 0.29I2I</t>
  </si>
  <si>
    <t>ROUND0.23 - 0.29I3I</t>
  </si>
  <si>
    <t>ROUND0.23 - 0.29IFJ</t>
  </si>
  <si>
    <t>ROUND0.23 - 0.29VVS1J</t>
  </si>
  <si>
    <t>ROUND0.23 - 0.29VVS2J</t>
  </si>
  <si>
    <t>ROUND0.23 - 0.29VS1J</t>
  </si>
  <si>
    <t>ROUND0.23 - 0.29VS2J</t>
  </si>
  <si>
    <t>ROUND0.23 - 0.29SI1J</t>
  </si>
  <si>
    <t>ROUND0.23 - 0.29SI2J</t>
  </si>
  <si>
    <t>ROUND0.23 - 0.29SI3J</t>
  </si>
  <si>
    <t>ROUND0.23 - 0.29I1J</t>
  </si>
  <si>
    <t>ROUND0.23 - 0.29I2J</t>
  </si>
  <si>
    <t>ROUND0.23 - 0.29I3J</t>
  </si>
  <si>
    <t>ROUND0.23 - 0.29IFK</t>
  </si>
  <si>
    <t>ROUND0.23 - 0.29VVS1K</t>
  </si>
  <si>
    <t>ROUND0.23 - 0.29VVS2K</t>
  </si>
  <si>
    <t>ROUND0.23 - 0.29VS1K</t>
  </si>
  <si>
    <t>ROUND0.23 - 0.29VS2K</t>
  </si>
  <si>
    <t>ROUND0.23 - 0.29SI1K</t>
  </si>
  <si>
    <t>ROUND0.23 - 0.29SI2K</t>
  </si>
  <si>
    <t>ROUND0.23 - 0.29SI3K</t>
  </si>
  <si>
    <t>ROUND0.23 - 0.29I1K</t>
  </si>
  <si>
    <t>ROUND0.23 - 0.29I2K</t>
  </si>
  <si>
    <t>ROUND0.23 - 0.29I3K</t>
  </si>
  <si>
    <t>ROUND0.23 - 0.29IFL</t>
  </si>
  <si>
    <t>ROUND0.23 - 0.29VVS1L</t>
  </si>
  <si>
    <t>ROUND0.23 - 0.29VVS2L</t>
  </si>
  <si>
    <t>ROUND0.23 - 0.29VS1L</t>
  </si>
  <si>
    <t>ROUND0.23 - 0.29VS2L</t>
  </si>
  <si>
    <t>ROUND0.23 - 0.29SI1L</t>
  </si>
  <si>
    <t>ROUND0.23 - 0.29SI2L</t>
  </si>
  <si>
    <t>ROUND0.23 - 0.29SI3L</t>
  </si>
  <si>
    <t>ROUND0.23 - 0.29I1L</t>
  </si>
  <si>
    <t>ROUND0.23 - 0.29I2L</t>
  </si>
  <si>
    <t>ROUND0.23 - 0.29I3L</t>
  </si>
  <si>
    <t>ROUND0.23 - 0.29IFM</t>
  </si>
  <si>
    <t>ROUND0.23 - 0.29VVS1M</t>
  </si>
  <si>
    <t>ROUND0.23 - 0.29VVS2M</t>
  </si>
  <si>
    <t>ROUND0.23 - 0.29VS1M</t>
  </si>
  <si>
    <t>ROUND0.23 - 0.29VS2M</t>
  </si>
  <si>
    <t>ROUND0.23 - 0.29SI1M</t>
  </si>
  <si>
    <t>ROUND0.23 - 0.29SI2M</t>
  </si>
  <si>
    <t>ROUND0.23 - 0.29SI3M</t>
  </si>
  <si>
    <t>ROUND0.23 - 0.29I1M</t>
  </si>
  <si>
    <t>ROUND0.23 - 0.29I2M</t>
  </si>
  <si>
    <t>ROUND0.23 - 0.29I3M</t>
  </si>
  <si>
    <t>ROUND0.23 - 0.29IFN</t>
  </si>
  <si>
    <t>ROUND0.23 - 0.29VVS1N</t>
  </si>
  <si>
    <t>ROUND0.23 - 0.29VVS2N</t>
  </si>
  <si>
    <t>ROUND0.23 - 0.29VS1N</t>
  </si>
  <si>
    <t>ROUND0.23 - 0.29VS2N</t>
  </si>
  <si>
    <t>ROUND0.23 - 0.29SI1N</t>
  </si>
  <si>
    <t>ROUND0.23 - 0.29SI2N</t>
  </si>
  <si>
    <t>ROUND0.23 - 0.29SI3N</t>
  </si>
  <si>
    <t>ROUND0.23 - 0.29I1N</t>
  </si>
  <si>
    <t>ROUND0.23 - 0.29I2N</t>
  </si>
  <si>
    <t>ROUND0.23 - 0.29I3N</t>
  </si>
  <si>
    <t>ROUND0.30 - 0.39IFD</t>
  </si>
  <si>
    <t>ROUND0.30 - 0.39VVS1D</t>
  </si>
  <si>
    <t>ROUND0.30 - 0.39VVS2D</t>
  </si>
  <si>
    <t>ROUND0.30 - 0.39VS1D</t>
  </si>
  <si>
    <t>ROUND0.30 - 0.39VS2D</t>
  </si>
  <si>
    <t>ROUND0.30 - 0.39SI1D</t>
  </si>
  <si>
    <t>ROUND0.30 - 0.39SI2D</t>
  </si>
  <si>
    <t>ROUND0.30 - 0.39SI3D</t>
  </si>
  <si>
    <t>ROUND0.30 - 0.39I1D</t>
  </si>
  <si>
    <t>ROUND0.30 - 0.39I2D</t>
  </si>
  <si>
    <t>ROUND0.30 - 0.39I3D</t>
  </si>
  <si>
    <t>ROUND0.30 - 0.39IFE</t>
  </si>
  <si>
    <t>ROUND0.30 - 0.39VVS1E</t>
  </si>
  <si>
    <t>ROUND0.30 - 0.39VVS2E</t>
  </si>
  <si>
    <t>ROUND0.30 - 0.39VS1E</t>
  </si>
  <si>
    <t>ROUND0.30 - 0.39VS2E</t>
  </si>
  <si>
    <t>ROUND0.30 - 0.39SI1E</t>
  </si>
  <si>
    <t>ROUND0.30 - 0.39SI2E</t>
  </si>
  <si>
    <t>ROUND0.30 - 0.39SI3E</t>
  </si>
  <si>
    <t>ROUND0.30 - 0.39I1E</t>
  </si>
  <si>
    <t>ROUND0.30 - 0.39I2E</t>
  </si>
  <si>
    <t>ROUND0.30 - 0.39I3E</t>
  </si>
  <si>
    <t>ROUND0.30 - 0.39IFF</t>
  </si>
  <si>
    <t>ROUND0.30 - 0.39VVS1F</t>
  </si>
  <si>
    <t>ROUND0.30 - 0.39VVS2F</t>
  </si>
  <si>
    <t>ROUND0.30 - 0.39VS1F</t>
  </si>
  <si>
    <t>ROUND0.30 - 0.39VS2F</t>
  </si>
  <si>
    <t>ROUND0.30 - 0.39SI1F</t>
  </si>
  <si>
    <t>ROUND0.30 - 0.39SI2F</t>
  </si>
  <si>
    <t>ROUND0.30 - 0.39SI3F</t>
  </si>
  <si>
    <t>ROUND0.30 - 0.39I1F</t>
  </si>
  <si>
    <t>ROUND0.30 - 0.39I2F</t>
  </si>
  <si>
    <t>ROUND0.30 - 0.39I3F</t>
  </si>
  <si>
    <t>ROUND0.30 - 0.39IFG</t>
  </si>
  <si>
    <t>ROUND0.30 - 0.39VVS1G</t>
  </si>
  <si>
    <t>ROUND0.30 - 0.39VVS2G</t>
  </si>
  <si>
    <t>ROUND0.30 - 0.39VS1G</t>
  </si>
  <si>
    <t>ROUND0.30 - 0.39VS2G</t>
  </si>
  <si>
    <t>ROUND0.30 - 0.39SI1G</t>
  </si>
  <si>
    <t>ROUND0.30 - 0.39SI2G</t>
  </si>
  <si>
    <t>ROUND0.30 - 0.39SI3G</t>
  </si>
  <si>
    <t>ROUND0.30 - 0.39I1G</t>
  </si>
  <si>
    <t>ROUND0.30 - 0.39I2G</t>
  </si>
  <si>
    <t>ROUND0.30 - 0.39I3G</t>
  </si>
  <si>
    <t>ROUND0.30 - 0.39IFH</t>
  </si>
  <si>
    <t>ROUND0.30 - 0.39VVS1H</t>
  </si>
  <si>
    <t>ROUND0.30 - 0.39VVS2H</t>
  </si>
  <si>
    <t>ROUND0.30 - 0.39VS1H</t>
  </si>
  <si>
    <t>ROUND0.30 - 0.39VS2H</t>
  </si>
  <si>
    <t>ROUND0.30 - 0.39SI1H</t>
  </si>
  <si>
    <t>ROUND0.30 - 0.39SI2H</t>
  </si>
  <si>
    <t>ROUND0.30 - 0.39SI3H</t>
  </si>
  <si>
    <t>ROUND0.30 - 0.39I1H</t>
  </si>
  <si>
    <t>ROUND0.30 - 0.39I2H</t>
  </si>
  <si>
    <t>ROUND0.30 - 0.39I3H</t>
  </si>
  <si>
    <t>ROUND0.30 - 0.39IFI</t>
  </si>
  <si>
    <t>ROUND0.30 - 0.39VVS1I</t>
  </si>
  <si>
    <t>ROUND0.30 - 0.39VVS2I</t>
  </si>
  <si>
    <t>ROUND0.30 - 0.39VS1I</t>
  </si>
  <si>
    <t>ROUND0.30 - 0.39VS2I</t>
  </si>
  <si>
    <t>ROUND0.30 - 0.39SI1I</t>
  </si>
  <si>
    <t>ROUND0.30 - 0.39SI2I</t>
  </si>
  <si>
    <t>ROUND0.30 - 0.39SI3I</t>
  </si>
  <si>
    <t>ROUND0.30 - 0.39I1I</t>
  </si>
  <si>
    <t>ROUND0.30 - 0.39I2I</t>
  </si>
  <si>
    <t>ROUND0.30 - 0.39I3I</t>
  </si>
  <si>
    <t>ROUND0.30 - 0.39IFJ</t>
  </si>
  <si>
    <t>ROUND0.30 - 0.39VVS1J</t>
  </si>
  <si>
    <t>ROUND0.30 - 0.39VVS2J</t>
  </si>
  <si>
    <t>ROUND0.30 - 0.39VS1J</t>
  </si>
  <si>
    <t>ROUND0.30 - 0.39VS2J</t>
  </si>
  <si>
    <t>ROUND0.30 - 0.39SI1J</t>
  </si>
  <si>
    <t>ROUND0.30 - 0.39SI2J</t>
  </si>
  <si>
    <t>ROUND0.30 - 0.39SI3J</t>
  </si>
  <si>
    <t>ROUND0.30 - 0.39I1J</t>
  </si>
  <si>
    <t>ROUND0.30 - 0.39I2J</t>
  </si>
  <si>
    <t>ROUND0.30 - 0.39I3J</t>
  </si>
  <si>
    <t>ROUND0.30 - 0.39IFK</t>
  </si>
  <si>
    <t>ROUND0.30 - 0.39VVS1K</t>
  </si>
  <si>
    <t>ROUND0.30 - 0.39VVS2K</t>
  </si>
  <si>
    <t>ROUND0.30 - 0.39VS1K</t>
  </si>
  <si>
    <t>ROUND0.30 - 0.39VS2K</t>
  </si>
  <si>
    <t>ROUND0.30 - 0.39SI1K</t>
  </si>
  <si>
    <t>ROUND0.30 - 0.39SI2K</t>
  </si>
  <si>
    <t>ROUND0.30 - 0.39SI3K</t>
  </si>
  <si>
    <t>ROUND0.30 - 0.39I1K</t>
  </si>
  <si>
    <t>ROUND0.30 - 0.39I2K</t>
  </si>
  <si>
    <t>ROUND0.30 - 0.39I3K</t>
  </si>
  <si>
    <t>ROUND0.30 - 0.39IFL</t>
  </si>
  <si>
    <t>ROUND0.30 - 0.39VVS1L</t>
  </si>
  <si>
    <t>ROUND0.30 - 0.39VVS2L</t>
  </si>
  <si>
    <t>ROUND0.30 - 0.39VS1L</t>
  </si>
  <si>
    <t>ROUND0.30 - 0.39VS2L</t>
  </si>
  <si>
    <t>ROUND0.30 - 0.39SI1L</t>
  </si>
  <si>
    <t>ROUND0.30 - 0.39SI2L</t>
  </si>
  <si>
    <t>ROUND0.30 - 0.39SI3L</t>
  </si>
  <si>
    <t>ROUND0.30 - 0.39I1L</t>
  </si>
  <si>
    <t>ROUND0.30 - 0.39I2L</t>
  </si>
  <si>
    <t>ROUND0.30 - 0.39I3L</t>
  </si>
  <si>
    <t>ROUND0.30 - 0.39IFM</t>
  </si>
  <si>
    <t>ROUND0.30 - 0.39VVS1M</t>
  </si>
  <si>
    <t>ROUND0.30 - 0.39VVS2M</t>
  </si>
  <si>
    <t>ROUND0.30 - 0.39VS1M</t>
  </si>
  <si>
    <t>ROUND0.30 - 0.39VS2M</t>
  </si>
  <si>
    <t>ROUND0.30 - 0.39SI1M</t>
  </si>
  <si>
    <t>ROUND0.30 - 0.39SI2M</t>
  </si>
  <si>
    <t>ROUND0.30 - 0.39SI3M</t>
  </si>
  <si>
    <t>ROUND0.30 - 0.39I1M</t>
  </si>
  <si>
    <t>ROUND0.30 - 0.39I2M</t>
  </si>
  <si>
    <t>ROUND0.30 - 0.39I3M</t>
  </si>
  <si>
    <t>ROUND0.40 - 0.49IFD</t>
  </si>
  <si>
    <t>ROUND0.40 - 0.49VVS1D</t>
  </si>
  <si>
    <t>ROUND0.40 - 0.49VVS2D</t>
  </si>
  <si>
    <t>ROUND0.40 - 0.49VS1D</t>
  </si>
  <si>
    <t>ROUND0.40 - 0.49VS2D</t>
  </si>
  <si>
    <t>ROUND0.40 - 0.49SI1D</t>
  </si>
  <si>
    <t>ROUND0.40 - 0.49SI2D</t>
  </si>
  <si>
    <t>ROUND0.40 - 0.49SI3D</t>
  </si>
  <si>
    <t>ROUND0.40 - 0.49I1D</t>
  </si>
  <si>
    <t>ROUND0.40 - 0.49I2D</t>
  </si>
  <si>
    <t>ROUND0.40 - 0.49I3D</t>
  </si>
  <si>
    <t>ROUND0.40 - 0.49IFE</t>
  </si>
  <si>
    <t>ROUND0.40 - 0.49VVS1E</t>
  </si>
  <si>
    <t>ROUND0.40 - 0.49VVS2E</t>
  </si>
  <si>
    <t>ROUND0.40 - 0.49VS1E</t>
  </si>
  <si>
    <t>ROUND0.40 - 0.49VS2E</t>
  </si>
  <si>
    <t>ROUND0.40 - 0.49SI1E</t>
  </si>
  <si>
    <t>ROUND0.40 - 0.49SI2E</t>
  </si>
  <si>
    <t>ROUND0.40 - 0.49SI3E</t>
  </si>
  <si>
    <t>ROUND0.40 - 0.49I1E</t>
  </si>
  <si>
    <t>ROUND0.40 - 0.49I2E</t>
  </si>
  <si>
    <t>ROUND0.40 - 0.49I3E</t>
  </si>
  <si>
    <t>ROUND0.40 - 0.49IFF</t>
  </si>
  <si>
    <t>ROUND0.40 - 0.49VVS1F</t>
  </si>
  <si>
    <t>ROUND0.40 - 0.49VVS2F</t>
  </si>
  <si>
    <t>ROUND0.40 - 0.49VS1F</t>
  </si>
  <si>
    <t>ROUND0.40 - 0.49VS2F</t>
  </si>
  <si>
    <t>ROUND0.40 - 0.49SI1F</t>
  </si>
  <si>
    <t>ROUND0.40 - 0.49SI2F</t>
  </si>
  <si>
    <t>ROUND0.40 - 0.49SI3F</t>
  </si>
  <si>
    <t>ROUND0.40 - 0.49I1F</t>
  </si>
  <si>
    <t>ROUND0.40 - 0.49I2F</t>
  </si>
  <si>
    <t>ROUND0.40 - 0.49I3F</t>
  </si>
  <si>
    <t>ROUND0.40 - 0.49IFG</t>
  </si>
  <si>
    <t>ROUND0.40 - 0.49VVS1G</t>
  </si>
  <si>
    <t>ROUND0.40 - 0.49VVS2G</t>
  </si>
  <si>
    <t>ROUND0.40 - 0.49VS1G</t>
  </si>
  <si>
    <t>ROUND0.40 - 0.49VS2G</t>
  </si>
  <si>
    <t>ROUND0.40 - 0.49SI1G</t>
  </si>
  <si>
    <t>ROUND0.40 - 0.49SI2G</t>
  </si>
  <si>
    <t>ROUND0.40 - 0.49SI3G</t>
  </si>
  <si>
    <t>ROUND0.40 - 0.49I1G</t>
  </si>
  <si>
    <t>ROUND0.40 - 0.49I2G</t>
  </si>
  <si>
    <t>ROUND0.40 - 0.49I3G</t>
  </si>
  <si>
    <t>ROUND0.40 - 0.49IFH</t>
  </si>
  <si>
    <t>ROUND0.40 - 0.49VVS1H</t>
  </si>
  <si>
    <t>ROUND0.40 - 0.49VVS2H</t>
  </si>
  <si>
    <t>ROUND0.40 - 0.49VS1H</t>
  </si>
  <si>
    <t>ROUND0.40 - 0.49VS2H</t>
  </si>
  <si>
    <t>ROUND0.40 - 0.49SI1H</t>
  </si>
  <si>
    <t>ROUND0.40 - 0.49SI2H</t>
  </si>
  <si>
    <t>ROUND0.40 - 0.49SI3H</t>
  </si>
  <si>
    <t>ROUND0.40 - 0.49I1H</t>
  </si>
  <si>
    <t>ROUND0.40 - 0.49I2H</t>
  </si>
  <si>
    <t>ROUND0.40 - 0.49I3H</t>
  </si>
  <si>
    <t>ROUND0.40 - 0.49IFI</t>
  </si>
  <si>
    <t>ROUND0.40 - 0.49VVS1I</t>
  </si>
  <si>
    <t>ROUND0.40 - 0.49VVS2I</t>
  </si>
  <si>
    <t>ROUND0.40 - 0.49VS1I</t>
  </si>
  <si>
    <t>ROUND0.40 - 0.49VS2I</t>
  </si>
  <si>
    <t>ROUND0.40 - 0.49SI1I</t>
  </si>
  <si>
    <t>ROUND0.40 - 0.49SI2I</t>
  </si>
  <si>
    <t>ROUND0.40 - 0.49SI3I</t>
  </si>
  <si>
    <t>ROUND0.40 - 0.49I1I</t>
  </si>
  <si>
    <t>ROUND0.40 - 0.49I2I</t>
  </si>
  <si>
    <t>ROUND0.40 - 0.49I3I</t>
  </si>
  <si>
    <t>ROUND0.40 - 0.49IFJ</t>
  </si>
  <si>
    <t>ROUND0.40 - 0.49VVS1J</t>
  </si>
  <si>
    <t>ROUND0.40 - 0.49VVS2J</t>
  </si>
  <si>
    <t>ROUND0.40 - 0.49VS1J</t>
  </si>
  <si>
    <t>ROUND0.40 - 0.49VS2J</t>
  </si>
  <si>
    <t>ROUND0.40 - 0.49SI1J</t>
  </si>
  <si>
    <t>ROUND0.40 - 0.49SI2J</t>
  </si>
  <si>
    <t>ROUND0.40 - 0.49SI3J</t>
  </si>
  <si>
    <t>ROUND0.40 - 0.49I1J</t>
  </si>
  <si>
    <t>ROUND0.40 - 0.49I2J</t>
  </si>
  <si>
    <t>ROUND0.40 - 0.49I3J</t>
  </si>
  <si>
    <t>ROUND0.40 - 0.49IFK</t>
  </si>
  <si>
    <t>ROUND0.40 - 0.49VVS1K</t>
  </si>
  <si>
    <t>ROUND0.40 - 0.49VVS2K</t>
  </si>
  <si>
    <t>ROUND0.40 - 0.49VS1K</t>
  </si>
  <si>
    <t>ROUND0.40 - 0.49VS2K</t>
  </si>
  <si>
    <t>ROUND0.40 - 0.49SI1K</t>
  </si>
  <si>
    <t>ROUND0.40 - 0.49SI2K</t>
  </si>
  <si>
    <t>ROUND0.40 - 0.49SI3K</t>
  </si>
  <si>
    <t>ROUND0.40 - 0.49I1K</t>
  </si>
  <si>
    <t>ROUND0.40 - 0.49I2K</t>
  </si>
  <si>
    <t>ROUND0.40 - 0.49I3K</t>
  </si>
  <si>
    <t>ROUND0.40 - 0.49IFL</t>
  </si>
  <si>
    <t>ROUND0.40 - 0.49VVS1L</t>
  </si>
  <si>
    <t>ROUND0.40 - 0.49VVS2L</t>
  </si>
  <si>
    <t>ROUND0.40 - 0.49VS1L</t>
  </si>
  <si>
    <t>ROUND0.40 - 0.49VS2L</t>
  </si>
  <si>
    <t>ROUND0.40 - 0.49SI1L</t>
  </si>
  <si>
    <t>ROUND0.40 - 0.49SI2L</t>
  </si>
  <si>
    <t>ROUND0.40 - 0.49SI3L</t>
  </si>
  <si>
    <t>ROUND0.40 - 0.49I1L</t>
  </si>
  <si>
    <t>ROUND0.40 - 0.49I2L</t>
  </si>
  <si>
    <t>ROUND0.40 - 0.49I3L</t>
  </si>
  <si>
    <t>ROUND0.40 - 0.49IFM</t>
  </si>
  <si>
    <t>ROUND0.40 - 0.49VVS1M</t>
  </si>
  <si>
    <t>ROUND0.40 - 0.49VVS2M</t>
  </si>
  <si>
    <t>ROUND0.40 - 0.49VS1M</t>
  </si>
  <si>
    <t>ROUND0.40 - 0.49VS2M</t>
  </si>
  <si>
    <t>ROUND0.40 - 0.49SI1M</t>
  </si>
  <si>
    <t>ROUND0.40 - 0.49SI2M</t>
  </si>
  <si>
    <t>ROUND0.40 - 0.49SI3M</t>
  </si>
  <si>
    <t>ROUND0.40 - 0.49I1M</t>
  </si>
  <si>
    <t>ROUND0.40 - 0.49I2M</t>
  </si>
  <si>
    <t>ROUND0.40 - 0.49I3M</t>
  </si>
  <si>
    <t>ROUND0.50 - 0.69IFD</t>
  </si>
  <si>
    <t>ROUND0.50 - 0.69VVS1D</t>
  </si>
  <si>
    <t>ROUND0.50 - 0.69VVS2D</t>
  </si>
  <si>
    <t>ROUND0.50 - 0.69VS1D</t>
  </si>
  <si>
    <t>ROUND0.50 - 0.69VS2D</t>
  </si>
  <si>
    <t>ROUND0.50 - 0.69SI1D</t>
  </si>
  <si>
    <t>ROUND0.50 - 0.69SI2D</t>
  </si>
  <si>
    <t>ROUND0.50 - 0.69SI3D</t>
  </si>
  <si>
    <t>ROUND0.50 - 0.69I1D</t>
  </si>
  <si>
    <t>ROUND0.50 - 0.69I2D</t>
  </si>
  <si>
    <t>ROUND0.50 - 0.69I3D</t>
  </si>
  <si>
    <t>ROUND0.50 - 0.69IFE</t>
  </si>
  <si>
    <t>ROUND0.50 - 0.69VVS1E</t>
  </si>
  <si>
    <t>ROUND0.50 - 0.69VVS2E</t>
  </si>
  <si>
    <t>ROUND0.50 - 0.69VS1E</t>
  </si>
  <si>
    <t>ROUND0.50 - 0.69VS2E</t>
  </si>
  <si>
    <t>ROUND0.50 - 0.69SI1E</t>
  </si>
  <si>
    <t>ROUND0.50 - 0.69SI2E</t>
  </si>
  <si>
    <t>ROUND0.50 - 0.69SI3E</t>
  </si>
  <si>
    <t>ROUND0.50 - 0.69I1E</t>
  </si>
  <si>
    <t>ROUND0.50 - 0.69I2E</t>
  </si>
  <si>
    <t>ROUND0.50 - 0.69I3E</t>
  </si>
  <si>
    <t>ROUND0.50 - 0.69IFF</t>
  </si>
  <si>
    <t>ROUND0.50 - 0.69VVS1F</t>
  </si>
  <si>
    <t>ROUND0.50 - 0.69VVS2F</t>
  </si>
  <si>
    <t>ROUND0.50 - 0.69VS1F</t>
  </si>
  <si>
    <t>ROUND0.50 - 0.69VS2F</t>
  </si>
  <si>
    <t>ROUND0.50 - 0.69SI1F</t>
  </si>
  <si>
    <t>ROUND0.50 - 0.69SI2F</t>
  </si>
  <si>
    <t>ROUND0.50 - 0.69SI3F</t>
  </si>
  <si>
    <t>ROUND0.50 - 0.69I1F</t>
  </si>
  <si>
    <t>ROUND0.50 - 0.69I2F</t>
  </si>
  <si>
    <t>ROUND0.50 - 0.69I3F</t>
  </si>
  <si>
    <t>ROUND0.50 - 0.69IFG</t>
  </si>
  <si>
    <t>ROUND0.50 - 0.69VVS1G</t>
  </si>
  <si>
    <t>ROUND0.50 - 0.69VVS2G</t>
  </si>
  <si>
    <t>ROUND0.50 - 0.69VS1G</t>
  </si>
  <si>
    <t>ROUND0.50 - 0.69VS2G</t>
  </si>
  <si>
    <t>ROUND0.50 - 0.69SI1G</t>
  </si>
  <si>
    <t>ROUND0.50 - 0.69SI2G</t>
  </si>
  <si>
    <t>ROUND0.50 - 0.69SI3G</t>
  </si>
  <si>
    <t>ROUND0.50 - 0.69I1G</t>
  </si>
  <si>
    <t>ROUND0.50 - 0.69I2G</t>
  </si>
  <si>
    <t>ROUND0.50 - 0.69I3G</t>
  </si>
  <si>
    <t>ROUND0.50 - 0.69IFH</t>
  </si>
  <si>
    <t>ROUND0.50 - 0.69VVS1H</t>
  </si>
  <si>
    <t>ROUND0.50 - 0.69VVS2H</t>
  </si>
  <si>
    <t>ROUND0.50 - 0.69VS1H</t>
  </si>
  <si>
    <t>ROUND0.50 - 0.69VS2H</t>
  </si>
  <si>
    <t>ROUND0.50 - 0.69SI1H</t>
  </si>
  <si>
    <t>ROUND0.50 - 0.69SI2H</t>
  </si>
  <si>
    <t>ROUND0.50 - 0.69SI3H</t>
  </si>
  <si>
    <t>ROUND0.50 - 0.69I1H</t>
  </si>
  <si>
    <t>ROUND0.50 - 0.69I2H</t>
  </si>
  <si>
    <t>ROUND0.50 - 0.69I3H</t>
  </si>
  <si>
    <t>ROUND0.50 - 0.69IFI</t>
  </si>
  <si>
    <t>ROUND0.50 - 0.69VVS1I</t>
  </si>
  <si>
    <t>ROUND0.50 - 0.69VVS2I</t>
  </si>
  <si>
    <t>ROUND0.50 - 0.69VS1I</t>
  </si>
  <si>
    <t>ROUND0.50 - 0.69VS2I</t>
  </si>
  <si>
    <t>ROUND0.50 - 0.69SI1I</t>
  </si>
  <si>
    <t>ROUND0.50 - 0.69SI2I</t>
  </si>
  <si>
    <t>ROUND0.50 - 0.69SI3I</t>
  </si>
  <si>
    <t>ROUND0.50 - 0.69I1I</t>
  </si>
  <si>
    <t>ROUND0.50 - 0.69I2I</t>
  </si>
  <si>
    <t>ROUND0.50 - 0.69I3I</t>
  </si>
  <si>
    <t>ROUND0.50 - 0.69IFJ</t>
  </si>
  <si>
    <t>ROUND0.50 - 0.69VVS1J</t>
  </si>
  <si>
    <t>ROUND0.50 - 0.69VVS2J</t>
  </si>
  <si>
    <t>ROUND0.50 - 0.69VS1J</t>
  </si>
  <si>
    <t>ROUND0.50 - 0.69VS2J</t>
  </si>
  <si>
    <t>ROUND0.50 - 0.69SI1J</t>
  </si>
  <si>
    <t>ROUND0.50 - 0.69SI2J</t>
  </si>
  <si>
    <t>ROUND0.50 - 0.69SI3J</t>
  </si>
  <si>
    <t>ROUND0.50 - 0.69I1J</t>
  </si>
  <si>
    <t>ROUND0.50 - 0.69I2J</t>
  </si>
  <si>
    <t>ROUND0.50 - 0.69I3J</t>
  </si>
  <si>
    <t>ROUND0.50 - 0.69IFK</t>
  </si>
  <si>
    <t>ROUND0.50 - 0.69VVS1K</t>
  </si>
  <si>
    <t>ROUND0.50 - 0.69VVS2K</t>
  </si>
  <si>
    <t>ROUND0.50 - 0.69VS1K</t>
  </si>
  <si>
    <t>ROUND0.50 - 0.69VS2K</t>
  </si>
  <si>
    <t>ROUND0.50 - 0.69SI1K</t>
  </si>
  <si>
    <t>ROUND0.50 - 0.69SI2K</t>
  </si>
  <si>
    <t>ROUND0.50 - 0.69SI3K</t>
  </si>
  <si>
    <t>ROUND0.50 - 0.69I1K</t>
  </si>
  <si>
    <t>ROUND0.50 - 0.69I2K</t>
  </si>
  <si>
    <t>ROUND0.50 - 0.69I3K</t>
  </si>
  <si>
    <t>ROUND0.50 - 0.69IFL</t>
  </si>
  <si>
    <t>ROUND0.50 - 0.69VVS1L</t>
  </si>
  <si>
    <t>ROUND0.50 - 0.69VVS2L</t>
  </si>
  <si>
    <t>ROUND0.50 - 0.69VS1L</t>
  </si>
  <si>
    <t>ROUND0.50 - 0.69VS2L</t>
  </si>
  <si>
    <t>ROUND0.50 - 0.69SI1L</t>
  </si>
  <si>
    <t>ROUND0.50 - 0.69SI2L</t>
  </si>
  <si>
    <t>ROUND0.50 - 0.69SI3L</t>
  </si>
  <si>
    <t>ROUND0.50 - 0.69I1L</t>
  </si>
  <si>
    <t>ROUND0.50 - 0.69I2L</t>
  </si>
  <si>
    <t>ROUND0.50 - 0.69I3L</t>
  </si>
  <si>
    <t>ROUND0.50 - 0.69IFM</t>
  </si>
  <si>
    <t>ROUND0.50 - 0.69VVS1M</t>
  </si>
  <si>
    <t>ROUND0.50 - 0.69VVS2M</t>
  </si>
  <si>
    <t>ROUND0.50 - 0.69VS1M</t>
  </si>
  <si>
    <t>ROUND0.50 - 0.69VS2M</t>
  </si>
  <si>
    <t>ROUND0.50 - 0.69SI1M</t>
  </si>
  <si>
    <t>ROUND0.50 - 0.69SI2M</t>
  </si>
  <si>
    <t>ROUND0.50 - 0.69SI3M</t>
  </si>
  <si>
    <t>ROUND0.50 - 0.69I1M</t>
  </si>
  <si>
    <t>ROUND0.50 - 0.69I2M</t>
  </si>
  <si>
    <t>ROUND0.50 - 0.69I3M</t>
  </si>
  <si>
    <t>ROUND0.70 - 0.89IFD</t>
  </si>
  <si>
    <t>ROUND0.70 - 0.89VVS1D</t>
  </si>
  <si>
    <t>ROUND0.70 - 0.89VVS2D</t>
  </si>
  <si>
    <t>ROUND0.70 - 0.89VS1D</t>
  </si>
  <si>
    <t>ROUND0.70 - 0.89VS2D</t>
  </si>
  <si>
    <t>ROUND0.70 - 0.89SI1D</t>
  </si>
  <si>
    <t>ROUND0.70 - 0.89SI2D</t>
  </si>
  <si>
    <t>ROUND0.70 - 0.89SI3D</t>
  </si>
  <si>
    <t>ROUND0.70 - 0.89I1D</t>
  </si>
  <si>
    <t>ROUND0.70 - 0.89I2D</t>
  </si>
  <si>
    <t>ROUND0.70 - 0.89I3D</t>
  </si>
  <si>
    <t>ROUND0.70 - 0.89IFE</t>
  </si>
  <si>
    <t>ROUND0.70 - 0.89VVS1E</t>
  </si>
  <si>
    <t>ROUND0.70 - 0.89VVS2E</t>
  </si>
  <si>
    <t>ROUND0.70 - 0.89VS1E</t>
  </si>
  <si>
    <t>ROUND0.70 - 0.89VS2E</t>
  </si>
  <si>
    <t>ROUND0.70 - 0.89SI1E</t>
  </si>
  <si>
    <t>ROUND0.70 - 0.89SI2E</t>
  </si>
  <si>
    <t>ROUND0.70 - 0.89SI3E</t>
  </si>
  <si>
    <t>ROUND0.70 - 0.89I1E</t>
  </si>
  <si>
    <t>ROUND0.70 - 0.89I2E</t>
  </si>
  <si>
    <t>ROUND0.70 - 0.89I3E</t>
  </si>
  <si>
    <t>ROUND0.70 - 0.89IFF</t>
  </si>
  <si>
    <t>ROUND0.70 - 0.89VVS1F</t>
  </si>
  <si>
    <t>ROUND0.70 - 0.89VVS2F</t>
  </si>
  <si>
    <t>ROUND0.70 - 0.89VS1F</t>
  </si>
  <si>
    <t>ROUND0.70 - 0.89VS2F</t>
  </si>
  <si>
    <t>ROUND0.70 - 0.89SI1F</t>
  </si>
  <si>
    <t>ROUND0.70 - 0.89SI2F</t>
  </si>
  <si>
    <t>ROUND0.70 - 0.89SI3F</t>
  </si>
  <si>
    <t>ROUND0.70 - 0.89I1F</t>
  </si>
  <si>
    <t>ROUND0.70 - 0.89I2F</t>
  </si>
  <si>
    <t>ROUND0.70 - 0.89I3F</t>
  </si>
  <si>
    <t>ROUND0.70 - 0.89IFG</t>
  </si>
  <si>
    <t>ROUND0.70 - 0.89VVS1G</t>
  </si>
  <si>
    <t>ROUND0.70 - 0.89VVS2G</t>
  </si>
  <si>
    <t>ROUND0.70 - 0.89VS1G</t>
  </si>
  <si>
    <t>ROUND0.70 - 0.89VS2G</t>
  </si>
  <si>
    <t>ROUND0.70 - 0.89SI1G</t>
  </si>
  <si>
    <t>ROUND0.70 - 0.89SI2G</t>
  </si>
  <si>
    <t>ROUND0.70 - 0.89SI3G</t>
  </si>
  <si>
    <t>ROUND0.70 - 0.89I1G</t>
  </si>
  <si>
    <t>ROUND0.70 - 0.89I2G</t>
  </si>
  <si>
    <t>ROUND0.70 - 0.89I3G</t>
  </si>
  <si>
    <t>ROUND0.70 - 0.89IFH</t>
  </si>
  <si>
    <t>ROUND0.70 - 0.89VVS1H</t>
  </si>
  <si>
    <t>ROUND0.70 - 0.89VVS2H</t>
  </si>
  <si>
    <t>ROUND0.70 - 0.89VS1H</t>
  </si>
  <si>
    <t>ROUND0.70 - 0.89VS2H</t>
  </si>
  <si>
    <t>ROUND0.70 - 0.89SI1H</t>
  </si>
  <si>
    <t>ROUND0.70 - 0.89SI2H</t>
  </si>
  <si>
    <t>ROUND0.70 - 0.89SI3H</t>
  </si>
  <si>
    <t>ROUND0.70 - 0.89I1H</t>
  </si>
  <si>
    <t>ROUND0.70 - 0.89I2H</t>
  </si>
  <si>
    <t>ROUND0.70 - 0.89I3H</t>
  </si>
  <si>
    <t>ROUND0.70 - 0.89IFI</t>
  </si>
  <si>
    <t>ROUND0.70 - 0.89VVS1I</t>
  </si>
  <si>
    <t>ROUND0.70 - 0.89VVS2I</t>
  </si>
  <si>
    <t>ROUND0.70 - 0.89VS1I</t>
  </si>
  <si>
    <t>ROUND0.70 - 0.89VS2I</t>
  </si>
  <si>
    <t>ROUND0.70 - 0.89SI1I</t>
  </si>
  <si>
    <t>ROUND0.70 - 0.89SI2I</t>
  </si>
  <si>
    <t>ROUND0.70 - 0.89SI3I</t>
  </si>
  <si>
    <t>ROUND0.70 - 0.89I1I</t>
  </si>
  <si>
    <t>ROUND0.70 - 0.89I2I</t>
  </si>
  <si>
    <t>ROUND0.70 - 0.89I3I</t>
  </si>
  <si>
    <t>ROUND0.70 - 0.89IFJ</t>
  </si>
  <si>
    <t>ROUND0.70 - 0.89VVS1J</t>
  </si>
  <si>
    <t>ROUND0.70 - 0.89VVS2J</t>
  </si>
  <si>
    <t>ROUND0.70 - 0.89VS1J</t>
  </si>
  <si>
    <t>ROUND0.70 - 0.89VS2J</t>
  </si>
  <si>
    <t>ROUND0.70 - 0.89SI1J</t>
  </si>
  <si>
    <t>ROUND0.70 - 0.89SI2J</t>
  </si>
  <si>
    <t>ROUND0.70 - 0.89SI3J</t>
  </si>
  <si>
    <t>ROUND0.70 - 0.89I1J</t>
  </si>
  <si>
    <t>ROUND0.70 - 0.89I2J</t>
  </si>
  <si>
    <t>ROUND0.70 - 0.89I3J</t>
  </si>
  <si>
    <t>ROUND0.70 - 0.89IFK</t>
  </si>
  <si>
    <t>ROUND0.70 - 0.89VVS1K</t>
  </si>
  <si>
    <t>ROUND0.70 - 0.89VVS2K</t>
  </si>
  <si>
    <t>ROUND0.70 - 0.89VS1K</t>
  </si>
  <si>
    <t>ROUND0.70 - 0.89VS2K</t>
  </si>
  <si>
    <t>ROUND0.70 - 0.89SI1K</t>
  </si>
  <si>
    <t>ROUND0.70 - 0.89SI2K</t>
  </si>
  <si>
    <t>ROUND0.70 - 0.89SI3K</t>
  </si>
  <si>
    <t>ROUND0.70 - 0.89I1K</t>
  </si>
  <si>
    <t>ROUND0.70 - 0.89I2K</t>
  </si>
  <si>
    <t>ROUND0.70 - 0.89I3K</t>
  </si>
  <si>
    <t>ROUND0.70 - 0.89IFL</t>
  </si>
  <si>
    <t>ROUND0.70 - 0.89VVS1L</t>
  </si>
  <si>
    <t>ROUND0.70 - 0.89VVS2L</t>
  </si>
  <si>
    <t>ROUND0.70 - 0.89VS1L</t>
  </si>
  <si>
    <t>ROUND0.70 - 0.89VS2L</t>
  </si>
  <si>
    <t>ROUND0.70 - 0.89SI1L</t>
  </si>
  <si>
    <t>ROUND0.70 - 0.89SI2L</t>
  </si>
  <si>
    <t>ROUND0.70 - 0.89SI3L</t>
  </si>
  <si>
    <t>ROUND0.70 - 0.89I1L</t>
  </si>
  <si>
    <t>ROUND0.70 - 0.89I2L</t>
  </si>
  <si>
    <t>ROUND0.70 - 0.89I3L</t>
  </si>
  <si>
    <t>ROUND0.70 - 0.89IFM</t>
  </si>
  <si>
    <t>ROUND0.70 - 0.89VVS1M</t>
  </si>
  <si>
    <t>ROUND0.70 - 0.89VVS2M</t>
  </si>
  <si>
    <t>ROUND0.70 - 0.89VS1M</t>
  </si>
  <si>
    <t>ROUND0.70 - 0.89VS2M</t>
  </si>
  <si>
    <t>ROUND0.70 - 0.89SI1M</t>
  </si>
  <si>
    <t>ROUND0.70 - 0.89SI2M</t>
  </si>
  <si>
    <t>ROUND0.70 - 0.89SI3M</t>
  </si>
  <si>
    <t>ROUND0.70 - 0.89I1M</t>
  </si>
  <si>
    <t>ROUND0.70 - 0.89I2M</t>
  </si>
  <si>
    <t>ROUND0.70 - 0.89I3M</t>
  </si>
  <si>
    <t>ROUND0.90 - 0.99IFD</t>
  </si>
  <si>
    <t>ROUND0.90 - 0.99VVS1D</t>
  </si>
  <si>
    <t>ROUND0.90 - 0.99VVS2D</t>
  </si>
  <si>
    <t>ROUND0.90 - 0.99VS1D</t>
  </si>
  <si>
    <t>ROUND0.90 - 0.99VS2D</t>
  </si>
  <si>
    <t>ROUND0.90 - 0.99SI1D</t>
  </si>
  <si>
    <t>ROUND0.90 - 0.99SI2D</t>
  </si>
  <si>
    <t>ROUND0.90 - 0.99SI3D</t>
  </si>
  <si>
    <t>ROUND0.90 - 0.99I1D</t>
  </si>
  <si>
    <t>ROUND0.90 - 0.99I2D</t>
  </si>
  <si>
    <t>ROUND0.90 - 0.99I3D</t>
  </si>
  <si>
    <t>ROUND0.90 - 0.99IFE</t>
  </si>
  <si>
    <t>ROUND0.90 - 0.99VVS1E</t>
  </si>
  <si>
    <t>ROUND0.90 - 0.99VVS2E</t>
  </si>
  <si>
    <t>ROUND0.90 - 0.99VS1E</t>
  </si>
  <si>
    <t>ROUND0.90 - 0.99VS2E</t>
  </si>
  <si>
    <t>ROUND0.90 - 0.99SI1E</t>
  </si>
  <si>
    <t>ROUND0.90 - 0.99SI2E</t>
  </si>
  <si>
    <t>ROUND0.90 - 0.99SI3E</t>
  </si>
  <si>
    <t>ROUND0.90 - 0.99I1E</t>
  </si>
  <si>
    <t>ROUND0.90 - 0.99I2E</t>
  </si>
  <si>
    <t>ROUND0.90 - 0.99I3E</t>
  </si>
  <si>
    <t>ROUND0.90 - 0.99IFF</t>
  </si>
  <si>
    <t>ROUND0.90 - 0.99VVS1F</t>
  </si>
  <si>
    <t>ROUND0.90 - 0.99VVS2F</t>
  </si>
  <si>
    <t>ROUND0.90 - 0.99VS1F</t>
  </si>
  <si>
    <t>ROUND0.90 - 0.99VS2F</t>
  </si>
  <si>
    <t>ROUND0.90 - 0.99SI1F</t>
  </si>
  <si>
    <t>ROUND0.90 - 0.99SI2F</t>
  </si>
  <si>
    <t>ROUND0.90 - 0.99SI3F</t>
  </si>
  <si>
    <t>ROUND0.90 - 0.99I1F</t>
  </si>
  <si>
    <t>ROUND0.90 - 0.99I2F</t>
  </si>
  <si>
    <t>ROUND0.90 - 0.99I3F</t>
  </si>
  <si>
    <t>ROUND0.90 - 0.99IFG</t>
  </si>
  <si>
    <t>ROUND0.90 - 0.99VVS1G</t>
  </si>
  <si>
    <t>ROUND0.90 - 0.99VVS2G</t>
  </si>
  <si>
    <t>ROUND0.90 - 0.99VS1G</t>
  </si>
  <si>
    <t>ROUND0.90 - 0.99VS2G</t>
  </si>
  <si>
    <t>ROUND0.90 - 0.99SI1G</t>
  </si>
  <si>
    <t>ROUND0.90 - 0.99SI2G</t>
  </si>
  <si>
    <t>ROUND0.90 - 0.99SI3G</t>
  </si>
  <si>
    <t>ROUND0.90 - 0.99I1G</t>
  </si>
  <si>
    <t>ROUND0.90 - 0.99I2G</t>
  </si>
  <si>
    <t>ROUND0.90 - 0.99I3G</t>
  </si>
  <si>
    <t>ROUND0.90 - 0.99IFH</t>
  </si>
  <si>
    <t>ROUND0.90 - 0.99VVS1H</t>
  </si>
  <si>
    <t>ROUND0.90 - 0.99VVS2H</t>
  </si>
  <si>
    <t>ROUND0.90 - 0.99VS1H</t>
  </si>
  <si>
    <t>ROUND0.90 - 0.99VS2H</t>
  </si>
  <si>
    <t>ROUND0.90 - 0.99SI1H</t>
  </si>
  <si>
    <t>ROUND0.90 - 0.99SI2H</t>
  </si>
  <si>
    <t>ROUND0.90 - 0.99SI3H</t>
  </si>
  <si>
    <t>ROUND0.90 - 0.99I1H</t>
  </si>
  <si>
    <t>ROUND0.90 - 0.99I2H</t>
  </si>
  <si>
    <t>ROUND0.90 - 0.99I3H</t>
  </si>
  <si>
    <t>ROUND0.90 - 0.99IFI</t>
  </si>
  <si>
    <t>ROUND0.90 - 0.99VVS1I</t>
  </si>
  <si>
    <t>ROUND0.90 - 0.99VVS2I</t>
  </si>
  <si>
    <t>ROUND0.90 - 0.99VS1I</t>
  </si>
  <si>
    <t>ROUND0.90 - 0.99VS2I</t>
  </si>
  <si>
    <t>ROUND0.90 - 0.99SI1I</t>
  </si>
  <si>
    <t>ROUND0.90 - 0.99SI2I</t>
  </si>
  <si>
    <t>ROUND0.90 - 0.99SI3I</t>
  </si>
  <si>
    <t>ROUND0.90 - 0.99I1I</t>
  </si>
  <si>
    <t>ROUND0.90 - 0.99I2I</t>
  </si>
  <si>
    <t>ROUND0.90 - 0.99I3I</t>
  </si>
  <si>
    <t>ROUND0.90 - 0.99IFJ</t>
  </si>
  <si>
    <t>ROUND0.90 - 0.99VVS1J</t>
  </si>
  <si>
    <t>ROUND0.90 - 0.99VVS2J</t>
  </si>
  <si>
    <t>ROUND0.90 - 0.99VS1J</t>
  </si>
  <si>
    <t>ROUND0.90 - 0.99VS2J</t>
  </si>
  <si>
    <t>ROUND0.90 - 0.99SI1J</t>
  </si>
  <si>
    <t>ROUND0.90 - 0.99SI2J</t>
  </si>
  <si>
    <t>ROUND0.90 - 0.99SI3J</t>
  </si>
  <si>
    <t>ROUND0.90 - 0.99I1J</t>
  </si>
  <si>
    <t>ROUND0.90 - 0.99I2J</t>
  </si>
  <si>
    <t>ROUND0.90 - 0.99I3J</t>
  </si>
  <si>
    <t>ROUND0.90 - 0.99IFK</t>
  </si>
  <si>
    <t>ROUND0.90 - 0.99VVS1K</t>
  </si>
  <si>
    <t>ROUND0.90 - 0.99VVS2K</t>
  </si>
  <si>
    <t>ROUND0.90 - 0.99VS1K</t>
  </si>
  <si>
    <t>ROUND0.90 - 0.99VS2K</t>
  </si>
  <si>
    <t>ROUND0.90 - 0.99SI1K</t>
  </si>
  <si>
    <t>ROUND0.90 - 0.99SI2K</t>
  </si>
  <si>
    <t>ROUND0.90 - 0.99SI3K</t>
  </si>
  <si>
    <t>ROUND0.90 - 0.99I1K</t>
  </si>
  <si>
    <t>ROUND0.90 - 0.99I2K</t>
  </si>
  <si>
    <t>ROUND0.90 - 0.99I3K</t>
  </si>
  <si>
    <t>ROUND0.90 - 0.99IFL</t>
  </si>
  <si>
    <t>ROUND0.90 - 0.99VVS1L</t>
  </si>
  <si>
    <t>ROUND0.90 - 0.99VVS2L</t>
  </si>
  <si>
    <t>ROUND0.90 - 0.99VS1L</t>
  </si>
  <si>
    <t>ROUND0.90 - 0.99VS2L</t>
  </si>
  <si>
    <t>ROUND0.90 - 0.99SI1L</t>
  </si>
  <si>
    <t>ROUND0.90 - 0.99SI2L</t>
  </si>
  <si>
    <t>ROUND0.90 - 0.99SI3L</t>
  </si>
  <si>
    <t>ROUND0.90 - 0.99I1L</t>
  </si>
  <si>
    <t>ROUND0.90 - 0.99I2L</t>
  </si>
  <si>
    <t>ROUND0.90 - 0.99I3L</t>
  </si>
  <si>
    <t>ROUND0.90 - 0.99IFM</t>
  </si>
  <si>
    <t>ROUND0.90 - 0.99VVS1M</t>
  </si>
  <si>
    <t>ROUND0.90 - 0.99VVS2M</t>
  </si>
  <si>
    <t>ROUND0.90 - 0.99VS1M</t>
  </si>
  <si>
    <t>ROUND0.90 - 0.99VS2M</t>
  </si>
  <si>
    <t>ROUND0.90 - 0.99SI1M</t>
  </si>
  <si>
    <t>ROUND0.90 - 0.99SI2M</t>
  </si>
  <si>
    <t>ROUND0.90 - 0.99SI3M</t>
  </si>
  <si>
    <t>ROUND0.90 - 0.99I1M</t>
  </si>
  <si>
    <t>ROUND0.90 - 0.99I2M</t>
  </si>
  <si>
    <t>ROUND0.90 - 0.99I3M</t>
  </si>
  <si>
    <t>ROUND1.00 - 1.49IFD</t>
  </si>
  <si>
    <t>ROUND1.00 - 1.49VVS1D</t>
  </si>
  <si>
    <t>ROUND1.00 - 1.49VVS2D</t>
  </si>
  <si>
    <t>ROUND1.00 - 1.49VS1D</t>
  </si>
  <si>
    <t>ROUND1.00 - 1.49VS2D</t>
  </si>
  <si>
    <t>ROUND1.00 - 1.49SI1D</t>
  </si>
  <si>
    <t>ROUND1.00 - 1.49SI2D</t>
  </si>
  <si>
    <t>ROUND1.00 - 1.49SI3D</t>
  </si>
  <si>
    <t>ROUND1.00 - 1.49I1D</t>
  </si>
  <si>
    <t>ROUND1.00 - 1.49I2D</t>
  </si>
  <si>
    <t>ROUND1.00 - 1.49I3D</t>
  </si>
  <si>
    <t>ROUND1.00 - 1.49IFE</t>
  </si>
  <si>
    <t>ROUND1.00 - 1.49VVS1E</t>
  </si>
  <si>
    <t>ROUND1.00 - 1.49VVS2E</t>
  </si>
  <si>
    <t>ROUND1.00 - 1.49VS1E</t>
  </si>
  <si>
    <t>ROUND1.00 - 1.49VS2E</t>
  </si>
  <si>
    <t>ROUND1.00 - 1.49SI1E</t>
  </si>
  <si>
    <t>ROUND1.00 - 1.49SI2E</t>
  </si>
  <si>
    <t>ROUND1.00 - 1.49SI3E</t>
  </si>
  <si>
    <t>ROUND1.00 - 1.49I1E</t>
  </si>
  <si>
    <t>ROUND1.00 - 1.49I2E</t>
  </si>
  <si>
    <t>ROUND1.00 - 1.49I3E</t>
  </si>
  <si>
    <t>ROUND1.00 - 1.49IFF</t>
  </si>
  <si>
    <t>ROUND1.00 - 1.49VVS1F</t>
  </si>
  <si>
    <t>ROUND1.00 - 1.49VVS2F</t>
  </si>
  <si>
    <t>ROUND1.00 - 1.49VS1F</t>
  </si>
  <si>
    <t>ROUND1.00 - 1.49VS2F</t>
  </si>
  <si>
    <t>ROUND1.00 - 1.49SI1F</t>
  </si>
  <si>
    <t>ROUND1.00 - 1.49SI2F</t>
  </si>
  <si>
    <t>ROUND1.00 - 1.49SI3F</t>
  </si>
  <si>
    <t>ROUND1.00 - 1.49I1F</t>
  </si>
  <si>
    <t>ROUND1.00 - 1.49I2F</t>
  </si>
  <si>
    <t>ROUND1.00 - 1.49I3F</t>
  </si>
  <si>
    <t>ROUND1.00 - 1.49IFG</t>
  </si>
  <si>
    <t>ROUND1.00 - 1.49VVS1G</t>
  </si>
  <si>
    <t>ROUND1.00 - 1.49VVS2G</t>
  </si>
  <si>
    <t>ROUND1.00 - 1.49VS1G</t>
  </si>
  <si>
    <t>ROUND1.00 - 1.49VS2G</t>
  </si>
  <si>
    <t>ROUND1.00 - 1.49SI1G</t>
  </si>
  <si>
    <t>ROUND1.00 - 1.49SI2G</t>
  </si>
  <si>
    <t>ROUND1.00 - 1.49SI3G</t>
  </si>
  <si>
    <t>ROUND1.00 - 1.49I1G</t>
  </si>
  <si>
    <t>ROUND1.00 - 1.49I2G</t>
  </si>
  <si>
    <t>ROUND1.00 - 1.49I3G</t>
  </si>
  <si>
    <t>ROUND1.00 - 1.49IFH</t>
  </si>
  <si>
    <t>ROUND1.00 - 1.49VVS1H</t>
  </si>
  <si>
    <t>ROUND1.00 - 1.49VVS2H</t>
  </si>
  <si>
    <t>ROUND1.00 - 1.49VS1H</t>
  </si>
  <si>
    <t>ROUND1.00 - 1.49VS2H</t>
  </si>
  <si>
    <t>ROUND1.00 - 1.49SI1H</t>
  </si>
  <si>
    <t>ROUND1.00 - 1.49SI2H</t>
  </si>
  <si>
    <t>ROUND1.00 - 1.49SI3H</t>
  </si>
  <si>
    <t>ROUND1.00 - 1.49I1H</t>
  </si>
  <si>
    <t>ROUND1.00 - 1.49I2H</t>
  </si>
  <si>
    <t>ROUND1.00 - 1.49I3H</t>
  </si>
  <si>
    <t>ROUND1.00 - 1.49IFI</t>
  </si>
  <si>
    <t>ROUND1.00 - 1.49VVS1I</t>
  </si>
  <si>
    <t>ROUND1.00 - 1.49VVS2I</t>
  </si>
  <si>
    <t>ROUND1.00 - 1.49VS1I</t>
  </si>
  <si>
    <t>ROUND1.00 - 1.49VS2I</t>
  </si>
  <si>
    <t>ROUND1.00 - 1.49SI1I</t>
  </si>
  <si>
    <t>ROUND1.00 - 1.49SI2I</t>
  </si>
  <si>
    <t>ROUND1.00 - 1.49SI3I</t>
  </si>
  <si>
    <t>ROUND1.00 - 1.49I1I</t>
  </si>
  <si>
    <t>ROUND1.00 - 1.49I2I</t>
  </si>
  <si>
    <t>ROUND1.00 - 1.49I3I</t>
  </si>
  <si>
    <t>ROUND1.00 - 1.49IFJ</t>
  </si>
  <si>
    <t>ROUND1.00 - 1.49VVS1J</t>
  </si>
  <si>
    <t>ROUND1.00 - 1.49VVS2J</t>
  </si>
  <si>
    <t>ROUND1.00 - 1.49VS1J</t>
  </si>
  <si>
    <t>ROUND1.00 - 1.49VS2J</t>
  </si>
  <si>
    <t>ROUND1.00 - 1.49SI1J</t>
  </si>
  <si>
    <t>ROUND1.00 - 1.49SI2J</t>
  </si>
  <si>
    <t>ROUND1.00 - 1.49SI3J</t>
  </si>
  <si>
    <t>ROUND1.00 - 1.49I1J</t>
  </si>
  <si>
    <t>ROUND1.00 - 1.49I2J</t>
  </si>
  <si>
    <t>ROUND1.00 - 1.49I3J</t>
  </si>
  <si>
    <t>ROUND1.00 - 1.49IFK</t>
  </si>
  <si>
    <t>ROUND1.00 - 1.49VVS1K</t>
  </si>
  <si>
    <t>ROUND1.00 - 1.49VVS2K</t>
  </si>
  <si>
    <t>ROUND1.00 - 1.49VS1K</t>
  </si>
  <si>
    <t>ROUND1.00 - 1.49VS2K</t>
  </si>
  <si>
    <t>ROUND1.00 - 1.49SI1K</t>
  </si>
  <si>
    <t>ROUND1.00 - 1.49SI2K</t>
  </si>
  <si>
    <t>ROUND1.00 - 1.49SI3K</t>
  </si>
  <si>
    <t>ROUND1.00 - 1.49I1K</t>
  </si>
  <si>
    <t>ROUND1.00 - 1.49I2K</t>
  </si>
  <si>
    <t>ROUND1.00 - 1.49I3K</t>
  </si>
  <si>
    <t>ROUND1.00 - 1.49IFL</t>
  </si>
  <si>
    <t>ROUND1.00 - 1.49VVS1L</t>
  </si>
  <si>
    <t>ROUND1.00 - 1.49VVS2L</t>
  </si>
  <si>
    <t>ROUND1.00 - 1.49VS1L</t>
  </si>
  <si>
    <t>ROUND1.00 - 1.49VS2L</t>
  </si>
  <si>
    <t>ROUND1.00 - 1.49SI1L</t>
  </si>
  <si>
    <t>ROUND1.00 - 1.49SI2L</t>
  </si>
  <si>
    <t>ROUND1.00 - 1.49SI3L</t>
  </si>
  <si>
    <t>ROUND1.00 - 1.49I1L</t>
  </si>
  <si>
    <t>ROUND1.00 - 1.49I2L</t>
  </si>
  <si>
    <t>ROUND1.00 - 1.49I3L</t>
  </si>
  <si>
    <t>ROUND1.00 - 1.49IFM</t>
  </si>
  <si>
    <t>ROUND1.00 - 1.49VVS1M</t>
  </si>
  <si>
    <t>ROUND1.00 - 1.49VVS2M</t>
  </si>
  <si>
    <t>ROUND1.00 - 1.49VS1M</t>
  </si>
  <si>
    <t>ROUND1.00 - 1.49VS2M</t>
  </si>
  <si>
    <t>ROUND1.00 - 1.49SI1M</t>
  </si>
  <si>
    <t>ROUND1.00 - 1.49SI2M</t>
  </si>
  <si>
    <t>ROUND1.00 - 1.49SI3M</t>
  </si>
  <si>
    <t>ROUND1.00 - 1.49I1M</t>
  </si>
  <si>
    <t>ROUND1.00 - 1.49I2M</t>
  </si>
  <si>
    <t>ROUND1.00 - 1.49I3M</t>
  </si>
  <si>
    <t>ROUND1.50 - 1.99IFD</t>
  </si>
  <si>
    <t>ROUND1.50 - 1.99VVS1D</t>
  </si>
  <si>
    <t>ROUND1.50 - 1.99VVS2D</t>
  </si>
  <si>
    <t>ROUND1.50 - 1.99VS1D</t>
  </si>
  <si>
    <t>ROUND1.50 - 1.99VS2D</t>
  </si>
  <si>
    <t>ROUND1.50 - 1.99SI1D</t>
  </si>
  <si>
    <t>ROUND1.50 - 1.99SI2D</t>
  </si>
  <si>
    <t>ROUND1.50 - 1.99SI3D</t>
  </si>
  <si>
    <t>ROUND1.50 - 1.99I1D</t>
  </si>
  <si>
    <t>ROUND1.50 - 1.99I2D</t>
  </si>
  <si>
    <t>ROUND1.50 - 1.99I3D</t>
  </si>
  <si>
    <t>ROUND1.50 - 1.99IFE</t>
  </si>
  <si>
    <t>ROUND1.50 - 1.99VVS1E</t>
  </si>
  <si>
    <t>ROUND1.50 - 1.99VVS2E</t>
  </si>
  <si>
    <t>ROUND1.50 - 1.99VS1E</t>
  </si>
  <si>
    <t>ROUND1.50 - 1.99VS2E</t>
  </si>
  <si>
    <t>ROUND1.50 - 1.99SI1E</t>
  </si>
  <si>
    <t>ROUND1.50 - 1.99SI2E</t>
  </si>
  <si>
    <t>ROUND1.50 - 1.99SI3E</t>
  </si>
  <si>
    <t>ROUND1.50 - 1.99I1E</t>
  </si>
  <si>
    <t>ROUND1.50 - 1.99I2E</t>
  </si>
  <si>
    <t>ROUND1.50 - 1.99I3E</t>
  </si>
  <si>
    <t>ROUND1.50 - 1.99IFF</t>
  </si>
  <si>
    <t>ROUND1.50 - 1.99VVS1F</t>
  </si>
  <si>
    <t>ROUND1.50 - 1.99VVS2F</t>
  </si>
  <si>
    <t>ROUND1.50 - 1.99VS1F</t>
  </si>
  <si>
    <t>ROUND1.50 - 1.99VS2F</t>
  </si>
  <si>
    <t>ROUND1.50 - 1.99SI1F</t>
  </si>
  <si>
    <t>ROUND1.50 - 1.99SI2F</t>
  </si>
  <si>
    <t>ROUND1.50 - 1.99SI3F</t>
  </si>
  <si>
    <t>ROUND1.50 - 1.99I1F</t>
  </si>
  <si>
    <t>ROUND1.50 - 1.99I2F</t>
  </si>
  <si>
    <t>ROUND1.50 - 1.99I3F</t>
  </si>
  <si>
    <t>ROUND1.50 - 1.99IFG</t>
  </si>
  <si>
    <t>ROUND1.50 - 1.99VVS1G</t>
  </si>
  <si>
    <t>ROUND1.50 - 1.99VVS2G</t>
  </si>
  <si>
    <t>ROUND1.50 - 1.99VS1G</t>
  </si>
  <si>
    <t>ROUND1.50 - 1.99VS2G</t>
  </si>
  <si>
    <t>ROUND1.50 - 1.99SI1G</t>
  </si>
  <si>
    <t>ROUND1.50 - 1.99SI2G</t>
  </si>
  <si>
    <t>ROUND1.50 - 1.99SI3G</t>
  </si>
  <si>
    <t>ROUND1.50 - 1.99I1G</t>
  </si>
  <si>
    <t>ROUND1.50 - 1.99I2G</t>
  </si>
  <si>
    <t>ROUND1.50 - 1.99I3G</t>
  </si>
  <si>
    <t>ROUND1.50 - 1.99IFH</t>
  </si>
  <si>
    <t>ROUND1.50 - 1.99VVS1H</t>
  </si>
  <si>
    <t>ROUND1.50 - 1.99VVS2H</t>
  </si>
  <si>
    <t>ROUND1.50 - 1.99VS1H</t>
  </si>
  <si>
    <t>ROUND1.50 - 1.99VS2H</t>
  </si>
  <si>
    <t>ROUND1.50 - 1.99SI1H</t>
  </si>
  <si>
    <t>ROUND1.50 - 1.99SI2H</t>
  </si>
  <si>
    <t>ROUND1.50 - 1.99SI3H</t>
  </si>
  <si>
    <t>ROUND1.50 - 1.99I1H</t>
  </si>
  <si>
    <t>ROUND1.50 - 1.99I2H</t>
  </si>
  <si>
    <t>ROUND1.50 - 1.99I3H</t>
  </si>
  <si>
    <t>ROUND1.50 - 1.99IFI</t>
  </si>
  <si>
    <t>ROUND1.50 - 1.99VVS1I</t>
  </si>
  <si>
    <t>ROUND1.50 - 1.99VVS2I</t>
  </si>
  <si>
    <t>ROUND1.50 - 1.99VS1I</t>
  </si>
  <si>
    <t>ROUND1.50 - 1.99VS2I</t>
  </si>
  <si>
    <t>ROUND1.50 - 1.99SI1I</t>
  </si>
  <si>
    <t>ROUND1.50 - 1.99SI2I</t>
  </si>
  <si>
    <t>ROUND1.50 - 1.99SI3I</t>
  </si>
  <si>
    <t>ROUND1.50 - 1.99I1I</t>
  </si>
  <si>
    <t>ROUND1.50 - 1.99I2I</t>
  </si>
  <si>
    <t>ROUND1.50 - 1.99I3I</t>
  </si>
  <si>
    <t>ROUND1.50 - 1.99IFJ</t>
  </si>
  <si>
    <t>ROUND1.50 - 1.99VVS1J</t>
  </si>
  <si>
    <t>ROUND1.50 - 1.99VVS2J</t>
  </si>
  <si>
    <t>ROUND1.50 - 1.99VS1J</t>
  </si>
  <si>
    <t>ROUND1.50 - 1.99VS2J</t>
  </si>
  <si>
    <t>ROUND1.50 - 1.99SI1J</t>
  </si>
  <si>
    <t>ROUND1.50 - 1.99SI2J</t>
  </si>
  <si>
    <t>ROUND1.50 - 1.99SI3J</t>
  </si>
  <si>
    <t>ROUND1.50 - 1.99I1J</t>
  </si>
  <si>
    <t>ROUND1.50 - 1.99I2J</t>
  </si>
  <si>
    <t>ROUND1.50 - 1.99I3J</t>
  </si>
  <si>
    <t>ROUND1.50 - 1.99IFK</t>
  </si>
  <si>
    <t>ROUND1.50 - 1.99VVS1K</t>
  </si>
  <si>
    <t>ROUND1.50 - 1.99VVS2K</t>
  </si>
  <si>
    <t>ROUND1.50 - 1.99VS1K</t>
  </si>
  <si>
    <t>ROUND1.50 - 1.99VS2K</t>
  </si>
  <si>
    <t>ROUND1.50 - 1.99SI1K</t>
  </si>
  <si>
    <t>ROUND1.50 - 1.99SI2K</t>
  </si>
  <si>
    <t>ROUND1.50 - 1.99SI3K</t>
  </si>
  <si>
    <t>ROUND1.50 - 1.99I1K</t>
  </si>
  <si>
    <t>ROUND1.50 - 1.99I2K</t>
  </si>
  <si>
    <t>ROUND1.50 - 1.99I3K</t>
  </si>
  <si>
    <t>ROUND1.50 - 1.99IFL</t>
  </si>
  <si>
    <t>ROUND1.50 - 1.99VVS1L</t>
  </si>
  <si>
    <t>ROUND1.50 - 1.99VVS2L</t>
  </si>
  <si>
    <t>ROUND1.50 - 1.99VS1L</t>
  </si>
  <si>
    <t>ROUND1.50 - 1.99VS2L</t>
  </si>
  <si>
    <t>ROUND1.50 - 1.99SI1L</t>
  </si>
  <si>
    <t>ROUND1.50 - 1.99SI2L</t>
  </si>
  <si>
    <t>ROUND1.50 - 1.99SI3L</t>
  </si>
  <si>
    <t>ROUND1.50 - 1.99I1L</t>
  </si>
  <si>
    <t>ROUND1.50 - 1.99I2L</t>
  </si>
  <si>
    <t>ROUND1.50 - 1.99I3L</t>
  </si>
  <si>
    <t>ROUND1.50 - 1.99IFM</t>
  </si>
  <si>
    <t>ROUND1.50 - 1.99VVS1M</t>
  </si>
  <si>
    <t>ROUND1.50 - 1.99VVS2M</t>
  </si>
  <si>
    <t>ROUND1.50 - 1.99VS1M</t>
  </si>
  <si>
    <t>ROUND1.50 - 1.99VS2M</t>
  </si>
  <si>
    <t>ROUND1.50 - 1.99SI1M</t>
  </si>
  <si>
    <t>ROUND1.50 - 1.99SI2M</t>
  </si>
  <si>
    <t>ROUND1.50 - 1.99SI3M</t>
  </si>
  <si>
    <t>ROUND1.50 - 1.99I1M</t>
  </si>
  <si>
    <t>ROUND1.50 - 1.99I2M</t>
  </si>
  <si>
    <t>ROUND1.50 - 1.99I3M</t>
  </si>
  <si>
    <t>ROUND2.00 - 2.99IFD</t>
  </si>
  <si>
    <t>ROUND2.00 - 2.99VVS1D</t>
  </si>
  <si>
    <t>ROUND2.00 - 2.99VVS2D</t>
  </si>
  <si>
    <t>ROUND2.00 - 2.99VS1D</t>
  </si>
  <si>
    <t>ROUND2.00 - 2.99VS2D</t>
  </si>
  <si>
    <t>ROUND2.00 - 2.99SI1D</t>
  </si>
  <si>
    <t>ROUND2.00 - 2.99SI2D</t>
  </si>
  <si>
    <t>ROUND2.00 - 2.99SI3D</t>
  </si>
  <si>
    <t>ROUND2.00 - 2.99I1D</t>
  </si>
  <si>
    <t>ROUND2.00 - 2.99I2D</t>
  </si>
  <si>
    <t>ROUND2.00 - 2.99I3D</t>
  </si>
  <si>
    <t>ROUND2.00 - 2.99IFE</t>
  </si>
  <si>
    <t>ROUND2.00 - 2.99VVS1E</t>
  </si>
  <si>
    <t>ROUND2.00 - 2.99VVS2E</t>
  </si>
  <si>
    <t>ROUND2.00 - 2.99VS1E</t>
  </si>
  <si>
    <t>ROUND2.00 - 2.99VS2E</t>
  </si>
  <si>
    <t>ROUND2.00 - 2.99SI1E</t>
  </si>
  <si>
    <t>ROUND2.00 - 2.99SI2E</t>
  </si>
  <si>
    <t>ROUND2.00 - 2.99SI3E</t>
  </si>
  <si>
    <t>ROUND2.00 - 2.99I1E</t>
  </si>
  <si>
    <t>ROUND2.00 - 2.99I2E</t>
  </si>
  <si>
    <t>ROUND2.00 - 2.99I3E</t>
  </si>
  <si>
    <t>ROUND2.00 - 2.99IFF</t>
  </si>
  <si>
    <t>ROUND2.00 - 2.99VVS1F</t>
  </si>
  <si>
    <t>ROUND2.00 - 2.99VVS2F</t>
  </si>
  <si>
    <t>ROUND2.00 - 2.99VS1F</t>
  </si>
  <si>
    <t>ROUND2.00 - 2.99VS2F</t>
  </si>
  <si>
    <t>ROUND2.00 - 2.99SI1F</t>
  </si>
  <si>
    <t>ROUND2.00 - 2.99SI2F</t>
  </si>
  <si>
    <t>ROUND2.00 - 2.99SI3F</t>
  </si>
  <si>
    <t>ROUND2.00 - 2.99I1F</t>
  </si>
  <si>
    <t>ROUND2.00 - 2.99I2F</t>
  </si>
  <si>
    <t>ROUND2.00 - 2.99I3F</t>
  </si>
  <si>
    <t>ROUND2.00 - 2.99IFG</t>
  </si>
  <si>
    <t>ROUND2.00 - 2.99VVS1G</t>
  </si>
  <si>
    <t>ROUND2.00 - 2.99VVS2G</t>
  </si>
  <si>
    <t>ROUND2.00 - 2.99VS1G</t>
  </si>
  <si>
    <t>ROUND2.00 - 2.99VS2G</t>
  </si>
  <si>
    <t>ROUND2.00 - 2.99SI1G</t>
  </si>
  <si>
    <t>ROUND2.00 - 2.99SI2G</t>
  </si>
  <si>
    <t>ROUND2.00 - 2.99SI3G</t>
  </si>
  <si>
    <t>ROUND2.00 - 2.99I1G</t>
  </si>
  <si>
    <t>ROUND2.00 - 2.99I2G</t>
  </si>
  <si>
    <t>ROUND2.00 - 2.99I3G</t>
  </si>
  <si>
    <t>ROUND2.00 - 2.99IFH</t>
  </si>
  <si>
    <t>ROUND2.00 - 2.99VVS1H</t>
  </si>
  <si>
    <t>ROUND2.00 - 2.99VVS2H</t>
  </si>
  <si>
    <t>ROUND2.00 - 2.99VS1H</t>
  </si>
  <si>
    <t>ROUND2.00 - 2.99VS2H</t>
  </si>
  <si>
    <t>ROUND2.00 - 2.99SI1H</t>
  </si>
  <si>
    <t>ROUND2.00 - 2.99SI2H</t>
  </si>
  <si>
    <t>ROUND2.00 - 2.99SI3H</t>
  </si>
  <si>
    <t>ROUND2.00 - 2.99I1H</t>
  </si>
  <si>
    <t>ROUND2.00 - 2.99I2H</t>
  </si>
  <si>
    <t>ROUND2.00 - 2.99I3H</t>
  </si>
  <si>
    <t>ROUND2.00 - 2.99IFI</t>
  </si>
  <si>
    <t>ROUND2.00 - 2.99VVS1I</t>
  </si>
  <si>
    <t>ROUND2.00 - 2.99VVS2I</t>
  </si>
  <si>
    <t>ROUND2.00 - 2.99VS1I</t>
  </si>
  <si>
    <t>ROUND2.00 - 2.99VS2I</t>
  </si>
  <si>
    <t>ROUND2.00 - 2.99SI1I</t>
  </si>
  <si>
    <t>ROUND2.00 - 2.99SI2I</t>
  </si>
  <si>
    <t>ROUND2.00 - 2.99SI3I</t>
  </si>
  <si>
    <t>ROUND2.00 - 2.99I1I</t>
  </si>
  <si>
    <t>ROUND2.00 - 2.99I2I</t>
  </si>
  <si>
    <t>ROUND2.00 - 2.99I3I</t>
  </si>
  <si>
    <t>ROUND2.00 - 2.99IFJ</t>
  </si>
  <si>
    <t>ROUND2.00 - 2.99VVS1J</t>
  </si>
  <si>
    <t>ROUND2.00 - 2.99VVS2J</t>
  </si>
  <si>
    <t>ROUND2.00 - 2.99VS1J</t>
  </si>
  <si>
    <t>ROUND2.00 - 2.99VS2J</t>
  </si>
  <si>
    <t>ROUND2.00 - 2.99SI1J</t>
  </si>
  <si>
    <t>ROUND2.00 - 2.99SI2J</t>
  </si>
  <si>
    <t>ROUND2.00 - 2.99SI3J</t>
  </si>
  <si>
    <t>ROUND2.00 - 2.99I1J</t>
  </si>
  <si>
    <t>ROUND2.00 - 2.99I2J</t>
  </si>
  <si>
    <t>ROUND2.00 - 2.99I3J</t>
  </si>
  <si>
    <t>ROUND2.00 - 2.99IFK</t>
  </si>
  <si>
    <t>ROUND2.00 - 2.99VVS1K</t>
  </si>
  <si>
    <t>ROUND2.00 - 2.99VVS2K</t>
  </si>
  <si>
    <t>ROUND2.00 - 2.99VS1K</t>
  </si>
  <si>
    <t>ROUND2.00 - 2.99VS2K</t>
  </si>
  <si>
    <t>ROUND2.00 - 2.99SI1K</t>
  </si>
  <si>
    <t>ROUND2.00 - 2.99SI2K</t>
  </si>
  <si>
    <t>ROUND2.00 - 2.99SI3K</t>
  </si>
  <si>
    <t>ROUND2.00 - 2.99I1K</t>
  </si>
  <si>
    <t>ROUND2.00 - 2.99I2K</t>
  </si>
  <si>
    <t>ROUND2.00 - 2.99I3K</t>
  </si>
  <si>
    <t>ROUND2.00 - 2.99IFL</t>
  </si>
  <si>
    <t>ROUND2.00 - 2.99VVS1L</t>
  </si>
  <si>
    <t>ROUND2.00 - 2.99VVS2L</t>
  </si>
  <si>
    <t>ROUND2.00 - 2.99VS1L</t>
  </si>
  <si>
    <t>ROUND2.00 - 2.99VS2L</t>
  </si>
  <si>
    <t>ROUND2.00 - 2.99SI1L</t>
  </si>
  <si>
    <t>ROUND2.00 - 2.99SI2L</t>
  </si>
  <si>
    <t>ROUND2.00 - 2.99SI3L</t>
  </si>
  <si>
    <t>ROUND2.00 - 2.99I1L</t>
  </si>
  <si>
    <t>ROUND2.00 - 2.99I2L</t>
  </si>
  <si>
    <t>ROUND2.00 - 2.99I3L</t>
  </si>
  <si>
    <t>ROUND2.00 - 2.99IFM</t>
  </si>
  <si>
    <t>ROUND2.00 - 2.99VVS1M</t>
  </si>
  <si>
    <t>ROUND2.00 - 2.99VVS2M</t>
  </si>
  <si>
    <t>ROUND2.00 - 2.99VS1M</t>
  </si>
  <si>
    <t>ROUND2.00 - 2.99VS2M</t>
  </si>
  <si>
    <t>ROUND2.00 - 2.99SI1M</t>
  </si>
  <si>
    <t>ROUND2.00 - 2.99SI2M</t>
  </si>
  <si>
    <t>ROUND2.00 - 2.99SI3M</t>
  </si>
  <si>
    <t>ROUND2.00 - 2.99I1M</t>
  </si>
  <si>
    <t>ROUND2.00 - 2.99I2M</t>
  </si>
  <si>
    <t>ROUND2.00 - 2.99I3M</t>
  </si>
  <si>
    <t>ROUND3.00 - 3.99IFD</t>
  </si>
  <si>
    <t>ROUND3.00 - 3.99VVS1D</t>
  </si>
  <si>
    <t>ROUND3.00 - 3.99VVS2D</t>
  </si>
  <si>
    <t>ROUND3.00 - 3.99VS1D</t>
  </si>
  <si>
    <t>ROUND3.00 - 3.99VS2D</t>
  </si>
  <si>
    <t>ROUND3.00 - 3.99SI1D</t>
  </si>
  <si>
    <t>ROUND3.00 - 3.99SI2D</t>
  </si>
  <si>
    <t>ROUND3.00 - 3.99SI3D</t>
  </si>
  <si>
    <t>ROUND3.00 - 3.99I1D</t>
  </si>
  <si>
    <t>ROUND3.00 - 3.99I2D</t>
  </si>
  <si>
    <t>ROUND3.00 - 3.99I3D</t>
  </si>
  <si>
    <t>ROUND3.00 - 3.99IFE</t>
  </si>
  <si>
    <t>ROUND3.00 - 3.99VVS1E</t>
  </si>
  <si>
    <t>ROUND3.00 - 3.99VVS2E</t>
  </si>
  <si>
    <t>ROUND3.00 - 3.99VS1E</t>
  </si>
  <si>
    <t>ROUND3.00 - 3.99VS2E</t>
  </si>
  <si>
    <t>ROUND3.00 - 3.99SI1E</t>
  </si>
  <si>
    <t>ROUND3.00 - 3.99SI2E</t>
  </si>
  <si>
    <t>ROUND3.00 - 3.99SI3E</t>
  </si>
  <si>
    <t>ROUND3.00 - 3.99I1E</t>
  </si>
  <si>
    <t>ROUND3.00 - 3.99I2E</t>
  </si>
  <si>
    <t>ROUND3.00 - 3.99I3E</t>
  </si>
  <si>
    <t>ROUND3.00 - 3.99IFF</t>
  </si>
  <si>
    <t>ROUND3.00 - 3.99VVS1F</t>
  </si>
  <si>
    <t>ROUND3.00 - 3.99VVS2F</t>
  </si>
  <si>
    <t>ROUND3.00 - 3.99VS1F</t>
  </si>
  <si>
    <t>ROUND3.00 - 3.99VS2F</t>
  </si>
  <si>
    <t>ROUND3.00 - 3.99SI1F</t>
  </si>
  <si>
    <t>ROUND3.00 - 3.99SI2F</t>
  </si>
  <si>
    <t>ROUND3.00 - 3.99SI3F</t>
  </si>
  <si>
    <t>ROUND3.00 - 3.99I1F</t>
  </si>
  <si>
    <t>ROUND3.00 - 3.99I2F</t>
  </si>
  <si>
    <t>ROUND3.00 - 3.99I3F</t>
  </si>
  <si>
    <t>ROUND3.00 - 3.99IFG</t>
  </si>
  <si>
    <t>ROUND3.00 - 3.99VVS1G</t>
  </si>
  <si>
    <t>ROUND3.00 - 3.99VVS2G</t>
  </si>
  <si>
    <t>ROUND3.00 - 3.99VS1G</t>
  </si>
  <si>
    <t>ROUND3.00 - 3.99VS2G</t>
  </si>
  <si>
    <t>ROUND3.00 - 3.99SI1G</t>
  </si>
  <si>
    <t>ROUND3.00 - 3.99SI2G</t>
  </si>
  <si>
    <t>ROUND3.00 - 3.99SI3G</t>
  </si>
  <si>
    <t>ROUND3.00 - 3.99I1G</t>
  </si>
  <si>
    <t>ROUND3.00 - 3.99I2G</t>
  </si>
  <si>
    <t>ROUND3.00 - 3.99I3G</t>
  </si>
  <si>
    <t>ROUND3.00 - 3.99IFH</t>
  </si>
  <si>
    <t>ROUND3.00 - 3.99VVS1H</t>
  </si>
  <si>
    <t>ROUND3.00 - 3.99VVS2H</t>
  </si>
  <si>
    <t>ROUND3.00 - 3.99VS1H</t>
  </si>
  <si>
    <t>ROUND3.00 - 3.99VS2H</t>
  </si>
  <si>
    <t>ROUND3.00 - 3.99SI1H</t>
  </si>
  <si>
    <t>ROUND3.00 - 3.99SI2H</t>
  </si>
  <si>
    <t>ROUND3.00 - 3.99SI3H</t>
  </si>
  <si>
    <t>ROUND3.00 - 3.99I1H</t>
  </si>
  <si>
    <t>ROUND3.00 - 3.99I2H</t>
  </si>
  <si>
    <t>ROUND3.00 - 3.99I3H</t>
  </si>
  <si>
    <t>ROUND3.00 - 3.99IFI</t>
  </si>
  <si>
    <t>ROUND3.00 - 3.99VVS1I</t>
  </si>
  <si>
    <t>ROUND3.00 - 3.99VVS2I</t>
  </si>
  <si>
    <t>ROUND3.00 - 3.99VS1I</t>
  </si>
  <si>
    <t>ROUND3.00 - 3.99VS2I</t>
  </si>
  <si>
    <t>ROUND3.00 - 3.99SI1I</t>
  </si>
  <si>
    <t>ROUND3.00 - 3.99SI2I</t>
  </si>
  <si>
    <t>ROUND3.00 - 3.99SI3I</t>
  </si>
  <si>
    <t>ROUND3.00 - 3.99I1I</t>
  </si>
  <si>
    <t>ROUND3.00 - 3.99I2I</t>
  </si>
  <si>
    <t>ROUND3.00 - 3.99I3I</t>
  </si>
  <si>
    <t>ROUND3.00 - 3.99IFJ</t>
  </si>
  <si>
    <t>ROUND3.00 - 3.99VVS1J</t>
  </si>
  <si>
    <t>ROUND3.00 - 3.99VVS2J</t>
  </si>
  <si>
    <t>ROUND3.00 - 3.99VS1J</t>
  </si>
  <si>
    <t>ROUND3.00 - 3.99VS2J</t>
  </si>
  <si>
    <t>ROUND3.00 - 3.99SI1J</t>
  </si>
  <si>
    <t>ROUND3.00 - 3.99SI2J</t>
  </si>
  <si>
    <t>ROUND3.00 - 3.99SI3J</t>
  </si>
  <si>
    <t>ROUND3.00 - 3.99I1J</t>
  </si>
  <si>
    <t>ROUND3.00 - 3.99I2J</t>
  </si>
  <si>
    <t>ROUND3.00 - 3.99I3J</t>
  </si>
  <si>
    <t>ROUND3.00 - 3.99IFK</t>
  </si>
  <si>
    <t>ROUND3.00 - 3.99VVS1K</t>
  </si>
  <si>
    <t>ROUND3.00 - 3.99VVS2K</t>
  </si>
  <si>
    <t>ROUND3.00 - 3.99VS1K</t>
  </si>
  <si>
    <t>ROUND3.00 - 3.99VS2K</t>
  </si>
  <si>
    <t>ROUND3.00 - 3.99SI1K</t>
  </si>
  <si>
    <t>ROUND3.00 - 3.99SI2K</t>
  </si>
  <si>
    <t>ROUND3.00 - 3.99SI3K</t>
  </si>
  <si>
    <t>ROUND3.00 - 3.99I1K</t>
  </si>
  <si>
    <t>ROUND3.00 - 3.99I2K</t>
  </si>
  <si>
    <t>ROUND3.00 - 3.99I3K</t>
  </si>
  <si>
    <t>ROUND3.00 - 3.99IFL</t>
  </si>
  <si>
    <t>ROUND3.00 - 3.99VVS1L</t>
  </si>
  <si>
    <t>ROUND3.00 - 3.99VVS2L</t>
  </si>
  <si>
    <t>ROUND3.00 - 3.99VS1L</t>
  </si>
  <si>
    <t>ROUND3.00 - 3.99VS2L</t>
  </si>
  <si>
    <t>ROUND3.00 - 3.99SI1L</t>
  </si>
  <si>
    <t>ROUND3.00 - 3.99SI2L</t>
  </si>
  <si>
    <t>ROUND3.00 - 3.99SI3L</t>
  </si>
  <si>
    <t>ROUND3.00 - 3.99I1L</t>
  </si>
  <si>
    <t>ROUND3.00 - 3.99I2L</t>
  </si>
  <si>
    <t>ROUND3.00 - 3.99I3L</t>
  </si>
  <si>
    <t>ROUND3.00 - 3.99IFM</t>
  </si>
  <si>
    <t>ROUND3.00 - 3.99VVS1M</t>
  </si>
  <si>
    <t>ROUND3.00 - 3.99VVS2M</t>
  </si>
  <si>
    <t>ROUND3.00 - 3.99VS1M</t>
  </si>
  <si>
    <t>ROUND3.00 - 3.99VS2M</t>
  </si>
  <si>
    <t>ROUND3.00 - 3.99SI1M</t>
  </si>
  <si>
    <t>ROUND3.00 - 3.99SI2M</t>
  </si>
  <si>
    <t>ROUND3.00 - 3.99SI3M</t>
  </si>
  <si>
    <t>ROUND3.00 - 3.99I1M</t>
  </si>
  <si>
    <t>ROUND3.00 - 3.99I2M</t>
  </si>
  <si>
    <t>ROUND3.00 - 3.99I3M</t>
  </si>
  <si>
    <t>ROUND4.00 - 4.99IFD</t>
  </si>
  <si>
    <t>ROUND4.00 - 4.99VVS1D</t>
  </si>
  <si>
    <t>ROUND4.00 - 4.99VVS2D</t>
  </si>
  <si>
    <t>ROUND4.00 - 4.99VS1D</t>
  </si>
  <si>
    <t>ROUND4.00 - 4.99VS2D</t>
  </si>
  <si>
    <t>ROUND4.00 - 4.99SI1D</t>
  </si>
  <si>
    <t>ROUND4.00 - 4.99SI2D</t>
  </si>
  <si>
    <t>ROUND4.00 - 4.99SI3D</t>
  </si>
  <si>
    <t>ROUND4.00 - 4.99I1D</t>
  </si>
  <si>
    <t>ROUND4.00 - 4.99I2D</t>
  </si>
  <si>
    <t>ROUND4.00 - 4.99I3D</t>
  </si>
  <si>
    <t>ROUND4.00 - 4.99IFE</t>
  </si>
  <si>
    <t>ROUND4.00 - 4.99VVS1E</t>
  </si>
  <si>
    <t>ROUND4.00 - 4.99VVS2E</t>
  </si>
  <si>
    <t>ROUND4.00 - 4.99VS1E</t>
  </si>
  <si>
    <t>ROUND4.00 - 4.99VS2E</t>
  </si>
  <si>
    <t>ROUND4.00 - 4.99SI1E</t>
  </si>
  <si>
    <t>ROUND4.00 - 4.99SI2E</t>
  </si>
  <si>
    <t>ROUND4.00 - 4.99SI3E</t>
  </si>
  <si>
    <t>ROUND4.00 - 4.99I1E</t>
  </si>
  <si>
    <t>ROUND4.00 - 4.99I2E</t>
  </si>
  <si>
    <t>ROUND4.00 - 4.99I3E</t>
  </si>
  <si>
    <t>ROUND4.00 - 4.99IFF</t>
  </si>
  <si>
    <t>ROUND4.00 - 4.99VVS1F</t>
  </si>
  <si>
    <t>ROUND4.00 - 4.99VVS2F</t>
  </si>
  <si>
    <t>ROUND4.00 - 4.99VS1F</t>
  </si>
  <si>
    <t>ROUND4.00 - 4.99VS2F</t>
  </si>
  <si>
    <t>ROUND4.00 - 4.99SI1F</t>
  </si>
  <si>
    <t>ROUND4.00 - 4.99SI2F</t>
  </si>
  <si>
    <t>ROUND4.00 - 4.99SI3F</t>
  </si>
  <si>
    <t>ROUND4.00 - 4.99I1F</t>
  </si>
  <si>
    <t>ROUND4.00 - 4.99I2F</t>
  </si>
  <si>
    <t>ROUND4.00 - 4.99I3F</t>
  </si>
  <si>
    <t>ROUND4.00 - 4.99IFG</t>
  </si>
  <si>
    <t>ROUND4.00 - 4.99VVS1G</t>
  </si>
  <si>
    <t>ROUND4.00 - 4.99VVS2G</t>
  </si>
  <si>
    <t>ROUND4.00 - 4.99VS1G</t>
  </si>
  <si>
    <t>ROUND4.00 - 4.99VS2G</t>
  </si>
  <si>
    <t>ROUND4.00 - 4.99SI1G</t>
  </si>
  <si>
    <t>ROUND4.00 - 4.99SI2G</t>
  </si>
  <si>
    <t>ROUND4.00 - 4.99SI3G</t>
  </si>
  <si>
    <t>ROUND4.00 - 4.99I1G</t>
  </si>
  <si>
    <t>ROUND4.00 - 4.99I2G</t>
  </si>
  <si>
    <t>ROUND4.00 - 4.99I3G</t>
  </si>
  <si>
    <t>ROUND4.00 - 4.99IFH</t>
  </si>
  <si>
    <t>ROUND4.00 - 4.99VVS1H</t>
  </si>
  <si>
    <t>ROUND4.00 - 4.99VVS2H</t>
  </si>
  <si>
    <t>ROUND4.00 - 4.99VS1H</t>
  </si>
  <si>
    <t>ROUND4.00 - 4.99VS2H</t>
  </si>
  <si>
    <t>ROUND4.00 - 4.99SI1H</t>
  </si>
  <si>
    <t>ROUND4.00 - 4.99SI2H</t>
  </si>
  <si>
    <t>ROUND4.00 - 4.99SI3H</t>
  </si>
  <si>
    <t>ROUND4.00 - 4.99I1H</t>
  </si>
  <si>
    <t>ROUND4.00 - 4.99I2H</t>
  </si>
  <si>
    <t>ROUND4.00 - 4.99I3H</t>
  </si>
  <si>
    <t>ROUND4.00 - 4.99IFI</t>
  </si>
  <si>
    <t>ROUND4.00 - 4.99VVS1I</t>
  </si>
  <si>
    <t>ROUND4.00 - 4.99VVS2I</t>
  </si>
  <si>
    <t>ROUND4.00 - 4.99VS1I</t>
  </si>
  <si>
    <t>ROUND4.00 - 4.99VS2I</t>
  </si>
  <si>
    <t>ROUND4.00 - 4.99SI1I</t>
  </si>
  <si>
    <t>ROUND4.00 - 4.99SI2I</t>
  </si>
  <si>
    <t>ROUND4.00 - 4.99SI3I</t>
  </si>
  <si>
    <t>ROUND4.00 - 4.99I1I</t>
  </si>
  <si>
    <t>ROUND4.00 - 4.99I2I</t>
  </si>
  <si>
    <t>ROUND4.00 - 4.99I3I</t>
  </si>
  <si>
    <t>ROUND4.00 - 4.99IFJ</t>
  </si>
  <si>
    <t>ROUND4.00 - 4.99VVS1J</t>
  </si>
  <si>
    <t>ROUND4.00 - 4.99VVS2J</t>
  </si>
  <si>
    <t>ROUND4.00 - 4.99VS1J</t>
  </si>
  <si>
    <t>ROUND4.00 - 4.99VS2J</t>
  </si>
  <si>
    <t>ROUND4.00 - 4.99SI1J</t>
  </si>
  <si>
    <t>ROUND4.00 - 4.99SI2J</t>
  </si>
  <si>
    <t>ROUND4.00 - 4.99SI3J</t>
  </si>
  <si>
    <t>ROUND4.00 - 4.99I1J</t>
  </si>
  <si>
    <t>ROUND4.00 - 4.99I2J</t>
  </si>
  <si>
    <t>ROUND4.00 - 4.99I3J</t>
  </si>
  <si>
    <t>ROUND4.00 - 4.99IFK</t>
  </si>
  <si>
    <t>ROUND4.00 - 4.99VVS1K</t>
  </si>
  <si>
    <t>ROUND4.00 - 4.99VVS2K</t>
  </si>
  <si>
    <t>ROUND4.00 - 4.99VS1K</t>
  </si>
  <si>
    <t>ROUND4.00 - 4.99VS2K</t>
  </si>
  <si>
    <t>ROUND4.00 - 4.99SI1K</t>
  </si>
  <si>
    <t>ROUND4.00 - 4.99SI2K</t>
  </si>
  <si>
    <t>ROUND4.00 - 4.99SI3K</t>
  </si>
  <si>
    <t>ROUND4.00 - 4.99I1K</t>
  </si>
  <si>
    <t>ROUND4.00 - 4.99I2K</t>
  </si>
  <si>
    <t>ROUND4.00 - 4.99I3K</t>
  </si>
  <si>
    <t>ROUND4.00 - 4.99IFL</t>
  </si>
  <si>
    <t>ROUND4.00 - 4.99VVS1L</t>
  </si>
  <si>
    <t>ROUND4.00 - 4.99VVS2L</t>
  </si>
  <si>
    <t>ROUND4.00 - 4.99VS1L</t>
  </si>
  <si>
    <t>ROUND4.00 - 4.99VS2L</t>
  </si>
  <si>
    <t>ROUND4.00 - 4.99SI1L</t>
  </si>
  <si>
    <t>ROUND4.00 - 4.99SI2L</t>
  </si>
  <si>
    <t>ROUND4.00 - 4.99SI3L</t>
  </si>
  <si>
    <t>ROUND4.00 - 4.99I1L</t>
  </si>
  <si>
    <t>ROUND4.00 - 4.99I2L</t>
  </si>
  <si>
    <t>ROUND4.00 - 4.99I3L</t>
  </si>
  <si>
    <t>ROUND4.00 - 4.99IFM</t>
  </si>
  <si>
    <t>ROUND4.00 - 4.99VVS1M</t>
  </si>
  <si>
    <t>ROUND4.00 - 4.99VVS2M</t>
  </si>
  <si>
    <t>ROUND4.00 - 4.99VS1M</t>
  </si>
  <si>
    <t>ROUND4.00 - 4.99VS2M</t>
  </si>
  <si>
    <t>ROUND4.00 - 4.99SI1M</t>
  </si>
  <si>
    <t>ROUND4.00 - 4.99SI2M</t>
  </si>
  <si>
    <t>ROUND4.00 - 4.99SI3M</t>
  </si>
  <si>
    <t>ROUND4.00 - 4.99I1M</t>
  </si>
  <si>
    <t>ROUND4.00 - 4.99I2M</t>
  </si>
  <si>
    <t>ROUND4.00 - 4.99I3M</t>
  </si>
  <si>
    <t>ROUND5.00 - 9.99IFD</t>
  </si>
  <si>
    <t>ROUND5.00 - 9.99VVS1D</t>
  </si>
  <si>
    <t>ROUND5.00 - 9.99VVS2D</t>
  </si>
  <si>
    <t>ROUND5.00 - 9.99VS1D</t>
  </si>
  <si>
    <t>ROUND5.00 - 9.99VS2D</t>
  </si>
  <si>
    <t>ROUND5.00 - 9.99SI1D</t>
  </si>
  <si>
    <t>ROUND5.00 - 9.99SI2D</t>
  </si>
  <si>
    <t>ROUND5.00 - 9.99SI3D</t>
  </si>
  <si>
    <t>ROUND5.00 - 9.99I1D</t>
  </si>
  <si>
    <t>ROUND5.00 - 9.99I2D</t>
  </si>
  <si>
    <t>ROUND5.00 - 9.99I3D</t>
  </si>
  <si>
    <t>ROUND5.00 - 9.99IFE</t>
  </si>
  <si>
    <t>ROUND5.00 - 9.99VVS1E</t>
  </si>
  <si>
    <t>ROUND5.00 - 9.99VVS2E</t>
  </si>
  <si>
    <t>ROUND5.00 - 9.99VS1E</t>
  </si>
  <si>
    <t>ROUND5.00 - 9.99VS2E</t>
  </si>
  <si>
    <t>ROUND5.00 - 9.99SI1E</t>
  </si>
  <si>
    <t>ROUND5.00 - 9.99SI2E</t>
  </si>
  <si>
    <t>ROUND5.00 - 9.99SI3E</t>
  </si>
  <si>
    <t>ROUND5.00 - 9.99I1E</t>
  </si>
  <si>
    <t>ROUND5.00 - 9.99I2E</t>
  </si>
  <si>
    <t>ROUND5.00 - 9.99I3E</t>
  </si>
  <si>
    <t>ROUND5.00 - 9.99IFF</t>
  </si>
  <si>
    <t>ROUND5.00 - 9.99VVS1F</t>
  </si>
  <si>
    <t>ROUND5.00 - 9.99VVS2F</t>
  </si>
  <si>
    <t>ROUND5.00 - 9.99VS1F</t>
  </si>
  <si>
    <t>ROUND5.00 - 9.99VS2F</t>
  </si>
  <si>
    <t>ROUND5.00 - 9.99SI1F</t>
  </si>
  <si>
    <t>ROUND5.00 - 9.99SI2F</t>
  </si>
  <si>
    <t>ROUND5.00 - 9.99SI3F</t>
  </si>
  <si>
    <t>ROUND5.00 - 9.99I1F</t>
  </si>
  <si>
    <t>ROUND5.00 - 9.99I2F</t>
  </si>
  <si>
    <t>ROUND5.00 - 9.99I3F</t>
  </si>
  <si>
    <t>ROUND5.00 - 9.99IFG</t>
  </si>
  <si>
    <t>ROUND5.00 - 9.99VVS1G</t>
  </si>
  <si>
    <t>ROUND5.00 - 9.99VVS2G</t>
  </si>
  <si>
    <t>ROUND5.00 - 9.99VS1G</t>
  </si>
  <si>
    <t>ROUND5.00 - 9.99VS2G</t>
  </si>
  <si>
    <t>ROUND5.00 - 9.99SI1G</t>
  </si>
  <si>
    <t>ROUND5.00 - 9.99SI2G</t>
  </si>
  <si>
    <t>ROUND5.00 - 9.99SI3G</t>
  </si>
  <si>
    <t>ROUND5.00 - 9.99I1G</t>
  </si>
  <si>
    <t>ROUND5.00 - 9.99I2G</t>
  </si>
  <si>
    <t>ROUND5.00 - 9.99I3G</t>
  </si>
  <si>
    <t>ROUND5.00 - 9.99IFH</t>
  </si>
  <si>
    <t>ROUND5.00 - 9.99VVS1H</t>
  </si>
  <si>
    <t>ROUND5.00 - 9.99VVS2H</t>
  </si>
  <si>
    <t>ROUND5.00 - 9.99VS1H</t>
  </si>
  <si>
    <t>ROUND5.00 - 9.99VS2H</t>
  </si>
  <si>
    <t>ROUND5.00 - 9.99SI1H</t>
  </si>
  <si>
    <t>ROUND5.00 - 9.99SI2H</t>
  </si>
  <si>
    <t>ROUND5.00 - 9.99SI3H</t>
  </si>
  <si>
    <t>ROUND5.00 - 9.99I1H</t>
  </si>
  <si>
    <t>ROUND5.00 - 9.99I2H</t>
  </si>
  <si>
    <t>ROUND5.00 - 9.99I3H</t>
  </si>
  <si>
    <t>ROUND5.00 - 9.99IFI</t>
  </si>
  <si>
    <t>ROUND5.00 - 9.99VVS1I</t>
  </si>
  <si>
    <t>ROUND5.00 - 9.99VVS2I</t>
  </si>
  <si>
    <t>ROUND5.00 - 9.99VS1I</t>
  </si>
  <si>
    <t>ROUND5.00 - 9.99VS2I</t>
  </si>
  <si>
    <t>ROUND5.00 - 9.99SI1I</t>
  </si>
  <si>
    <t>ROUND5.00 - 9.99SI2I</t>
  </si>
  <si>
    <t>ROUND5.00 - 9.99SI3I</t>
  </si>
  <si>
    <t>ROUND5.00 - 9.99I1I</t>
  </si>
  <si>
    <t>ROUND5.00 - 9.99I2I</t>
  </si>
  <si>
    <t>ROUND5.00 - 9.99I3I</t>
  </si>
  <si>
    <t>ROUND5.00 - 9.99IFJ</t>
  </si>
  <si>
    <t>ROUND5.00 - 9.99VVS1J</t>
  </si>
  <si>
    <t>ROUND5.00 - 9.99VVS2J</t>
  </si>
  <si>
    <t>ROUND5.00 - 9.99VS1J</t>
  </si>
  <si>
    <t>ROUND5.00 - 9.99VS2J</t>
  </si>
  <si>
    <t>ROUND5.00 - 9.99SI1J</t>
  </si>
  <si>
    <t>ROUND5.00 - 9.99SI2J</t>
  </si>
  <si>
    <t>ROUND5.00 - 9.99SI3J</t>
  </si>
  <si>
    <t>ROUND5.00 - 9.99I1J</t>
  </si>
  <si>
    <t>ROUND5.00 - 9.99I2J</t>
  </si>
  <si>
    <t>ROUND5.00 - 9.99I3J</t>
  </si>
  <si>
    <t>ROUND5.00 - 9.99IFK</t>
  </si>
  <si>
    <t>ROUND5.00 - 9.99VVS1K</t>
  </si>
  <si>
    <t>ROUND5.00 - 9.99VVS2K</t>
  </si>
  <si>
    <t>ROUND5.00 - 9.99VS1K</t>
  </si>
  <si>
    <t>ROUND5.00 - 9.99VS2K</t>
  </si>
  <si>
    <t>ROUND5.00 - 9.99SI1K</t>
  </si>
  <si>
    <t>ROUND5.00 - 9.99SI2K</t>
  </si>
  <si>
    <t>ROUND5.00 - 9.99SI3K</t>
  </si>
  <si>
    <t>ROUND5.00 - 9.99I1K</t>
  </si>
  <si>
    <t>ROUND5.00 - 9.99I2K</t>
  </si>
  <si>
    <t>ROUND5.00 - 9.99I3K</t>
  </si>
  <si>
    <t>ROUND5.00 - 9.99IFL</t>
  </si>
  <si>
    <t>ROUND5.00 - 9.99VVS1L</t>
  </si>
  <si>
    <t>ROUND5.00 - 9.99VVS2L</t>
  </si>
  <si>
    <t>ROUND5.00 - 9.99VS1L</t>
  </si>
  <si>
    <t>ROUND5.00 - 9.99VS2L</t>
  </si>
  <si>
    <t>ROUND5.00 - 9.99SI1L</t>
  </si>
  <si>
    <t>ROUND5.00 - 9.99SI2L</t>
  </si>
  <si>
    <t>ROUND5.00 - 9.99SI3L</t>
  </si>
  <si>
    <t>ROUND5.00 - 9.99I1L</t>
  </si>
  <si>
    <t>ROUND5.00 - 9.99I2L</t>
  </si>
  <si>
    <t>ROUND5.00 - 9.99I3L</t>
  </si>
  <si>
    <t>ROUND5.00 - 9.99IFM</t>
  </si>
  <si>
    <t>ROUND5.00 - 9.99VVS1M</t>
  </si>
  <si>
    <t>ROUND5.00 - 9.99VVS2M</t>
  </si>
  <si>
    <t>ROUND5.00 - 9.99VS1M</t>
  </si>
  <si>
    <t>ROUND5.00 - 9.99VS2M</t>
  </si>
  <si>
    <t>ROUND5.00 - 9.99SI1M</t>
  </si>
  <si>
    <t>ROUND5.00 - 9.99SI2M</t>
  </si>
  <si>
    <t>ROUND5.00 - 9.99SI3M</t>
  </si>
  <si>
    <t>ROUND5.00 - 9.99I1M</t>
  </si>
  <si>
    <t>ROUND5.00 - 9.99I2M</t>
  </si>
  <si>
    <t>ROUND5.00 - 9.99I3M</t>
  </si>
  <si>
    <t>ROUND10.00 - 14.99IFD</t>
  </si>
  <si>
    <t>ROUND10.00 - 14.99VVS1D</t>
  </si>
  <si>
    <t>ROUND10.00 - 14.99VVS2D</t>
  </si>
  <si>
    <t>ROUND10.00 - 14.99VS1D</t>
  </si>
  <si>
    <t>ROUND10.00 - 14.99VS2D</t>
  </si>
  <si>
    <t>ROUND10.00 - 14.99SI1D</t>
  </si>
  <si>
    <t>ROUND10.00 - 14.99SI2D</t>
  </si>
  <si>
    <t>ROUND10.00 - 14.99SI3D</t>
  </si>
  <si>
    <t>ROUND10.00 - 14.99I1D</t>
  </si>
  <si>
    <t>ROUND10.00 - 14.99I2D</t>
  </si>
  <si>
    <t>ROUND10.00 - 14.99I3D</t>
  </si>
  <si>
    <t>ROUND10.00 - 14.99IFE</t>
  </si>
  <si>
    <t>ROUND10.00 - 14.99VVS1E</t>
  </si>
  <si>
    <t>ROUND10.00 - 14.99VVS2E</t>
  </si>
  <si>
    <t>ROUND10.00 - 14.99VS1E</t>
  </si>
  <si>
    <t>ROUND10.00 - 14.99VS2E</t>
  </si>
  <si>
    <t>ROUND10.00 - 14.99SI1E</t>
  </si>
  <si>
    <t>ROUND10.00 - 14.99SI2E</t>
  </si>
  <si>
    <t>ROUND10.00 - 14.99SI3E</t>
  </si>
  <si>
    <t>ROUND10.00 - 14.99I1E</t>
  </si>
  <si>
    <t>ROUND10.00 - 14.99I2E</t>
  </si>
  <si>
    <t>ROUND10.00 - 14.99I3E</t>
  </si>
  <si>
    <t>ROUND10.00 - 14.99IFF</t>
  </si>
  <si>
    <t>ROUND10.00 - 14.99VVS1F</t>
  </si>
  <si>
    <t>ROUND10.00 - 14.99VVS2F</t>
  </si>
  <si>
    <t>ROUND10.00 - 14.99VS1F</t>
  </si>
  <si>
    <t>ROUND10.00 - 14.99VS2F</t>
  </si>
  <si>
    <t>ROUND10.00 - 14.99SI1F</t>
  </si>
  <si>
    <t>ROUND10.00 - 14.99SI2F</t>
  </si>
  <si>
    <t>ROUND10.00 - 14.99SI3F</t>
  </si>
  <si>
    <t>ROUND10.00 - 14.99I1F</t>
  </si>
  <si>
    <t>ROUND10.00 - 14.99I2F</t>
  </si>
  <si>
    <t>ROUND10.00 - 14.99I3F</t>
  </si>
  <si>
    <t>ROUND10.00 - 14.99IFG</t>
  </si>
  <si>
    <t>ROUND10.00 - 14.99VVS1G</t>
  </si>
  <si>
    <t>ROUND10.00 - 14.99VVS2G</t>
  </si>
  <si>
    <t>ROUND10.00 - 14.99VS1G</t>
  </si>
  <si>
    <t>ROUND10.00 - 14.99VS2G</t>
  </si>
  <si>
    <t>ROUND10.00 - 14.99SI1G</t>
  </si>
  <si>
    <t>ROUND10.00 - 14.99SI2G</t>
  </si>
  <si>
    <t>ROUND10.00 - 14.99SI3G</t>
  </si>
  <si>
    <t>ROUND10.00 - 14.99I1G</t>
  </si>
  <si>
    <t>ROUND10.00 - 14.99I2G</t>
  </si>
  <si>
    <t>ROUND10.00 - 14.99I3G</t>
  </si>
  <si>
    <t>ROUND10.00 - 14.99IFH</t>
  </si>
  <si>
    <t>ROUND10.00 - 14.99VVS1H</t>
  </si>
  <si>
    <t>ROUND10.00 - 14.99VVS2H</t>
  </si>
  <si>
    <t>ROUND10.00 - 14.99VS1H</t>
  </si>
  <si>
    <t>ROUND10.00 - 14.99VS2H</t>
  </si>
  <si>
    <t>ROUND10.00 - 14.99SI1H</t>
  </si>
  <si>
    <t>ROUND10.00 - 14.99SI2H</t>
  </si>
  <si>
    <t>ROUND10.00 - 14.99SI3H</t>
  </si>
  <si>
    <t>ROUND10.00 - 14.99I1H</t>
  </si>
  <si>
    <t>ROUND10.00 - 14.99I2H</t>
  </si>
  <si>
    <t>ROUND10.00 - 14.99I3H</t>
  </si>
  <si>
    <t>ROUND10.00 - 14.99IFI</t>
  </si>
  <si>
    <t>ROUND10.00 - 14.99VVS1I</t>
  </si>
  <si>
    <t>ROUND10.00 - 14.99VVS2I</t>
  </si>
  <si>
    <t>ROUND10.00 - 14.99VS1I</t>
  </si>
  <si>
    <t>ROUND10.00 - 14.99VS2I</t>
  </si>
  <si>
    <t>ROUND10.00 - 14.99SI1I</t>
  </si>
  <si>
    <t>ROUND10.00 - 14.99SI2I</t>
  </si>
  <si>
    <t>ROUND10.00 - 14.99SI3I</t>
  </si>
  <si>
    <t>ROUND10.00 - 14.99I1I</t>
  </si>
  <si>
    <t>ROUND10.00 - 14.99I2I</t>
  </si>
  <si>
    <t>ROUND10.00 - 14.99I3I</t>
  </si>
  <si>
    <t>ROUND10.00 - 14.99IFJ</t>
  </si>
  <si>
    <t>ROUND10.00 - 14.99VVS1J</t>
  </si>
  <si>
    <t>ROUND10.00 - 14.99VVS2J</t>
  </si>
  <si>
    <t>ROUND10.00 - 14.99VS1J</t>
  </si>
  <si>
    <t>ROUND10.00 - 14.99VS2J</t>
  </si>
  <si>
    <t>ROUND10.00 - 14.99SI1J</t>
  </si>
  <si>
    <t>ROUND10.00 - 14.99SI2J</t>
  </si>
  <si>
    <t>ROUND10.00 - 14.99SI3J</t>
  </si>
  <si>
    <t>ROUND10.00 - 14.99I1J</t>
  </si>
  <si>
    <t>ROUND10.00 - 14.99I2J</t>
  </si>
  <si>
    <t>ROUND10.00 - 14.99I3J</t>
  </si>
  <si>
    <t>ROUND10.00 - 14.99IFK</t>
  </si>
  <si>
    <t>ROUND10.00 - 14.99VVS1K</t>
  </si>
  <si>
    <t>ROUND10.00 - 14.99VVS2K</t>
  </si>
  <si>
    <t>ROUND10.00 - 14.99VS1K</t>
  </si>
  <si>
    <t>ROUND10.00 - 14.99VS2K</t>
  </si>
  <si>
    <t>ROUND10.00 - 14.99SI1K</t>
  </si>
  <si>
    <t>ROUND10.00 - 14.99SI2K</t>
  </si>
  <si>
    <t>ROUND10.00 - 14.99SI3K</t>
  </si>
  <si>
    <t>ROUND10.00 - 14.99I1K</t>
  </si>
  <si>
    <t>ROUND10.00 - 14.99I2K</t>
  </si>
  <si>
    <t>ROUND10.00 - 14.99I3K</t>
  </si>
  <si>
    <t>ROUND10.00 - 14.99IFL</t>
  </si>
  <si>
    <t>ROUND10.00 - 14.99VVS1L</t>
  </si>
  <si>
    <t>ROUND10.00 - 14.99VVS2L</t>
  </si>
  <si>
    <t>ROUND10.00 - 14.99VS1L</t>
  </si>
  <si>
    <t>ROUND10.00 - 14.99VS2L</t>
  </si>
  <si>
    <t>ROUND10.00 - 14.99SI1L</t>
  </si>
  <si>
    <t>ROUND10.00 - 14.99SI2L</t>
  </si>
  <si>
    <t>ROUND10.00 - 14.99SI3L</t>
  </si>
  <si>
    <t>ROUND10.00 - 14.99I1L</t>
  </si>
  <si>
    <t>ROUND10.00 - 14.99I2L</t>
  </si>
  <si>
    <t>ROUND10.00 - 14.99I3L</t>
  </si>
  <si>
    <t>ROUND10.00 - 14.99IFM</t>
  </si>
  <si>
    <t>ROUND10.00 - 14.99VVS1M</t>
  </si>
  <si>
    <t>ROUND10.00 - 14.99VVS2M</t>
  </si>
  <si>
    <t>ROUND10.00 - 14.99VS1M</t>
  </si>
  <si>
    <t>ROUND10.00 - 14.99VS2M</t>
  </si>
  <si>
    <t>ROUND10.00 - 14.99SI1M</t>
  </si>
  <si>
    <t>ROUND10.00 - 14.99SI2M</t>
  </si>
  <si>
    <t>ROUND10.00 - 14.99SI3M</t>
  </si>
  <si>
    <t>ROUND10.00 - 14.99I1M</t>
  </si>
  <si>
    <t>ROUND10.00 - 14.99I2M</t>
  </si>
  <si>
    <t>ROUND10.00 - 14.99I3M</t>
  </si>
  <si>
    <t>SHAPE</t>
  </si>
  <si>
    <t>Fluoroscence</t>
  </si>
  <si>
    <t>Rap</t>
  </si>
  <si>
    <t>Disc %</t>
  </si>
  <si>
    <t>Rate $/Cts</t>
  </si>
  <si>
    <t>Pol Amt</t>
  </si>
  <si>
    <t>Cert $/Ct</t>
  </si>
  <si>
    <t>Size G</t>
  </si>
  <si>
    <t>0.50 - 0.59</t>
  </si>
  <si>
    <t>0.60 - 0.69</t>
  </si>
  <si>
    <t>0.70 - 0.79</t>
  </si>
  <si>
    <t>0.80 - 0.89</t>
  </si>
  <si>
    <t>0.90 - 0.94</t>
  </si>
  <si>
    <t>0.95 - 0.99</t>
  </si>
  <si>
    <t>1.00 - 1.09</t>
  </si>
  <si>
    <t>VG-NON-Diff</t>
  </si>
  <si>
    <t>Lab Fees</t>
  </si>
  <si>
    <t>0.25 - 0.27</t>
  </si>
  <si>
    <t>0.28 - 0.29</t>
  </si>
  <si>
    <t>0.45 - 0.47</t>
  </si>
  <si>
    <t>0.48 - 0.49</t>
  </si>
  <si>
    <t>Add. Disc %</t>
  </si>
  <si>
    <t>Cut G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</si>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</sst>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₹&quot;\ * #,##0.00_ ;_ &quot;₹&quot;\ * \-#,##0.00_ ;_ &quot;₹&quot;\ * &quot;-&quot;??_ ;_ @_ "/>
    <numFmt numFmtId="164" formatCode="0.000"/>
    <numFmt numFmtId="165" formatCode="_-[$$-409]* #,##0.00_ ;_-[$$-409]* \-#,##0.00\ ;_-[$$-409]* &quot;-&quot;??_ ;_-@_ "/>
  </numFmts>
  <fonts count="14">
    <font>
      <sz val="11"/>
      <name val="Calibri"/>
    </font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0"/>
      <color theme="1"/>
      <name val="Cambria"/>
      <family val="1"/>
    </font>
    <font>
      <b/>
      <sz val="12"/>
      <color theme="0"/>
      <name val="Century Gothic"/>
      <family val="2"/>
    </font>
    <font>
      <b/>
      <sz val="12"/>
      <color rgb="FF8C0000"/>
      <name val="Century Gothic"/>
      <family val="2"/>
    </font>
    <font>
      <sz val="12"/>
      <name val="Century Gothic"/>
      <family val="2"/>
    </font>
    <font>
      <b/>
      <sz val="12"/>
      <color theme="0" tint="-4.9989318521683403E-2"/>
      <name val="Century Gothic"/>
      <family val="2"/>
    </font>
    <font>
      <b/>
      <sz val="12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  <font>
      <b/>
      <sz val="10"/>
      <color theme="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AF8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CC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8" fillId="0" borderId="0" xfId="0" applyFont="1"/>
    <xf numFmtId="0" fontId="6" fillId="7" borderId="14" xfId="0" applyFont="1" applyFill="1" applyBorder="1" applyAlignment="1">
      <alignment horizontal="center" vertical="center"/>
    </xf>
    <xf numFmtId="0" fontId="10" fillId="6" borderId="14" xfId="0" applyFont="1" applyFill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8" fillId="0" borderId="18" xfId="0" applyFont="1" applyBorder="1"/>
    <xf numFmtId="0" fontId="8" fillId="0" borderId="19" xfId="0" applyFont="1" applyBorder="1"/>
    <xf numFmtId="0" fontId="8" fillId="0" borderId="12" xfId="0" applyFont="1" applyBorder="1"/>
    <xf numFmtId="0" fontId="12" fillId="0" borderId="15" xfId="0" applyFont="1" applyBorder="1" applyAlignment="1" applyProtection="1">
      <alignment horizontal="center" vertical="center"/>
      <protection locked="0"/>
    </xf>
    <xf numFmtId="0" fontId="12" fillId="0" borderId="16" xfId="0" applyFont="1" applyBorder="1" applyAlignment="1" applyProtection="1">
      <alignment horizontal="center" vertical="center"/>
      <protection locked="0"/>
    </xf>
    <xf numFmtId="0" fontId="8" fillId="0" borderId="16" xfId="0" applyFont="1" applyBorder="1"/>
    <xf numFmtId="0" fontId="8" fillId="0" borderId="17" xfId="0" applyFont="1" applyBorder="1"/>
    <xf numFmtId="0" fontId="8" fillId="0" borderId="13" xfId="0" applyFont="1" applyBorder="1" applyAlignment="1" applyProtection="1">
      <alignment horizontal="center" vertical="center"/>
      <protection locked="0"/>
    </xf>
    <xf numFmtId="0" fontId="10" fillId="9" borderId="14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/>
    <xf numFmtId="0" fontId="6" fillId="6" borderId="20" xfId="0" applyFont="1" applyFill="1" applyBorder="1" applyAlignment="1">
      <alignment horizontal="center" vertical="center"/>
    </xf>
    <xf numFmtId="0" fontId="13" fillId="8" borderId="21" xfId="0" applyFont="1" applyFill="1" applyBorder="1" applyAlignment="1">
      <alignment horizontal="center" vertical="center" wrapText="1"/>
    </xf>
    <xf numFmtId="0" fontId="13" fillId="8" borderId="20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/>
      <protection locked="0"/>
    </xf>
    <xf numFmtId="164" fontId="7" fillId="5" borderId="23" xfId="0" applyNumberFormat="1" applyFont="1" applyFill="1" applyBorder="1" applyAlignment="1" applyProtection="1">
      <alignment horizontal="center" vertical="center"/>
      <protection locked="0"/>
    </xf>
    <xf numFmtId="0" fontId="10" fillId="9" borderId="24" xfId="0" applyFont="1" applyFill="1" applyBorder="1" applyAlignment="1">
      <alignment horizontal="center" vertical="center"/>
    </xf>
    <xf numFmtId="0" fontId="7" fillId="5" borderId="25" xfId="0" applyFont="1" applyFill="1" applyBorder="1" applyAlignment="1" applyProtection="1">
      <alignment horizontal="center" vertical="center"/>
      <protection locked="0"/>
    </xf>
    <xf numFmtId="0" fontId="7" fillId="5" borderId="26" xfId="0" applyFont="1" applyFill="1" applyBorder="1" applyAlignment="1" applyProtection="1">
      <alignment horizontal="center" vertical="center"/>
      <protection locked="0"/>
    </xf>
    <xf numFmtId="165" fontId="6" fillId="7" borderId="26" xfId="1" applyNumberFormat="1" applyFont="1" applyFill="1" applyBorder="1" applyAlignment="1" applyProtection="1">
      <alignment horizontal="center" vertical="center"/>
    </xf>
    <xf numFmtId="2" fontId="10" fillId="6" borderId="26" xfId="2" applyNumberFormat="1" applyFont="1" applyFill="1" applyBorder="1" applyAlignment="1" applyProtection="1">
      <alignment horizontal="center" vertical="center"/>
    </xf>
    <xf numFmtId="165" fontId="10" fillId="6" borderId="26" xfId="1" applyNumberFormat="1" applyFont="1" applyFill="1" applyBorder="1" applyAlignment="1" applyProtection="1">
      <alignment horizontal="center" vertical="center"/>
    </xf>
    <xf numFmtId="0" fontId="11" fillId="6" borderId="27" xfId="0" applyFont="1" applyFill="1" applyBorder="1" applyAlignment="1">
      <alignment horizontal="center" vertical="center"/>
    </xf>
    <xf numFmtId="165" fontId="11" fillId="6" borderId="28" xfId="0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2">
    <dxf>
      <font>
        <b/>
        <i val="0"/>
        <color rgb="FFFFC000"/>
      </font>
    </dxf>
    <dxf>
      <font>
        <b/>
        <i val="0"/>
        <color rgb="FF9C0006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12</xdr:row>
      <xdr:rowOff>116416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C0985D-04DE-43B3-AFC1-7EBC42473586}"/>
            </a:ext>
          </a:extLst>
        </xdr:cNvPr>
        <xdr:cNvSpPr txBox="1"/>
      </xdr:nvSpPr>
      <xdr:spPr>
        <a:xfrm>
          <a:off x="5837767" y="4107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2</xdr:col>
      <xdr:colOff>0</xdr:colOff>
      <xdr:row>3</xdr:row>
      <xdr:rowOff>116416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E1296D7-2BF3-4118-8F55-42B1BC3424FF}"/>
            </a:ext>
          </a:extLst>
        </xdr:cNvPr>
        <xdr:cNvSpPr txBox="1"/>
      </xdr:nvSpPr>
      <xdr:spPr>
        <a:xfrm>
          <a:off x="5837767" y="127846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2</xdr:col>
      <xdr:colOff>0</xdr:colOff>
      <xdr:row>10</xdr:row>
      <xdr:rowOff>116416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5CF491E-7160-4DBA-84E1-0E6FF25FC9A3}"/>
            </a:ext>
          </a:extLst>
        </xdr:cNvPr>
        <xdr:cNvSpPr txBox="1"/>
      </xdr:nvSpPr>
      <xdr:spPr>
        <a:xfrm>
          <a:off x="5190067" y="34787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2</xdr:col>
      <xdr:colOff>0</xdr:colOff>
      <xdr:row>1</xdr:row>
      <xdr:rowOff>116416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2D8713F-386D-405D-A2AF-F877067048F6}"/>
            </a:ext>
          </a:extLst>
        </xdr:cNvPr>
        <xdr:cNvSpPr txBox="1"/>
      </xdr:nvSpPr>
      <xdr:spPr>
        <a:xfrm>
          <a:off x="5190067" y="63076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2</xdr:col>
      <xdr:colOff>0</xdr:colOff>
      <xdr:row>10</xdr:row>
      <xdr:rowOff>116416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732AEDE-5823-4682-A3F7-F58170693D2A}"/>
            </a:ext>
          </a:extLst>
        </xdr:cNvPr>
        <xdr:cNvSpPr txBox="1"/>
      </xdr:nvSpPr>
      <xdr:spPr>
        <a:xfrm>
          <a:off x="5190067" y="34787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2</xdr:col>
      <xdr:colOff>0</xdr:colOff>
      <xdr:row>1</xdr:row>
      <xdr:rowOff>116416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93C6005-F62E-4DEE-889F-D3DD85FDCDC4}"/>
            </a:ext>
          </a:extLst>
        </xdr:cNvPr>
        <xdr:cNvSpPr txBox="1"/>
      </xdr:nvSpPr>
      <xdr:spPr>
        <a:xfrm>
          <a:off x="5190067" y="63076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2</xdr:col>
      <xdr:colOff>0</xdr:colOff>
      <xdr:row>11</xdr:row>
      <xdr:rowOff>116416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A200ACC-01A3-4173-9710-00AB7DEEDF88}"/>
            </a:ext>
          </a:extLst>
        </xdr:cNvPr>
        <xdr:cNvSpPr txBox="1"/>
      </xdr:nvSpPr>
      <xdr:spPr>
        <a:xfrm>
          <a:off x="5190067" y="379306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oneCellAnchor>
    <xdr:from>
      <xdr:col>2</xdr:col>
      <xdr:colOff>0</xdr:colOff>
      <xdr:row>3</xdr:row>
      <xdr:rowOff>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A3952CF-C44B-49FE-85EF-38E0DAA913E7}"/>
            </a:ext>
          </a:extLst>
        </xdr:cNvPr>
        <xdr:cNvSpPr txBox="1"/>
      </xdr:nvSpPr>
      <xdr:spPr>
        <a:xfrm>
          <a:off x="5190067" y="9641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78"/>
  <sheetViews>
    <sheetView workbookViewId="0">
      <pane xSplit="3" ySplit="2" topLeftCell="D51" activePane="bottomRight" state="frozen"/>
      <selection pane="topRight" activeCell="C1" sqref="C1"/>
      <selection pane="bottomLeft" activeCell="A3" sqref="A3"/>
      <selection pane="bottomRight" activeCell="I51" sqref="I51"/>
    </sheetView>
  </sheetViews>
  <sheetFormatPr defaultRowHeight="15"/>
  <cols>
    <col min="1" max="2" width="16.85546875" style="1" customWidth="1"/>
    <col min="3" max="3" width="5.7109375" style="1" bestFit="1" customWidth="1"/>
    <col min="4" max="5" width="3.7109375" style="1" bestFit="1" customWidth="1"/>
    <col min="6" max="7" width="5.5703125" style="1" bestFit="1" customWidth="1"/>
    <col min="8" max="9" width="4.28515625" style="1" bestFit="1" customWidth="1"/>
    <col min="10" max="11" width="3.7109375" style="1" bestFit="1" customWidth="1"/>
    <col min="12" max="12" width="2.7109375" customWidth="1"/>
    <col min="13" max="14" width="3.7109375" style="1" bestFit="1" customWidth="1"/>
    <col min="15" max="16" width="5.5703125" style="1" bestFit="1" customWidth="1"/>
    <col min="17" max="18" width="4.28515625" style="1" bestFit="1" customWidth="1"/>
    <col min="19" max="20" width="3.7109375" style="1" bestFit="1" customWidth="1"/>
    <col min="21" max="21" width="2.7109375" customWidth="1"/>
    <col min="22" max="23" width="3.7109375" style="1" bestFit="1" customWidth="1"/>
    <col min="24" max="25" width="5.5703125" style="1" bestFit="1" customWidth="1"/>
    <col min="26" max="27" width="4.28515625" style="1" bestFit="1" customWidth="1"/>
    <col min="28" max="29" width="3.7109375" style="1" bestFit="1" customWidth="1"/>
    <col min="30" max="30" width="2.7109375" customWidth="1"/>
    <col min="31" max="32" width="4.7109375" style="1" bestFit="1" customWidth="1"/>
    <col min="33" max="34" width="5.5703125" style="1" bestFit="1" customWidth="1"/>
    <col min="35" max="38" width="4.7109375" style="1" bestFit="1" customWidth="1"/>
    <col min="39" max="39" width="2.7109375" customWidth="1"/>
    <col min="40" max="41" width="4.7109375" style="1" bestFit="1" customWidth="1"/>
    <col min="42" max="43" width="5.5703125" style="1" bestFit="1" customWidth="1"/>
    <col min="44" max="47" width="4.7109375" style="1" bestFit="1" customWidth="1"/>
    <col min="48" max="48" width="2.7109375" customWidth="1"/>
    <col min="49" max="50" width="4.7109375" style="1" bestFit="1" customWidth="1"/>
    <col min="51" max="52" width="5.5703125" style="1" bestFit="1" customWidth="1"/>
    <col min="53" max="56" width="4.7109375" style="1" bestFit="1" customWidth="1"/>
    <col min="57" max="57" width="2.7109375" customWidth="1"/>
    <col min="58" max="59" width="3.7109375" style="1" hidden="1" customWidth="1"/>
    <col min="60" max="61" width="5.5703125" style="1" hidden="1" customWidth="1"/>
    <col min="62" max="63" width="4.28515625" style="1" hidden="1" customWidth="1"/>
    <col min="64" max="65" width="3.7109375" style="1" hidden="1" customWidth="1"/>
    <col min="66" max="66" width="2.7109375" hidden="1" customWidth="1"/>
    <col min="67" max="68" width="3.7109375" style="1" hidden="1" customWidth="1"/>
    <col min="69" max="70" width="5.5703125" style="1" hidden="1" customWidth="1"/>
    <col min="71" max="72" width="4.28515625" style="1" hidden="1" customWidth="1"/>
    <col min="73" max="74" width="3.7109375" style="1" hidden="1" customWidth="1"/>
    <col min="75" max="75" width="2.7109375" hidden="1" customWidth="1"/>
    <col min="76" max="77" width="3.7109375" style="1" hidden="1" customWidth="1"/>
    <col min="78" max="79" width="5.5703125" style="1" hidden="1" customWidth="1"/>
    <col min="80" max="81" width="4.28515625" style="1" hidden="1" customWidth="1"/>
    <col min="82" max="83" width="3.7109375" style="1" hidden="1" customWidth="1"/>
    <col min="84" max="84" width="2.7109375" hidden="1" customWidth="1"/>
    <col min="85" max="86" width="3.7109375" style="1" hidden="1" customWidth="1"/>
    <col min="87" max="88" width="5.5703125" style="1" hidden="1" customWidth="1"/>
    <col min="89" max="90" width="4.28515625" style="1" hidden="1" customWidth="1"/>
    <col min="91" max="92" width="3.7109375" style="1" hidden="1" customWidth="1"/>
    <col min="93" max="93" width="2.7109375" hidden="1" customWidth="1"/>
    <col min="94" max="95" width="3.7109375" style="1" hidden="1" customWidth="1"/>
    <col min="96" max="97" width="5.5703125" style="1" hidden="1" customWidth="1"/>
    <col min="98" max="99" width="4.28515625" style="1" hidden="1" customWidth="1"/>
    <col min="100" max="101" width="3.7109375" style="1" hidden="1" customWidth="1"/>
  </cols>
  <sheetData>
    <row r="1" spans="1:101" ht="15.75">
      <c r="A1" s="31" t="s">
        <v>2136</v>
      </c>
      <c r="B1" s="31" t="s">
        <v>24</v>
      </c>
      <c r="C1" s="31" t="s">
        <v>25</v>
      </c>
      <c r="D1" s="36" t="s">
        <v>28</v>
      </c>
      <c r="E1" s="36"/>
      <c r="F1" s="36"/>
      <c r="G1" s="36"/>
      <c r="H1" s="36"/>
      <c r="I1" s="36"/>
      <c r="J1" s="36"/>
      <c r="K1" s="36"/>
      <c r="M1" s="36" t="s">
        <v>27</v>
      </c>
      <c r="N1" s="36"/>
      <c r="O1" s="36"/>
      <c r="P1" s="36"/>
      <c r="Q1" s="36"/>
      <c r="R1" s="36"/>
      <c r="S1" s="36"/>
      <c r="T1" s="36"/>
      <c r="V1" s="36" t="s">
        <v>29</v>
      </c>
      <c r="W1" s="36"/>
      <c r="X1" s="36"/>
      <c r="Y1" s="36"/>
      <c r="Z1" s="36"/>
      <c r="AA1" s="36"/>
      <c r="AB1" s="36"/>
      <c r="AC1" s="36"/>
      <c r="AE1" s="36" t="s">
        <v>39</v>
      </c>
      <c r="AF1" s="36"/>
      <c r="AG1" s="36"/>
      <c r="AH1" s="36"/>
      <c r="AI1" s="36"/>
      <c r="AJ1" s="36"/>
      <c r="AK1" s="36"/>
      <c r="AL1" s="36"/>
      <c r="AN1" s="36" t="s">
        <v>40</v>
      </c>
      <c r="AO1" s="36"/>
      <c r="AP1" s="36"/>
      <c r="AQ1" s="36"/>
      <c r="AR1" s="36"/>
      <c r="AS1" s="36"/>
      <c r="AT1" s="36"/>
      <c r="AU1" s="36"/>
      <c r="AW1" s="36" t="s">
        <v>41</v>
      </c>
      <c r="AX1" s="36"/>
      <c r="AY1" s="36"/>
      <c r="AZ1" s="36"/>
      <c r="BA1" s="36"/>
      <c r="BB1" s="36"/>
      <c r="BC1" s="36"/>
      <c r="BD1" s="36"/>
      <c r="BF1" s="34" t="s">
        <v>37</v>
      </c>
      <c r="BG1" s="34"/>
      <c r="BH1" s="34"/>
      <c r="BI1" s="34"/>
      <c r="BJ1" s="34"/>
      <c r="BK1" s="34"/>
      <c r="BL1" s="34"/>
      <c r="BM1" s="35"/>
      <c r="BO1" s="34" t="s">
        <v>38</v>
      </c>
      <c r="BP1" s="34"/>
      <c r="BQ1" s="34"/>
      <c r="BR1" s="34"/>
      <c r="BS1" s="34"/>
      <c r="BT1" s="34"/>
      <c r="BU1" s="34"/>
      <c r="BV1" s="35"/>
      <c r="BX1" s="34" t="s">
        <v>2144</v>
      </c>
      <c r="BY1" s="34"/>
      <c r="BZ1" s="34"/>
      <c r="CA1" s="34"/>
      <c r="CB1" s="34"/>
      <c r="CC1" s="34"/>
      <c r="CD1" s="34"/>
      <c r="CE1" s="35"/>
      <c r="CG1" s="34" t="s">
        <v>42</v>
      </c>
      <c r="CH1" s="34"/>
      <c r="CI1" s="34"/>
      <c r="CJ1" s="34"/>
      <c r="CK1" s="34"/>
      <c r="CL1" s="34"/>
      <c r="CM1" s="34"/>
      <c r="CN1" s="35"/>
      <c r="CP1" s="34" t="s">
        <v>43</v>
      </c>
      <c r="CQ1" s="34"/>
      <c r="CR1" s="34"/>
      <c r="CS1" s="34"/>
      <c r="CT1" s="34"/>
      <c r="CU1" s="34"/>
      <c r="CV1" s="34"/>
      <c r="CW1" s="35"/>
    </row>
    <row r="2" spans="1:101" s="2" customFormat="1">
      <c r="A2" s="33"/>
      <c r="B2" s="33"/>
      <c r="C2" s="32"/>
      <c r="D2" s="10" t="s">
        <v>0</v>
      </c>
      <c r="E2" s="10" t="s">
        <v>1</v>
      </c>
      <c r="F2" s="10" t="s">
        <v>2</v>
      </c>
      <c r="G2" s="10" t="s">
        <v>3</v>
      </c>
      <c r="H2" s="10" t="s">
        <v>4</v>
      </c>
      <c r="I2" s="10" t="s">
        <v>5</v>
      </c>
      <c r="J2" s="10" t="s">
        <v>6</v>
      </c>
      <c r="K2" s="10" t="s">
        <v>7</v>
      </c>
      <c r="M2" s="10" t="s">
        <v>0</v>
      </c>
      <c r="N2" s="10" t="s">
        <v>1</v>
      </c>
      <c r="O2" s="10" t="s">
        <v>2</v>
      </c>
      <c r="P2" s="10" t="s">
        <v>3</v>
      </c>
      <c r="Q2" s="10" t="s">
        <v>4</v>
      </c>
      <c r="R2" s="10" t="s">
        <v>5</v>
      </c>
      <c r="S2" s="10" t="s">
        <v>6</v>
      </c>
      <c r="T2" s="10" t="s">
        <v>7</v>
      </c>
      <c r="V2" s="10" t="s">
        <v>0</v>
      </c>
      <c r="W2" s="10" t="s">
        <v>1</v>
      </c>
      <c r="X2" s="10" t="s">
        <v>2</v>
      </c>
      <c r="Y2" s="10" t="s">
        <v>3</v>
      </c>
      <c r="Z2" s="10" t="s">
        <v>4</v>
      </c>
      <c r="AA2" s="10" t="s">
        <v>5</v>
      </c>
      <c r="AB2" s="10" t="s">
        <v>6</v>
      </c>
      <c r="AC2" s="10" t="s">
        <v>7</v>
      </c>
      <c r="AE2" s="10" t="s">
        <v>0</v>
      </c>
      <c r="AF2" s="10" t="s">
        <v>1</v>
      </c>
      <c r="AG2" s="10" t="s">
        <v>2</v>
      </c>
      <c r="AH2" s="10" t="s">
        <v>3</v>
      </c>
      <c r="AI2" s="10" t="s">
        <v>4</v>
      </c>
      <c r="AJ2" s="10" t="s">
        <v>5</v>
      </c>
      <c r="AK2" s="10" t="s">
        <v>6</v>
      </c>
      <c r="AL2" s="10" t="s">
        <v>7</v>
      </c>
      <c r="AN2" s="10" t="s">
        <v>0</v>
      </c>
      <c r="AO2" s="10" t="s">
        <v>1</v>
      </c>
      <c r="AP2" s="10" t="s">
        <v>2</v>
      </c>
      <c r="AQ2" s="10" t="s">
        <v>3</v>
      </c>
      <c r="AR2" s="10" t="s">
        <v>4</v>
      </c>
      <c r="AS2" s="10" t="s">
        <v>5</v>
      </c>
      <c r="AT2" s="10" t="s">
        <v>6</v>
      </c>
      <c r="AU2" s="10" t="s">
        <v>7</v>
      </c>
      <c r="AW2" s="10" t="s">
        <v>0</v>
      </c>
      <c r="AX2" s="10" t="s">
        <v>1</v>
      </c>
      <c r="AY2" s="10" t="s">
        <v>2</v>
      </c>
      <c r="AZ2" s="10" t="s">
        <v>3</v>
      </c>
      <c r="BA2" s="10" t="s">
        <v>4</v>
      </c>
      <c r="BB2" s="10" t="s">
        <v>5</v>
      </c>
      <c r="BC2" s="10" t="s">
        <v>6</v>
      </c>
      <c r="BD2" s="10" t="s">
        <v>7</v>
      </c>
      <c r="BF2" s="10" t="s">
        <v>0</v>
      </c>
      <c r="BG2" s="10" t="s">
        <v>1</v>
      </c>
      <c r="BH2" s="10" t="s">
        <v>2</v>
      </c>
      <c r="BI2" s="10" t="s">
        <v>3</v>
      </c>
      <c r="BJ2" s="10" t="s">
        <v>4</v>
      </c>
      <c r="BK2" s="10" t="s">
        <v>5</v>
      </c>
      <c r="BL2" s="10" t="s">
        <v>6</v>
      </c>
      <c r="BM2" s="10" t="s">
        <v>7</v>
      </c>
      <c r="BO2" s="10" t="s">
        <v>0</v>
      </c>
      <c r="BP2" s="10" t="s">
        <v>1</v>
      </c>
      <c r="BQ2" s="10" t="s">
        <v>2</v>
      </c>
      <c r="BR2" s="10" t="s">
        <v>3</v>
      </c>
      <c r="BS2" s="10" t="s">
        <v>4</v>
      </c>
      <c r="BT2" s="10" t="s">
        <v>5</v>
      </c>
      <c r="BU2" s="10" t="s">
        <v>6</v>
      </c>
      <c r="BV2" s="10" t="s">
        <v>7</v>
      </c>
      <c r="BX2" s="10" t="s">
        <v>0</v>
      </c>
      <c r="BY2" s="10" t="s">
        <v>1</v>
      </c>
      <c r="BZ2" s="10" t="s">
        <v>2</v>
      </c>
      <c r="CA2" s="10" t="s">
        <v>3</v>
      </c>
      <c r="CB2" s="10" t="s">
        <v>4</v>
      </c>
      <c r="CC2" s="10" t="s">
        <v>5</v>
      </c>
      <c r="CD2" s="10" t="s">
        <v>6</v>
      </c>
      <c r="CE2" s="10" t="s">
        <v>7</v>
      </c>
      <c r="CG2" s="10" t="s">
        <v>0</v>
      </c>
      <c r="CH2" s="10" t="s">
        <v>1</v>
      </c>
      <c r="CI2" s="10" t="s">
        <v>2</v>
      </c>
      <c r="CJ2" s="10" t="s">
        <v>3</v>
      </c>
      <c r="CK2" s="10" t="s">
        <v>4</v>
      </c>
      <c r="CL2" s="10" t="s">
        <v>5</v>
      </c>
      <c r="CM2" s="10" t="s">
        <v>6</v>
      </c>
      <c r="CN2" s="10" t="s">
        <v>7</v>
      </c>
      <c r="CP2" s="10" t="s">
        <v>0</v>
      </c>
      <c r="CQ2" s="10" t="s">
        <v>1</v>
      </c>
      <c r="CR2" s="10" t="s">
        <v>2</v>
      </c>
      <c r="CS2" s="10" t="s">
        <v>3</v>
      </c>
      <c r="CT2" s="10" t="s">
        <v>4</v>
      </c>
      <c r="CU2" s="10" t="s">
        <v>5</v>
      </c>
      <c r="CV2" s="10" t="s">
        <v>6</v>
      </c>
      <c r="CW2" s="10" t="s">
        <v>7</v>
      </c>
    </row>
    <row r="3" spans="1:101">
      <c r="A3" s="10" t="str">
        <f>VLOOKUP(B3,List!W:X,2,1)</f>
        <v>0.18 - 0.19</v>
      </c>
      <c r="B3" s="8">
        <v>0.18</v>
      </c>
      <c r="C3" s="8" t="s">
        <v>8</v>
      </c>
      <c r="D3" s="3">
        <v>12</v>
      </c>
      <c r="E3" s="1">
        <v>12</v>
      </c>
      <c r="F3" s="1">
        <v>-17</v>
      </c>
      <c r="G3" s="1">
        <v>-30</v>
      </c>
      <c r="H3" s="1">
        <v>-26</v>
      </c>
      <c r="I3" s="1">
        <v>-28</v>
      </c>
      <c r="J3" s="1">
        <v>-50</v>
      </c>
      <c r="K3" s="4">
        <v>-50</v>
      </c>
      <c r="M3" s="3">
        <f t="shared" ref="M3:M34" si="0">IFERROR(IF(AND(D3="",BF3=""),"",D3+BF3),"")</f>
        <v>2</v>
      </c>
      <c r="N3" s="1">
        <f t="shared" ref="N3:N34" si="1">IFERROR(IF(AND(E3="",BG3=""),"",E3+BG3),"")</f>
        <v>2</v>
      </c>
      <c r="O3" s="1">
        <f t="shared" ref="O3:O34" si="2">IFERROR(IF(AND(F3="",BH3=""),"",F3+BH3),"")</f>
        <v>-28</v>
      </c>
      <c r="P3" s="1">
        <f t="shared" ref="P3:P34" si="3">IFERROR(IF(AND(G3="",BI3=""),"",G3+BI3),"")</f>
        <v>-37</v>
      </c>
      <c r="Q3" s="1">
        <f t="shared" ref="Q3:Q34" si="4">IFERROR(IF(AND(H3="",BJ3=""),"",H3+BJ3),"")</f>
        <v>-29</v>
      </c>
      <c r="R3" s="1">
        <f t="shared" ref="R3:R34" si="5">IFERROR(IF(AND(I3="",BK3=""),"",I3+BK3),"")</f>
        <v>-31</v>
      </c>
      <c r="S3" s="1">
        <f t="shared" ref="S3:S34" si="6">IFERROR(IF(AND(J3="",BL3=""),"",J3+BL3),"")</f>
        <v>-60</v>
      </c>
      <c r="T3" s="4">
        <f t="shared" ref="T3:T34" si="7">IFERROR(IF(AND(K3="",BM3=""),"",K3+BM3),"")</f>
        <v>-60</v>
      </c>
      <c r="V3" s="3">
        <f t="shared" ref="V3:V34" si="8">IFERROR(IF(AND(M3="",BO3=""),"",M3+BO3),"")</f>
        <v>-10</v>
      </c>
      <c r="W3" s="1">
        <f t="shared" ref="W3:W34" si="9">IFERROR(IF(AND(N3="",BP3=""),"",N3+BP3),"")</f>
        <v>-10</v>
      </c>
      <c r="X3" s="1">
        <f t="shared" ref="X3:X34" si="10">IFERROR(IF(AND(O3="",BQ3=""),"",O3+BQ3),"")</f>
        <v>-40</v>
      </c>
      <c r="Y3" s="1">
        <f t="shared" ref="Y3:Y34" si="11">IFERROR(IF(AND(P3="",BR3=""),"",P3+BR3),"")</f>
        <v>-49</v>
      </c>
      <c r="Z3" s="1">
        <f t="shared" ref="Z3:Z34" si="12">IFERROR(IF(AND(Q3="",BS3=""),"",Q3+BS3),"")</f>
        <v>-41</v>
      </c>
      <c r="AA3" s="1">
        <f t="shared" ref="AA3:AA34" si="13">IFERROR(IF(AND(R3="",BT3=""),"",R3+BT3),"")</f>
        <v>-43</v>
      </c>
      <c r="AB3" s="1">
        <f t="shared" ref="AB3:AB34" si="14">IFERROR(IF(AND(S3="",BU3=""),"",S3+BU3),"")</f>
        <v>-77</v>
      </c>
      <c r="AC3" s="4">
        <f t="shared" ref="AC3:AC34" si="15">IFERROR(IF(AND(T3="",BV3=""),"",T3+BV3),"")</f>
        <v>-77</v>
      </c>
      <c r="AE3" s="3">
        <f t="shared" ref="AE3:AE34" si="16">IFERROR(IF(AND(D3="",BX3=""),"",D3+BX3),"")</f>
        <v>-18</v>
      </c>
      <c r="AF3" s="1">
        <f t="shared" ref="AF3:AF34" si="17">IFERROR(IF(AND(E3="",BY3=""),"",E3+BY3),"")</f>
        <v>-18</v>
      </c>
      <c r="AG3" s="1">
        <f t="shared" ref="AG3:AG34" si="18">IFERROR(IF(AND(F3="",BZ3=""),"",F3+BZ3),"")</f>
        <v>-47</v>
      </c>
      <c r="AH3" s="1">
        <f t="shared" ref="AH3:AH34" si="19">IFERROR(IF(AND(G3="",CA3=""),"",G3+CA3),"")</f>
        <v>-60</v>
      </c>
      <c r="AI3" s="1">
        <f t="shared" ref="AI3:AI34" si="20">IFERROR(IF(AND(H3="",CB3=""),"",H3+CB3),"")</f>
        <v>-56</v>
      </c>
      <c r="AJ3" s="1">
        <f t="shared" ref="AJ3:AJ34" si="21">IFERROR(IF(AND(I3="",CC3=""),"",I3+CC3),"")</f>
        <v>-58</v>
      </c>
      <c r="AK3" s="1">
        <f t="shared" ref="AK3:AK34" si="22">IFERROR(IF(AND(J3="",CD3=""),"",J3+CD3),"")</f>
        <v>-80</v>
      </c>
      <c r="AL3" s="4">
        <f t="shared" ref="AL3:AL34" si="23">IFERROR(IF(AND(K3="",CE3=""),"",K3+CE3),"")</f>
        <v>-80</v>
      </c>
      <c r="AN3" s="3">
        <f t="shared" ref="AN3:AN34" si="24">IFERROR(IF(AND(AE3="",CG3=""),"",AE3+CG3),"")</f>
        <v>-23</v>
      </c>
      <c r="AO3" s="1">
        <f t="shared" ref="AO3:AO34" si="25">IFERROR(IF(AND(AF3="",CH3=""),"",AF3+CH3),"")</f>
        <v>-23</v>
      </c>
      <c r="AP3" s="1">
        <f t="shared" ref="AP3:AP34" si="26">IFERROR(IF(AND(AG3="",CI3=""),"",AG3+CI3),"")</f>
        <v>-52</v>
      </c>
      <c r="AQ3" s="1">
        <f t="shared" ref="AQ3:AQ34" si="27">IFERROR(IF(AND(AH3="",CJ3=""),"",AH3+CJ3),"")</f>
        <v>-65</v>
      </c>
      <c r="AR3" s="1">
        <f t="shared" ref="AR3:AR34" si="28">IFERROR(IF(AND(AI3="",CK3=""),"",AI3+CK3),"")</f>
        <v>-61</v>
      </c>
      <c r="AS3" s="1">
        <f t="shared" ref="AS3:AS34" si="29">IFERROR(IF(AND(AJ3="",CL3=""),"",AJ3+CL3),"")</f>
        <v>-63</v>
      </c>
      <c r="AT3" s="1">
        <f t="shared" ref="AT3:AT34" si="30">IFERROR(IF(AND(AK3="",CM3=""),"",AK3+CM3),"")</f>
        <v>-85</v>
      </c>
      <c r="AU3" s="4">
        <f t="shared" ref="AU3:AU34" si="31">IFERROR(IF(AND(AL3="",CN3=""),"",AL3+CN3),"")</f>
        <v>-85</v>
      </c>
      <c r="AW3" s="3">
        <f t="shared" ref="AW3:AW34" si="32">IFERROR(IF(AND(AE3="",CP3=""),"",AE3+CP3),"")</f>
        <v>-26</v>
      </c>
      <c r="AX3" s="1">
        <f t="shared" ref="AX3:AX34" si="33">IFERROR(IF(AND(AF3="",CQ3=""),"",AF3+CQ3),"")</f>
        <v>-26</v>
      </c>
      <c r="AY3" s="1">
        <f t="shared" ref="AY3:AY34" si="34">IFERROR(IF(AND(AG3="",CR3=""),"",AG3+CR3),"")</f>
        <v>-55</v>
      </c>
      <c r="AZ3" s="1">
        <f t="shared" ref="AZ3:AZ34" si="35">IFERROR(IF(AND(AH3="",CS3=""),"",AH3+CS3),"")</f>
        <v>-68</v>
      </c>
      <c r="BA3" s="1">
        <f t="shared" ref="BA3:BA34" si="36">IFERROR(IF(AND(AI3="",CT3=""),"",AI3+CT3),"")</f>
        <v>-64</v>
      </c>
      <c r="BB3" s="1">
        <f t="shared" ref="BB3:BB34" si="37">IFERROR(IF(AND(AJ3="",CU3=""),"",AJ3+CU3),"")</f>
        <v>-66</v>
      </c>
      <c r="BC3" s="1">
        <f t="shared" ref="BC3:BC34" si="38">IFERROR(IF(AND(AK3="",CV3=""),"",AK3+CV3),"")</f>
        <v>-88</v>
      </c>
      <c r="BD3" s="4">
        <f t="shared" ref="BD3:BD34" si="39">IFERROR(IF(AND(AL3="",CW3=""),"",AL3+CW3),"")</f>
        <v>-88</v>
      </c>
      <c r="BF3" s="3">
        <v>-10</v>
      </c>
      <c r="BG3" s="1">
        <v>-10</v>
      </c>
      <c r="BH3" s="1">
        <v>-11</v>
      </c>
      <c r="BI3" s="1">
        <v>-7</v>
      </c>
      <c r="BJ3" s="1">
        <v>-3</v>
      </c>
      <c r="BK3" s="1">
        <v>-3</v>
      </c>
      <c r="BL3" s="1">
        <v>-10</v>
      </c>
      <c r="BM3" s="4">
        <v>-10</v>
      </c>
      <c r="BO3" s="3">
        <v>-12</v>
      </c>
      <c r="BP3" s="1">
        <v>-12</v>
      </c>
      <c r="BQ3" s="1">
        <v>-12</v>
      </c>
      <c r="BR3" s="1">
        <v>-12</v>
      </c>
      <c r="BS3" s="1">
        <v>-12</v>
      </c>
      <c r="BT3" s="1">
        <v>-12</v>
      </c>
      <c r="BU3" s="1">
        <v>-17</v>
      </c>
      <c r="BV3" s="4">
        <v>-17</v>
      </c>
      <c r="BX3" s="3">
        <v>-30</v>
      </c>
      <c r="BY3" s="1">
        <v>-30</v>
      </c>
      <c r="BZ3" s="1">
        <v>-30</v>
      </c>
      <c r="CA3" s="1">
        <v>-30</v>
      </c>
      <c r="CB3" s="1">
        <v>-30</v>
      </c>
      <c r="CC3" s="1">
        <v>-30</v>
      </c>
      <c r="CD3" s="1">
        <v>-30</v>
      </c>
      <c r="CE3" s="4">
        <v>-30</v>
      </c>
      <c r="CG3" s="3">
        <v>-5</v>
      </c>
      <c r="CH3" s="1">
        <v>-5</v>
      </c>
      <c r="CI3" s="1">
        <v>-5</v>
      </c>
      <c r="CJ3" s="1">
        <v>-5</v>
      </c>
      <c r="CK3" s="1">
        <v>-5</v>
      </c>
      <c r="CL3" s="1">
        <v>-5</v>
      </c>
      <c r="CM3" s="1">
        <v>-5</v>
      </c>
      <c r="CN3" s="4">
        <v>-5</v>
      </c>
      <c r="CP3" s="3">
        <v>-8</v>
      </c>
      <c r="CQ3" s="1">
        <v>-8</v>
      </c>
      <c r="CR3" s="1">
        <v>-8</v>
      </c>
      <c r="CS3" s="1">
        <v>-8</v>
      </c>
      <c r="CT3" s="1">
        <v>-8</v>
      </c>
      <c r="CU3" s="1">
        <v>-8</v>
      </c>
      <c r="CV3" s="1">
        <v>-8</v>
      </c>
      <c r="CW3" s="4">
        <v>-8</v>
      </c>
    </row>
    <row r="4" spans="1:101">
      <c r="A4" s="8" t="str">
        <f>VLOOKUP(B4,List!W:X,2,1)</f>
        <v>0.18 - 0.19</v>
      </c>
      <c r="B4" s="8">
        <v>0.18</v>
      </c>
      <c r="C4" s="8" t="s">
        <v>9</v>
      </c>
      <c r="D4" s="3">
        <v>-12</v>
      </c>
      <c r="E4" s="1">
        <v>-12</v>
      </c>
      <c r="F4" s="1">
        <v>-31</v>
      </c>
      <c r="G4" s="1">
        <v>-39</v>
      </c>
      <c r="H4" s="1">
        <v>-35</v>
      </c>
      <c r="I4" s="1">
        <v>-37</v>
      </c>
      <c r="J4" s="1">
        <v>-50</v>
      </c>
      <c r="K4" s="4">
        <v>-50</v>
      </c>
      <c r="M4" s="3">
        <f t="shared" si="0"/>
        <v>-22</v>
      </c>
      <c r="N4" s="1">
        <f t="shared" si="1"/>
        <v>-22</v>
      </c>
      <c r="O4" s="1">
        <f t="shared" si="2"/>
        <v>-38</v>
      </c>
      <c r="P4" s="1">
        <f t="shared" si="3"/>
        <v>-42</v>
      </c>
      <c r="Q4" s="1">
        <f t="shared" si="4"/>
        <v>-39</v>
      </c>
      <c r="R4" s="1">
        <f t="shared" si="5"/>
        <v>-40</v>
      </c>
      <c r="S4" s="1">
        <f t="shared" si="6"/>
        <v>-60</v>
      </c>
      <c r="T4" s="4">
        <f t="shared" si="7"/>
        <v>-60</v>
      </c>
      <c r="V4" s="3">
        <f t="shared" si="8"/>
        <v>-34</v>
      </c>
      <c r="W4" s="1">
        <f t="shared" si="9"/>
        <v>-34</v>
      </c>
      <c r="X4" s="1">
        <f t="shared" si="10"/>
        <v>-50</v>
      </c>
      <c r="Y4" s="1">
        <f t="shared" si="11"/>
        <v>-54</v>
      </c>
      <c r="Z4" s="1">
        <f t="shared" si="12"/>
        <v>-51</v>
      </c>
      <c r="AA4" s="1">
        <f t="shared" si="13"/>
        <v>-52</v>
      </c>
      <c r="AB4" s="1">
        <f t="shared" si="14"/>
        <v>-77</v>
      </c>
      <c r="AC4" s="4">
        <f t="shared" si="15"/>
        <v>-77</v>
      </c>
      <c r="AE4" s="3">
        <f t="shared" si="16"/>
        <v>-42</v>
      </c>
      <c r="AF4" s="1">
        <f t="shared" si="17"/>
        <v>-42</v>
      </c>
      <c r="AG4" s="1">
        <f t="shared" si="18"/>
        <v>-61</v>
      </c>
      <c r="AH4" s="1">
        <f t="shared" si="19"/>
        <v>-69</v>
      </c>
      <c r="AI4" s="1">
        <f t="shared" si="20"/>
        <v>-65</v>
      </c>
      <c r="AJ4" s="1">
        <f t="shared" si="21"/>
        <v>-67</v>
      </c>
      <c r="AK4" s="1">
        <f t="shared" si="22"/>
        <v>-80</v>
      </c>
      <c r="AL4" s="4">
        <f t="shared" si="23"/>
        <v>-80</v>
      </c>
      <c r="AN4" s="3">
        <f t="shared" si="24"/>
        <v>-47</v>
      </c>
      <c r="AO4" s="1">
        <f t="shared" si="25"/>
        <v>-47</v>
      </c>
      <c r="AP4" s="1">
        <f t="shared" si="26"/>
        <v>-66</v>
      </c>
      <c r="AQ4" s="1">
        <f t="shared" si="27"/>
        <v>-74</v>
      </c>
      <c r="AR4" s="1">
        <f t="shared" si="28"/>
        <v>-70</v>
      </c>
      <c r="AS4" s="1">
        <f t="shared" si="29"/>
        <v>-72</v>
      </c>
      <c r="AT4" s="1">
        <f t="shared" si="30"/>
        <v>-85</v>
      </c>
      <c r="AU4" s="4">
        <f t="shared" si="31"/>
        <v>-85</v>
      </c>
      <c r="AW4" s="3">
        <f t="shared" si="32"/>
        <v>-50</v>
      </c>
      <c r="AX4" s="1">
        <f t="shared" si="33"/>
        <v>-50</v>
      </c>
      <c r="AY4" s="1">
        <f t="shared" si="34"/>
        <v>-69</v>
      </c>
      <c r="AZ4" s="1">
        <f t="shared" si="35"/>
        <v>-77</v>
      </c>
      <c r="BA4" s="1">
        <f t="shared" si="36"/>
        <v>-73</v>
      </c>
      <c r="BB4" s="1">
        <f t="shared" si="37"/>
        <v>-75</v>
      </c>
      <c r="BC4" s="1">
        <f t="shared" si="38"/>
        <v>-88</v>
      </c>
      <c r="BD4" s="4">
        <f t="shared" si="39"/>
        <v>-88</v>
      </c>
      <c r="BF4" s="3">
        <v>-10</v>
      </c>
      <c r="BG4" s="1">
        <v>-10</v>
      </c>
      <c r="BH4" s="1">
        <v>-7</v>
      </c>
      <c r="BI4" s="1">
        <v>-3</v>
      </c>
      <c r="BJ4" s="1">
        <v>-4</v>
      </c>
      <c r="BK4" s="1">
        <v>-3</v>
      </c>
      <c r="BL4" s="1">
        <v>-10</v>
      </c>
      <c r="BM4" s="4">
        <v>-10</v>
      </c>
      <c r="BO4" s="3">
        <v>-12</v>
      </c>
      <c r="BP4" s="1">
        <v>-12</v>
      </c>
      <c r="BQ4" s="1">
        <v>-12</v>
      </c>
      <c r="BR4" s="1">
        <v>-12</v>
      </c>
      <c r="BS4" s="1">
        <v>-12</v>
      </c>
      <c r="BT4" s="1">
        <v>-12</v>
      </c>
      <c r="BU4" s="1">
        <v>-17</v>
      </c>
      <c r="BV4" s="4">
        <v>-17</v>
      </c>
      <c r="BX4" s="3">
        <v>-30</v>
      </c>
      <c r="BY4" s="1">
        <v>-30</v>
      </c>
      <c r="BZ4" s="1">
        <v>-30</v>
      </c>
      <c r="CA4" s="1">
        <v>-30</v>
      </c>
      <c r="CB4" s="1">
        <v>-30</v>
      </c>
      <c r="CC4" s="1">
        <v>-30</v>
      </c>
      <c r="CD4" s="1">
        <v>-30</v>
      </c>
      <c r="CE4" s="4">
        <v>-30</v>
      </c>
      <c r="CG4" s="3">
        <v>-5</v>
      </c>
      <c r="CH4" s="1">
        <v>-5</v>
      </c>
      <c r="CI4" s="1">
        <v>-5</v>
      </c>
      <c r="CJ4" s="1">
        <v>-5</v>
      </c>
      <c r="CK4" s="1">
        <v>-5</v>
      </c>
      <c r="CL4" s="1">
        <v>-5</v>
      </c>
      <c r="CM4" s="1">
        <v>-5</v>
      </c>
      <c r="CN4" s="4">
        <v>-5</v>
      </c>
      <c r="CP4" s="3">
        <v>-8</v>
      </c>
      <c r="CQ4" s="1">
        <v>-8</v>
      </c>
      <c r="CR4" s="1">
        <v>-8</v>
      </c>
      <c r="CS4" s="1">
        <v>-8</v>
      </c>
      <c r="CT4" s="1">
        <v>-8</v>
      </c>
      <c r="CU4" s="1">
        <v>-8</v>
      </c>
      <c r="CV4" s="1">
        <v>-8</v>
      </c>
      <c r="CW4" s="4">
        <v>-8</v>
      </c>
    </row>
    <row r="5" spans="1:101">
      <c r="A5" s="8" t="str">
        <f>VLOOKUP(B5,List!W:X,2,1)</f>
        <v>0.18 - 0.19</v>
      </c>
      <c r="B5" s="8">
        <v>0.18</v>
      </c>
      <c r="C5" s="8" t="s">
        <v>10</v>
      </c>
      <c r="D5" s="3">
        <v>-24</v>
      </c>
      <c r="E5" s="1">
        <v>-24</v>
      </c>
      <c r="F5" s="1">
        <v>-34</v>
      </c>
      <c r="G5" s="1">
        <v>-40</v>
      </c>
      <c r="H5" s="1">
        <v>-36</v>
      </c>
      <c r="I5" s="1">
        <v>-38</v>
      </c>
      <c r="J5" s="1">
        <v>-50</v>
      </c>
      <c r="K5" s="4">
        <v>-50</v>
      </c>
      <c r="M5" s="3">
        <f t="shared" si="0"/>
        <v>-34</v>
      </c>
      <c r="N5" s="1">
        <f t="shared" si="1"/>
        <v>-34</v>
      </c>
      <c r="O5" s="1">
        <f t="shared" si="2"/>
        <v>-39</v>
      </c>
      <c r="P5" s="1">
        <f t="shared" si="3"/>
        <v>-43</v>
      </c>
      <c r="Q5" s="1">
        <f t="shared" si="4"/>
        <v>-39</v>
      </c>
      <c r="R5" s="1">
        <f t="shared" si="5"/>
        <v>-41</v>
      </c>
      <c r="S5" s="1">
        <f t="shared" si="6"/>
        <v>-60</v>
      </c>
      <c r="T5" s="4">
        <f t="shared" si="7"/>
        <v>-60</v>
      </c>
      <c r="V5" s="3">
        <f t="shared" si="8"/>
        <v>-46</v>
      </c>
      <c r="W5" s="1">
        <f t="shared" si="9"/>
        <v>-46</v>
      </c>
      <c r="X5" s="1">
        <f t="shared" si="10"/>
        <v>-51</v>
      </c>
      <c r="Y5" s="1">
        <f t="shared" si="11"/>
        <v>-55</v>
      </c>
      <c r="Z5" s="1">
        <f t="shared" si="12"/>
        <v>-51</v>
      </c>
      <c r="AA5" s="1">
        <f t="shared" si="13"/>
        <v>-53</v>
      </c>
      <c r="AB5" s="1">
        <f t="shared" si="14"/>
        <v>-77</v>
      </c>
      <c r="AC5" s="4">
        <f t="shared" si="15"/>
        <v>-77</v>
      </c>
      <c r="AE5" s="3">
        <f t="shared" si="16"/>
        <v>-54</v>
      </c>
      <c r="AF5" s="1">
        <f t="shared" si="17"/>
        <v>-54</v>
      </c>
      <c r="AG5" s="1">
        <f t="shared" si="18"/>
        <v>-64</v>
      </c>
      <c r="AH5" s="1">
        <f t="shared" si="19"/>
        <v>-70</v>
      </c>
      <c r="AI5" s="1">
        <f t="shared" si="20"/>
        <v>-66</v>
      </c>
      <c r="AJ5" s="1">
        <f t="shared" si="21"/>
        <v>-68</v>
      </c>
      <c r="AK5" s="1">
        <f t="shared" si="22"/>
        <v>-80</v>
      </c>
      <c r="AL5" s="4">
        <f t="shared" si="23"/>
        <v>-80</v>
      </c>
      <c r="AN5" s="3">
        <f t="shared" si="24"/>
        <v>-59</v>
      </c>
      <c r="AO5" s="1">
        <f t="shared" si="25"/>
        <v>-59</v>
      </c>
      <c r="AP5" s="1">
        <f t="shared" si="26"/>
        <v>-69</v>
      </c>
      <c r="AQ5" s="1">
        <f t="shared" si="27"/>
        <v>-75</v>
      </c>
      <c r="AR5" s="1">
        <f t="shared" si="28"/>
        <v>-71</v>
      </c>
      <c r="AS5" s="1">
        <f t="shared" si="29"/>
        <v>-73</v>
      </c>
      <c r="AT5" s="1">
        <f t="shared" si="30"/>
        <v>-85</v>
      </c>
      <c r="AU5" s="4">
        <f t="shared" si="31"/>
        <v>-85</v>
      </c>
      <c r="AW5" s="3">
        <f t="shared" si="32"/>
        <v>-62</v>
      </c>
      <c r="AX5" s="1">
        <f t="shared" si="33"/>
        <v>-62</v>
      </c>
      <c r="AY5" s="1">
        <f t="shared" si="34"/>
        <v>-72</v>
      </c>
      <c r="AZ5" s="1">
        <f t="shared" si="35"/>
        <v>-78</v>
      </c>
      <c r="BA5" s="1">
        <f t="shared" si="36"/>
        <v>-74</v>
      </c>
      <c r="BB5" s="1">
        <f t="shared" si="37"/>
        <v>-76</v>
      </c>
      <c r="BC5" s="1">
        <f t="shared" si="38"/>
        <v>-88</v>
      </c>
      <c r="BD5" s="4">
        <f t="shared" si="39"/>
        <v>-88</v>
      </c>
      <c r="BF5" s="3">
        <v>-10</v>
      </c>
      <c r="BG5" s="1">
        <v>-10</v>
      </c>
      <c r="BH5" s="1">
        <v>-5</v>
      </c>
      <c r="BI5" s="1">
        <v>-3</v>
      </c>
      <c r="BJ5" s="1">
        <v>-3</v>
      </c>
      <c r="BK5" s="1">
        <v>-3</v>
      </c>
      <c r="BL5" s="1">
        <v>-10</v>
      </c>
      <c r="BM5" s="4">
        <v>-10</v>
      </c>
      <c r="BO5" s="3">
        <v>-12</v>
      </c>
      <c r="BP5" s="1">
        <v>-12</v>
      </c>
      <c r="BQ5" s="1">
        <v>-12</v>
      </c>
      <c r="BR5" s="1">
        <v>-12</v>
      </c>
      <c r="BS5" s="1">
        <v>-12</v>
      </c>
      <c r="BT5" s="1">
        <v>-12</v>
      </c>
      <c r="BU5" s="1">
        <v>-17</v>
      </c>
      <c r="BV5" s="4">
        <v>-17</v>
      </c>
      <c r="BX5" s="3">
        <v>-30</v>
      </c>
      <c r="BY5" s="1">
        <v>-30</v>
      </c>
      <c r="BZ5" s="1">
        <v>-30</v>
      </c>
      <c r="CA5" s="1">
        <v>-30</v>
      </c>
      <c r="CB5" s="1">
        <v>-30</v>
      </c>
      <c r="CC5" s="1">
        <v>-30</v>
      </c>
      <c r="CD5" s="1">
        <v>-30</v>
      </c>
      <c r="CE5" s="4">
        <v>-30</v>
      </c>
      <c r="CG5" s="3">
        <v>-5</v>
      </c>
      <c r="CH5" s="1">
        <v>-5</v>
      </c>
      <c r="CI5" s="1">
        <v>-5</v>
      </c>
      <c r="CJ5" s="1">
        <v>-5</v>
      </c>
      <c r="CK5" s="1">
        <v>-5</v>
      </c>
      <c r="CL5" s="1">
        <v>-5</v>
      </c>
      <c r="CM5" s="1">
        <v>-5</v>
      </c>
      <c r="CN5" s="4">
        <v>-5</v>
      </c>
      <c r="CP5" s="3">
        <v>-8</v>
      </c>
      <c r="CQ5" s="1">
        <v>-8</v>
      </c>
      <c r="CR5" s="1">
        <v>-8</v>
      </c>
      <c r="CS5" s="1">
        <v>-8</v>
      </c>
      <c r="CT5" s="1">
        <v>-8</v>
      </c>
      <c r="CU5" s="1">
        <v>-8</v>
      </c>
      <c r="CV5" s="1">
        <v>-8</v>
      </c>
      <c r="CW5" s="4">
        <v>-8</v>
      </c>
    </row>
    <row r="6" spans="1:101">
      <c r="A6" s="8" t="str">
        <f>VLOOKUP(B6,List!W:X,2,1)</f>
        <v>0.18 - 0.19</v>
      </c>
      <c r="B6" s="8">
        <v>0.18</v>
      </c>
      <c r="C6" s="8" t="s">
        <v>11</v>
      </c>
      <c r="D6" s="3">
        <v>-25</v>
      </c>
      <c r="E6" s="1">
        <v>-25</v>
      </c>
      <c r="F6" s="1">
        <v>-29</v>
      </c>
      <c r="G6" s="1">
        <v>-35</v>
      </c>
      <c r="H6" s="1">
        <v>-24</v>
      </c>
      <c r="I6" s="1">
        <v>-23</v>
      </c>
      <c r="J6" s="1">
        <v>-50</v>
      </c>
      <c r="K6" s="4">
        <v>-50</v>
      </c>
      <c r="M6" s="3">
        <f t="shared" si="0"/>
        <v>-29</v>
      </c>
      <c r="N6" s="1">
        <f t="shared" si="1"/>
        <v>-29</v>
      </c>
      <c r="O6" s="1">
        <f t="shared" si="2"/>
        <v>-32</v>
      </c>
      <c r="P6" s="1">
        <f t="shared" si="3"/>
        <v>-38</v>
      </c>
      <c r="Q6" s="1">
        <f t="shared" si="4"/>
        <v>-30</v>
      </c>
      <c r="R6" s="1">
        <f t="shared" si="5"/>
        <v>-26</v>
      </c>
      <c r="S6" s="1">
        <f t="shared" si="6"/>
        <v>-60</v>
      </c>
      <c r="T6" s="4">
        <f t="shared" si="7"/>
        <v>-60</v>
      </c>
      <c r="V6" s="3">
        <f t="shared" si="8"/>
        <v>-41</v>
      </c>
      <c r="W6" s="1">
        <f t="shared" si="9"/>
        <v>-41</v>
      </c>
      <c r="X6" s="1">
        <f t="shared" si="10"/>
        <v>-44</v>
      </c>
      <c r="Y6" s="1">
        <f t="shared" si="11"/>
        <v>-50</v>
      </c>
      <c r="Z6" s="1">
        <f t="shared" si="12"/>
        <v>-42</v>
      </c>
      <c r="AA6" s="1">
        <f t="shared" si="13"/>
        <v>-38</v>
      </c>
      <c r="AB6" s="1">
        <f t="shared" si="14"/>
        <v>-77</v>
      </c>
      <c r="AC6" s="4">
        <f t="shared" si="15"/>
        <v>-77</v>
      </c>
      <c r="AE6" s="3">
        <f t="shared" si="16"/>
        <v>-55</v>
      </c>
      <c r="AF6" s="1">
        <f t="shared" si="17"/>
        <v>-55</v>
      </c>
      <c r="AG6" s="1">
        <f t="shared" si="18"/>
        <v>-59</v>
      </c>
      <c r="AH6" s="1">
        <f t="shared" si="19"/>
        <v>-65</v>
      </c>
      <c r="AI6" s="1">
        <f t="shared" si="20"/>
        <v>-54</v>
      </c>
      <c r="AJ6" s="1">
        <f t="shared" si="21"/>
        <v>-53</v>
      </c>
      <c r="AK6" s="1">
        <f t="shared" si="22"/>
        <v>-80</v>
      </c>
      <c r="AL6" s="4">
        <f t="shared" si="23"/>
        <v>-80</v>
      </c>
      <c r="AN6" s="3">
        <f t="shared" si="24"/>
        <v>-60</v>
      </c>
      <c r="AO6" s="1">
        <f t="shared" si="25"/>
        <v>-60</v>
      </c>
      <c r="AP6" s="1">
        <f t="shared" si="26"/>
        <v>-64</v>
      </c>
      <c r="AQ6" s="1">
        <f t="shared" si="27"/>
        <v>-70</v>
      </c>
      <c r="AR6" s="1">
        <f t="shared" si="28"/>
        <v>-59</v>
      </c>
      <c r="AS6" s="1">
        <f t="shared" si="29"/>
        <v>-58</v>
      </c>
      <c r="AT6" s="1">
        <f t="shared" si="30"/>
        <v>-85</v>
      </c>
      <c r="AU6" s="4">
        <f t="shared" si="31"/>
        <v>-85</v>
      </c>
      <c r="AW6" s="3">
        <f t="shared" si="32"/>
        <v>-63</v>
      </c>
      <c r="AX6" s="1">
        <f t="shared" si="33"/>
        <v>-63</v>
      </c>
      <c r="AY6" s="1">
        <f t="shared" si="34"/>
        <v>-67</v>
      </c>
      <c r="AZ6" s="1">
        <f t="shared" si="35"/>
        <v>-73</v>
      </c>
      <c r="BA6" s="1">
        <f t="shared" si="36"/>
        <v>-62</v>
      </c>
      <c r="BB6" s="1">
        <f t="shared" si="37"/>
        <v>-61</v>
      </c>
      <c r="BC6" s="1">
        <f t="shared" si="38"/>
        <v>-88</v>
      </c>
      <c r="BD6" s="4">
        <f t="shared" si="39"/>
        <v>-88</v>
      </c>
      <c r="BF6" s="3">
        <v>-4</v>
      </c>
      <c r="BG6" s="1">
        <v>-4</v>
      </c>
      <c r="BH6" s="1">
        <v>-3</v>
      </c>
      <c r="BI6" s="1">
        <v>-3</v>
      </c>
      <c r="BJ6" s="1">
        <v>-6</v>
      </c>
      <c r="BK6" s="1">
        <v>-3</v>
      </c>
      <c r="BL6" s="1">
        <v>-10</v>
      </c>
      <c r="BM6" s="4">
        <v>-10</v>
      </c>
      <c r="BO6" s="3">
        <v>-12</v>
      </c>
      <c r="BP6" s="1">
        <v>-12</v>
      </c>
      <c r="BQ6" s="1">
        <v>-12</v>
      </c>
      <c r="BR6" s="1">
        <v>-12</v>
      </c>
      <c r="BS6" s="1">
        <v>-12</v>
      </c>
      <c r="BT6" s="1">
        <v>-12</v>
      </c>
      <c r="BU6" s="1">
        <v>-17</v>
      </c>
      <c r="BV6" s="4">
        <v>-17</v>
      </c>
      <c r="BX6" s="3">
        <v>-30</v>
      </c>
      <c r="BY6" s="1">
        <v>-30</v>
      </c>
      <c r="BZ6" s="1">
        <v>-30</v>
      </c>
      <c r="CA6" s="1">
        <v>-30</v>
      </c>
      <c r="CB6" s="1">
        <v>-30</v>
      </c>
      <c r="CC6" s="1">
        <v>-30</v>
      </c>
      <c r="CD6" s="1">
        <v>-30</v>
      </c>
      <c r="CE6" s="4">
        <v>-30</v>
      </c>
      <c r="CG6" s="3">
        <v>-5</v>
      </c>
      <c r="CH6" s="1">
        <v>-5</v>
      </c>
      <c r="CI6" s="1">
        <v>-5</v>
      </c>
      <c r="CJ6" s="1">
        <v>-5</v>
      </c>
      <c r="CK6" s="1">
        <v>-5</v>
      </c>
      <c r="CL6" s="1">
        <v>-5</v>
      </c>
      <c r="CM6" s="1">
        <v>-5</v>
      </c>
      <c r="CN6" s="4">
        <v>-5</v>
      </c>
      <c r="CP6" s="3">
        <v>-8</v>
      </c>
      <c r="CQ6" s="1">
        <v>-8</v>
      </c>
      <c r="CR6" s="1">
        <v>-8</v>
      </c>
      <c r="CS6" s="1">
        <v>-8</v>
      </c>
      <c r="CT6" s="1">
        <v>-8</v>
      </c>
      <c r="CU6" s="1">
        <v>-8</v>
      </c>
      <c r="CV6" s="1">
        <v>-8</v>
      </c>
      <c r="CW6" s="4">
        <v>-8</v>
      </c>
    </row>
    <row r="7" spans="1:101">
      <c r="A7" s="8" t="str">
        <f>VLOOKUP(B7,List!W:X,2,1)</f>
        <v>0.18 - 0.19</v>
      </c>
      <c r="B7" s="8">
        <v>0.18</v>
      </c>
      <c r="C7" s="8" t="s">
        <v>12</v>
      </c>
      <c r="D7" s="3">
        <v>-27</v>
      </c>
      <c r="E7" s="1">
        <v>-27</v>
      </c>
      <c r="F7" s="1">
        <v>-34</v>
      </c>
      <c r="G7" s="1">
        <v>-35</v>
      </c>
      <c r="H7" s="1">
        <v>-23</v>
      </c>
      <c r="I7" s="1">
        <v>-24</v>
      </c>
      <c r="J7" s="1">
        <v>-50</v>
      </c>
      <c r="K7" s="4">
        <v>-65</v>
      </c>
      <c r="M7" s="3">
        <f t="shared" si="0"/>
        <v>-33</v>
      </c>
      <c r="N7" s="1">
        <f t="shared" si="1"/>
        <v>-33</v>
      </c>
      <c r="O7" s="1">
        <f t="shared" si="2"/>
        <v>-38</v>
      </c>
      <c r="P7" s="1">
        <f t="shared" si="3"/>
        <v>-38</v>
      </c>
      <c r="Q7" s="1">
        <f t="shared" si="4"/>
        <v>-29</v>
      </c>
      <c r="R7" s="1">
        <f t="shared" si="5"/>
        <v>-28</v>
      </c>
      <c r="S7" s="1">
        <f t="shared" si="6"/>
        <v>-60</v>
      </c>
      <c r="T7" s="4">
        <f t="shared" si="7"/>
        <v>-75</v>
      </c>
      <c r="V7" s="3">
        <f t="shared" si="8"/>
        <v>-45</v>
      </c>
      <c r="W7" s="1">
        <f t="shared" si="9"/>
        <v>-45</v>
      </c>
      <c r="X7" s="1">
        <f t="shared" si="10"/>
        <v>-50</v>
      </c>
      <c r="Y7" s="1">
        <f t="shared" si="11"/>
        <v>-50</v>
      </c>
      <c r="Z7" s="1">
        <f t="shared" si="12"/>
        <v>-41</v>
      </c>
      <c r="AA7" s="1">
        <f t="shared" si="13"/>
        <v>-40</v>
      </c>
      <c r="AB7" s="1">
        <f t="shared" si="14"/>
        <v>-77</v>
      </c>
      <c r="AC7" s="4">
        <f t="shared" si="15"/>
        <v>-92</v>
      </c>
      <c r="AE7" s="3">
        <f t="shared" si="16"/>
        <v>-57</v>
      </c>
      <c r="AF7" s="1">
        <f t="shared" si="17"/>
        <v>-57</v>
      </c>
      <c r="AG7" s="1">
        <f t="shared" si="18"/>
        <v>-64</v>
      </c>
      <c r="AH7" s="1">
        <f t="shared" si="19"/>
        <v>-65</v>
      </c>
      <c r="AI7" s="1">
        <f t="shared" si="20"/>
        <v>-53</v>
      </c>
      <c r="AJ7" s="1">
        <f t="shared" si="21"/>
        <v>-54</v>
      </c>
      <c r="AK7" s="1">
        <f t="shared" si="22"/>
        <v>-80</v>
      </c>
      <c r="AL7" s="4">
        <f t="shared" si="23"/>
        <v>-95</v>
      </c>
      <c r="AN7" s="3">
        <f t="shared" si="24"/>
        <v>-62</v>
      </c>
      <c r="AO7" s="1">
        <f t="shared" si="25"/>
        <v>-62</v>
      </c>
      <c r="AP7" s="1">
        <f t="shared" si="26"/>
        <v>-69</v>
      </c>
      <c r="AQ7" s="1">
        <f t="shared" si="27"/>
        <v>-70</v>
      </c>
      <c r="AR7" s="1">
        <f t="shared" si="28"/>
        <v>-58</v>
      </c>
      <c r="AS7" s="1">
        <f t="shared" si="29"/>
        <v>-59</v>
      </c>
      <c r="AT7" s="1">
        <f t="shared" si="30"/>
        <v>-85</v>
      </c>
      <c r="AU7" s="4">
        <f t="shared" si="31"/>
        <v>-100</v>
      </c>
      <c r="AW7" s="3">
        <f t="shared" si="32"/>
        <v>-65</v>
      </c>
      <c r="AX7" s="1">
        <f t="shared" si="33"/>
        <v>-65</v>
      </c>
      <c r="AY7" s="1">
        <f t="shared" si="34"/>
        <v>-72</v>
      </c>
      <c r="AZ7" s="1">
        <f t="shared" si="35"/>
        <v>-73</v>
      </c>
      <c r="BA7" s="1">
        <f t="shared" si="36"/>
        <v>-61</v>
      </c>
      <c r="BB7" s="1">
        <f t="shared" si="37"/>
        <v>-62</v>
      </c>
      <c r="BC7" s="1">
        <f t="shared" si="38"/>
        <v>-88</v>
      </c>
      <c r="BD7" s="4">
        <f t="shared" si="39"/>
        <v>-103</v>
      </c>
      <c r="BF7" s="3">
        <v>-6</v>
      </c>
      <c r="BG7" s="1">
        <v>-6</v>
      </c>
      <c r="BH7" s="1">
        <v>-4</v>
      </c>
      <c r="BI7" s="1">
        <v>-3</v>
      </c>
      <c r="BJ7" s="1">
        <v>-6</v>
      </c>
      <c r="BK7" s="1">
        <v>-4</v>
      </c>
      <c r="BL7" s="1">
        <v>-10</v>
      </c>
      <c r="BM7" s="4">
        <v>-10</v>
      </c>
      <c r="BO7" s="3">
        <v>-12</v>
      </c>
      <c r="BP7" s="1">
        <v>-12</v>
      </c>
      <c r="BQ7" s="1">
        <v>-12</v>
      </c>
      <c r="BR7" s="1">
        <v>-12</v>
      </c>
      <c r="BS7" s="1">
        <v>-12</v>
      </c>
      <c r="BT7" s="1">
        <v>-12</v>
      </c>
      <c r="BU7" s="1">
        <v>-17</v>
      </c>
      <c r="BV7" s="4">
        <v>-17</v>
      </c>
      <c r="BX7" s="3">
        <v>-30</v>
      </c>
      <c r="BY7" s="1">
        <v>-30</v>
      </c>
      <c r="BZ7" s="1">
        <v>-30</v>
      </c>
      <c r="CA7" s="1">
        <v>-30</v>
      </c>
      <c r="CB7" s="1">
        <v>-30</v>
      </c>
      <c r="CC7" s="1">
        <v>-30</v>
      </c>
      <c r="CD7" s="1">
        <v>-30</v>
      </c>
      <c r="CE7" s="4">
        <v>-30</v>
      </c>
      <c r="CG7" s="3">
        <v>-5</v>
      </c>
      <c r="CH7" s="1">
        <v>-5</v>
      </c>
      <c r="CI7" s="1">
        <v>-5</v>
      </c>
      <c r="CJ7" s="1">
        <v>-5</v>
      </c>
      <c r="CK7" s="1">
        <v>-5</v>
      </c>
      <c r="CL7" s="1">
        <v>-5</v>
      </c>
      <c r="CM7" s="1">
        <v>-5</v>
      </c>
      <c r="CN7" s="4">
        <v>-5</v>
      </c>
      <c r="CP7" s="3">
        <v>-8</v>
      </c>
      <c r="CQ7" s="1">
        <v>-8</v>
      </c>
      <c r="CR7" s="1">
        <v>-8</v>
      </c>
      <c r="CS7" s="1">
        <v>-8</v>
      </c>
      <c r="CT7" s="1">
        <v>-8</v>
      </c>
      <c r="CU7" s="1">
        <v>-8</v>
      </c>
      <c r="CV7" s="1">
        <v>-8</v>
      </c>
      <c r="CW7" s="4">
        <v>-8</v>
      </c>
    </row>
    <row r="8" spans="1:101">
      <c r="A8" s="8" t="str">
        <f>VLOOKUP(B8,List!W:X,2,1)</f>
        <v>0.18 - 0.19</v>
      </c>
      <c r="B8" s="8">
        <v>0.18</v>
      </c>
      <c r="C8" s="8" t="s">
        <v>13</v>
      </c>
      <c r="D8" s="3">
        <v>-60</v>
      </c>
      <c r="E8" s="1">
        <v>-60</v>
      </c>
      <c r="F8" s="1">
        <v>-60</v>
      </c>
      <c r="G8" s="1">
        <v>-60</v>
      </c>
      <c r="H8" s="1">
        <v>-60</v>
      </c>
      <c r="I8" s="1">
        <v>-60</v>
      </c>
      <c r="J8" s="1">
        <v>-60</v>
      </c>
      <c r="K8" s="4">
        <v>-60</v>
      </c>
      <c r="M8" s="3">
        <f t="shared" si="0"/>
        <v>-68</v>
      </c>
      <c r="N8" s="1">
        <f t="shared" si="1"/>
        <v>-68</v>
      </c>
      <c r="O8" s="1">
        <f t="shared" si="2"/>
        <v>-68</v>
      </c>
      <c r="P8" s="1">
        <f t="shared" si="3"/>
        <v>-68</v>
      </c>
      <c r="Q8" s="1">
        <f t="shared" si="4"/>
        <v>-68</v>
      </c>
      <c r="R8" s="1">
        <f t="shared" si="5"/>
        <v>-68</v>
      </c>
      <c r="S8" s="1">
        <f t="shared" si="6"/>
        <v>-70</v>
      </c>
      <c r="T8" s="4">
        <f t="shared" si="7"/>
        <v>-70</v>
      </c>
      <c r="V8" s="3">
        <f t="shared" si="8"/>
        <v>-80</v>
      </c>
      <c r="W8" s="1">
        <f t="shared" si="9"/>
        <v>-80</v>
      </c>
      <c r="X8" s="1">
        <f t="shared" si="10"/>
        <v>-80</v>
      </c>
      <c r="Y8" s="1">
        <f t="shared" si="11"/>
        <v>-80</v>
      </c>
      <c r="Z8" s="1">
        <f t="shared" si="12"/>
        <v>-80</v>
      </c>
      <c r="AA8" s="1">
        <f t="shared" si="13"/>
        <v>-80</v>
      </c>
      <c r="AB8" s="1">
        <f t="shared" si="14"/>
        <v>-87</v>
      </c>
      <c r="AC8" s="4">
        <f t="shared" si="15"/>
        <v>-87</v>
      </c>
      <c r="AE8" s="3">
        <f t="shared" si="16"/>
        <v>-90</v>
      </c>
      <c r="AF8" s="1">
        <f t="shared" si="17"/>
        <v>-90</v>
      </c>
      <c r="AG8" s="1">
        <f t="shared" si="18"/>
        <v>-90</v>
      </c>
      <c r="AH8" s="1">
        <f t="shared" si="19"/>
        <v>-90</v>
      </c>
      <c r="AI8" s="1">
        <f t="shared" si="20"/>
        <v>-90</v>
      </c>
      <c r="AJ8" s="1">
        <f t="shared" si="21"/>
        <v>-90</v>
      </c>
      <c r="AK8" s="1">
        <f t="shared" si="22"/>
        <v>-90</v>
      </c>
      <c r="AL8" s="4">
        <f t="shared" si="23"/>
        <v>-90</v>
      </c>
      <c r="AN8" s="3">
        <f t="shared" si="24"/>
        <v>-95</v>
      </c>
      <c r="AO8" s="1">
        <f t="shared" si="25"/>
        <v>-95</v>
      </c>
      <c r="AP8" s="1">
        <f t="shared" si="26"/>
        <v>-95</v>
      </c>
      <c r="AQ8" s="1">
        <f t="shared" si="27"/>
        <v>-95</v>
      </c>
      <c r="AR8" s="1">
        <f t="shared" si="28"/>
        <v>-95</v>
      </c>
      <c r="AS8" s="1">
        <f t="shared" si="29"/>
        <v>-95</v>
      </c>
      <c r="AT8" s="1">
        <f t="shared" si="30"/>
        <v>-95</v>
      </c>
      <c r="AU8" s="4">
        <f t="shared" si="31"/>
        <v>-95</v>
      </c>
      <c r="AW8" s="3">
        <f t="shared" si="32"/>
        <v>-98</v>
      </c>
      <c r="AX8" s="1">
        <f t="shared" si="33"/>
        <v>-98</v>
      </c>
      <c r="AY8" s="1">
        <f t="shared" si="34"/>
        <v>-98</v>
      </c>
      <c r="AZ8" s="1">
        <f t="shared" si="35"/>
        <v>-98</v>
      </c>
      <c r="BA8" s="1">
        <f t="shared" si="36"/>
        <v>-98</v>
      </c>
      <c r="BB8" s="1">
        <f t="shared" si="37"/>
        <v>-98</v>
      </c>
      <c r="BC8" s="1">
        <f t="shared" si="38"/>
        <v>-98</v>
      </c>
      <c r="BD8" s="4">
        <f t="shared" si="39"/>
        <v>-98</v>
      </c>
      <c r="BF8" s="3">
        <v>-8</v>
      </c>
      <c r="BG8" s="1">
        <v>-8</v>
      </c>
      <c r="BH8" s="1">
        <v>-8</v>
      </c>
      <c r="BI8" s="1">
        <v>-8</v>
      </c>
      <c r="BJ8" s="1">
        <v>-8</v>
      </c>
      <c r="BK8" s="1">
        <v>-8</v>
      </c>
      <c r="BL8" s="1">
        <v>-10</v>
      </c>
      <c r="BM8" s="4">
        <v>-10</v>
      </c>
      <c r="BO8" s="3">
        <v>-12</v>
      </c>
      <c r="BP8" s="1">
        <v>-12</v>
      </c>
      <c r="BQ8" s="1">
        <v>-12</v>
      </c>
      <c r="BR8" s="1">
        <v>-12</v>
      </c>
      <c r="BS8" s="1">
        <v>-12</v>
      </c>
      <c r="BT8" s="1">
        <v>-12</v>
      </c>
      <c r="BU8" s="1">
        <v>-17</v>
      </c>
      <c r="BV8" s="4">
        <v>-17</v>
      </c>
      <c r="BX8" s="3">
        <v>-30</v>
      </c>
      <c r="BY8" s="1">
        <v>-30</v>
      </c>
      <c r="BZ8" s="1">
        <v>-30</v>
      </c>
      <c r="CA8" s="1">
        <v>-30</v>
      </c>
      <c r="CB8" s="1">
        <v>-30</v>
      </c>
      <c r="CC8" s="1">
        <v>-30</v>
      </c>
      <c r="CD8" s="1">
        <v>-30</v>
      </c>
      <c r="CE8" s="4">
        <v>-30</v>
      </c>
      <c r="CG8" s="3">
        <v>-5</v>
      </c>
      <c r="CH8" s="1">
        <v>-5</v>
      </c>
      <c r="CI8" s="1">
        <v>-5</v>
      </c>
      <c r="CJ8" s="1">
        <v>-5</v>
      </c>
      <c r="CK8" s="1">
        <v>-5</v>
      </c>
      <c r="CL8" s="1">
        <v>-5</v>
      </c>
      <c r="CM8" s="1">
        <v>-5</v>
      </c>
      <c r="CN8" s="4">
        <v>-5</v>
      </c>
      <c r="CP8" s="3">
        <v>-8</v>
      </c>
      <c r="CQ8" s="1">
        <v>-8</v>
      </c>
      <c r="CR8" s="1">
        <v>-8</v>
      </c>
      <c r="CS8" s="1">
        <v>-8</v>
      </c>
      <c r="CT8" s="1">
        <v>-8</v>
      </c>
      <c r="CU8" s="1">
        <v>-8</v>
      </c>
      <c r="CV8" s="1">
        <v>-8</v>
      </c>
      <c r="CW8" s="4">
        <v>-8</v>
      </c>
    </row>
    <row r="9" spans="1:101">
      <c r="A9" s="8" t="str">
        <f>VLOOKUP(B9,List!W:X,2,1)</f>
        <v>0.18 - 0.19</v>
      </c>
      <c r="B9" s="8">
        <v>0.18</v>
      </c>
      <c r="C9" s="8" t="s">
        <v>14</v>
      </c>
      <c r="D9" s="3">
        <v>-60</v>
      </c>
      <c r="E9" s="1">
        <v>-60</v>
      </c>
      <c r="F9" s="1">
        <v>-60</v>
      </c>
      <c r="G9" s="1">
        <v>-60</v>
      </c>
      <c r="H9" s="1">
        <v>-60</v>
      </c>
      <c r="I9" s="1">
        <v>-60</v>
      </c>
      <c r="J9" s="1">
        <v>-60</v>
      </c>
      <c r="K9" s="4">
        <v>-60</v>
      </c>
      <c r="M9" s="3">
        <f t="shared" si="0"/>
        <v>-68</v>
      </c>
      <c r="N9" s="1">
        <f t="shared" si="1"/>
        <v>-68</v>
      </c>
      <c r="O9" s="1">
        <f t="shared" si="2"/>
        <v>-68</v>
      </c>
      <c r="P9" s="1">
        <f t="shared" si="3"/>
        <v>-68</v>
      </c>
      <c r="Q9" s="1">
        <f t="shared" si="4"/>
        <v>-68</v>
      </c>
      <c r="R9" s="1">
        <f t="shared" si="5"/>
        <v>-68</v>
      </c>
      <c r="S9" s="1">
        <f t="shared" si="6"/>
        <v>-68</v>
      </c>
      <c r="T9" s="4">
        <f t="shared" si="7"/>
        <v>-68</v>
      </c>
      <c r="V9" s="3">
        <f t="shared" si="8"/>
        <v>-80</v>
      </c>
      <c r="W9" s="1">
        <f t="shared" si="9"/>
        <v>-80</v>
      </c>
      <c r="X9" s="1">
        <f t="shared" si="10"/>
        <v>-80</v>
      </c>
      <c r="Y9" s="1">
        <f t="shared" si="11"/>
        <v>-80</v>
      </c>
      <c r="Z9" s="1">
        <f t="shared" si="12"/>
        <v>-80</v>
      </c>
      <c r="AA9" s="1">
        <f t="shared" si="13"/>
        <v>-80</v>
      </c>
      <c r="AB9" s="1">
        <f t="shared" si="14"/>
        <v>-80</v>
      </c>
      <c r="AC9" s="4">
        <f t="shared" si="15"/>
        <v>-80</v>
      </c>
      <c r="AE9" s="3" t="str">
        <f t="shared" si="16"/>
        <v/>
      </c>
      <c r="AF9" s="1" t="str">
        <f t="shared" si="17"/>
        <v/>
      </c>
      <c r="AG9" s="1" t="str">
        <f t="shared" si="18"/>
        <v/>
      </c>
      <c r="AH9" s="1" t="str">
        <f t="shared" si="19"/>
        <v/>
      </c>
      <c r="AI9" s="1" t="str">
        <f t="shared" si="20"/>
        <v/>
      </c>
      <c r="AJ9" s="1" t="str">
        <f t="shared" si="21"/>
        <v/>
      </c>
      <c r="AK9" s="1" t="str">
        <f t="shared" si="22"/>
        <v/>
      </c>
      <c r="AL9" s="4" t="str">
        <f t="shared" si="23"/>
        <v/>
      </c>
      <c r="AN9" s="3" t="str">
        <f t="shared" si="24"/>
        <v/>
      </c>
      <c r="AO9" s="1" t="str">
        <f t="shared" si="25"/>
        <v/>
      </c>
      <c r="AP9" s="1" t="str">
        <f t="shared" si="26"/>
        <v/>
      </c>
      <c r="AQ9" s="1" t="str">
        <f t="shared" si="27"/>
        <v/>
      </c>
      <c r="AR9" s="1" t="str">
        <f t="shared" si="28"/>
        <v/>
      </c>
      <c r="AS9" s="1" t="str">
        <f t="shared" si="29"/>
        <v/>
      </c>
      <c r="AT9" s="1" t="str">
        <f t="shared" si="30"/>
        <v/>
      </c>
      <c r="AU9" s="4" t="str">
        <f t="shared" si="31"/>
        <v/>
      </c>
      <c r="AW9" s="3" t="str">
        <f t="shared" si="32"/>
        <v/>
      </c>
      <c r="AX9" s="1" t="str">
        <f t="shared" si="33"/>
        <v/>
      </c>
      <c r="AY9" s="1" t="str">
        <f t="shared" si="34"/>
        <v/>
      </c>
      <c r="AZ9" s="1" t="str">
        <f t="shared" si="35"/>
        <v/>
      </c>
      <c r="BA9" s="1" t="str">
        <f t="shared" si="36"/>
        <v/>
      </c>
      <c r="BB9" s="1" t="str">
        <f t="shared" si="37"/>
        <v/>
      </c>
      <c r="BC9" s="1" t="str">
        <f t="shared" si="38"/>
        <v/>
      </c>
      <c r="BD9" s="4" t="str">
        <f t="shared" si="39"/>
        <v/>
      </c>
      <c r="BF9" s="3">
        <v>-8</v>
      </c>
      <c r="BG9" s="1">
        <v>-8</v>
      </c>
      <c r="BH9" s="1">
        <v>-8</v>
      </c>
      <c r="BI9" s="1">
        <v>-8</v>
      </c>
      <c r="BJ9" s="1">
        <v>-8</v>
      </c>
      <c r="BK9" s="1">
        <v>-8</v>
      </c>
      <c r="BL9" s="1">
        <v>-8</v>
      </c>
      <c r="BM9" s="4">
        <v>-8</v>
      </c>
      <c r="BO9" s="3">
        <v>-12</v>
      </c>
      <c r="BP9" s="1">
        <v>-12</v>
      </c>
      <c r="BQ9" s="1">
        <v>-12</v>
      </c>
      <c r="BR9" s="1">
        <v>-12</v>
      </c>
      <c r="BS9" s="1">
        <v>-12</v>
      </c>
      <c r="BT9" s="1">
        <v>-12</v>
      </c>
      <c r="BU9" s="1">
        <v>-12</v>
      </c>
      <c r="BV9" s="4">
        <v>-12</v>
      </c>
      <c r="BX9" s="3" t="s">
        <v>22</v>
      </c>
      <c r="BY9" s="1" t="s">
        <v>22</v>
      </c>
      <c r="BZ9" s="1" t="s">
        <v>22</v>
      </c>
      <c r="CA9" s="1" t="s">
        <v>22</v>
      </c>
      <c r="CB9" s="1" t="s">
        <v>22</v>
      </c>
      <c r="CC9" s="1" t="s">
        <v>22</v>
      </c>
      <c r="CD9" s="1" t="s">
        <v>22</v>
      </c>
      <c r="CE9" s="4" t="s">
        <v>22</v>
      </c>
      <c r="CG9" s="3" t="s">
        <v>22</v>
      </c>
      <c r="CH9" s="1" t="s">
        <v>22</v>
      </c>
      <c r="CI9" s="1" t="s">
        <v>22</v>
      </c>
      <c r="CJ9" s="1" t="s">
        <v>22</v>
      </c>
      <c r="CK9" s="1" t="s">
        <v>22</v>
      </c>
      <c r="CL9" s="1" t="s">
        <v>22</v>
      </c>
      <c r="CM9" s="1" t="s">
        <v>22</v>
      </c>
      <c r="CN9" s="4" t="s">
        <v>22</v>
      </c>
      <c r="CP9" s="3" t="s">
        <v>22</v>
      </c>
      <c r="CQ9" s="1" t="s">
        <v>22</v>
      </c>
      <c r="CR9" s="1" t="s">
        <v>22</v>
      </c>
      <c r="CS9" s="1" t="s">
        <v>22</v>
      </c>
      <c r="CT9" s="1" t="s">
        <v>22</v>
      </c>
      <c r="CU9" s="1" t="s">
        <v>22</v>
      </c>
      <c r="CV9" s="1" t="s">
        <v>22</v>
      </c>
      <c r="CW9" s="4" t="s">
        <v>22</v>
      </c>
    </row>
    <row r="10" spans="1:101">
      <c r="A10" s="8" t="str">
        <f>VLOOKUP(B10,List!W:X,2,1)</f>
        <v>0.18 - 0.19</v>
      </c>
      <c r="B10" s="8">
        <v>0.18</v>
      </c>
      <c r="C10" s="8" t="s">
        <v>15</v>
      </c>
      <c r="D10" s="3">
        <v>-40</v>
      </c>
      <c r="E10" s="1">
        <v>-40</v>
      </c>
      <c r="F10" s="1">
        <v>-40</v>
      </c>
      <c r="G10" s="1">
        <v>-40</v>
      </c>
      <c r="H10" s="1">
        <v>-40</v>
      </c>
      <c r="I10" s="1">
        <v>-40</v>
      </c>
      <c r="J10" s="1">
        <v>-40</v>
      </c>
      <c r="K10" s="4">
        <v>-40</v>
      </c>
      <c r="M10" s="3">
        <f t="shared" si="0"/>
        <v>-48</v>
      </c>
      <c r="N10" s="1">
        <f t="shared" si="1"/>
        <v>-48</v>
      </c>
      <c r="O10" s="1">
        <f t="shared" si="2"/>
        <v>-48</v>
      </c>
      <c r="P10" s="1">
        <f t="shared" si="3"/>
        <v>-48</v>
      </c>
      <c r="Q10" s="1">
        <f t="shared" si="4"/>
        <v>-48</v>
      </c>
      <c r="R10" s="1">
        <f t="shared" si="5"/>
        <v>-48</v>
      </c>
      <c r="S10" s="1">
        <f t="shared" si="6"/>
        <v>-48</v>
      </c>
      <c r="T10" s="4">
        <f t="shared" si="7"/>
        <v>-48</v>
      </c>
      <c r="V10" s="3">
        <f t="shared" si="8"/>
        <v>-60</v>
      </c>
      <c r="W10" s="1">
        <f t="shared" si="9"/>
        <v>-60</v>
      </c>
      <c r="X10" s="1">
        <f t="shared" si="10"/>
        <v>-60</v>
      </c>
      <c r="Y10" s="1">
        <f t="shared" si="11"/>
        <v>-60</v>
      </c>
      <c r="Z10" s="1">
        <f t="shared" si="12"/>
        <v>-60</v>
      </c>
      <c r="AA10" s="1">
        <f t="shared" si="13"/>
        <v>-60</v>
      </c>
      <c r="AB10" s="1">
        <f t="shared" si="14"/>
        <v>-60</v>
      </c>
      <c r="AC10" s="4">
        <f t="shared" si="15"/>
        <v>-60</v>
      </c>
      <c r="AE10" s="3" t="str">
        <f t="shared" si="16"/>
        <v/>
      </c>
      <c r="AF10" s="1" t="str">
        <f t="shared" si="17"/>
        <v/>
      </c>
      <c r="AG10" s="1" t="str">
        <f t="shared" si="18"/>
        <v/>
      </c>
      <c r="AH10" s="1" t="str">
        <f t="shared" si="19"/>
        <v/>
      </c>
      <c r="AI10" s="1" t="str">
        <f t="shared" si="20"/>
        <v/>
      </c>
      <c r="AJ10" s="1" t="str">
        <f t="shared" si="21"/>
        <v/>
      </c>
      <c r="AK10" s="1" t="str">
        <f t="shared" si="22"/>
        <v/>
      </c>
      <c r="AL10" s="4" t="str">
        <f t="shared" si="23"/>
        <v/>
      </c>
      <c r="AN10" s="3" t="str">
        <f t="shared" si="24"/>
        <v/>
      </c>
      <c r="AO10" s="1" t="str">
        <f t="shared" si="25"/>
        <v/>
      </c>
      <c r="AP10" s="1" t="str">
        <f t="shared" si="26"/>
        <v/>
      </c>
      <c r="AQ10" s="1" t="str">
        <f t="shared" si="27"/>
        <v/>
      </c>
      <c r="AR10" s="1" t="str">
        <f t="shared" si="28"/>
        <v/>
      </c>
      <c r="AS10" s="1" t="str">
        <f t="shared" si="29"/>
        <v/>
      </c>
      <c r="AT10" s="1" t="str">
        <f t="shared" si="30"/>
        <v/>
      </c>
      <c r="AU10" s="4" t="str">
        <f t="shared" si="31"/>
        <v/>
      </c>
      <c r="AW10" s="3" t="str">
        <f t="shared" si="32"/>
        <v/>
      </c>
      <c r="AX10" s="1" t="str">
        <f t="shared" si="33"/>
        <v/>
      </c>
      <c r="AY10" s="1" t="str">
        <f t="shared" si="34"/>
        <v/>
      </c>
      <c r="AZ10" s="1" t="str">
        <f t="shared" si="35"/>
        <v/>
      </c>
      <c r="BA10" s="1" t="str">
        <f t="shared" si="36"/>
        <v/>
      </c>
      <c r="BB10" s="1" t="str">
        <f t="shared" si="37"/>
        <v/>
      </c>
      <c r="BC10" s="1" t="str">
        <f t="shared" si="38"/>
        <v/>
      </c>
      <c r="BD10" s="4" t="str">
        <f t="shared" si="39"/>
        <v/>
      </c>
      <c r="BF10" s="3">
        <v>-8</v>
      </c>
      <c r="BG10" s="1">
        <v>-8</v>
      </c>
      <c r="BH10" s="1">
        <v>-8</v>
      </c>
      <c r="BI10" s="1">
        <v>-8</v>
      </c>
      <c r="BJ10" s="1">
        <v>-8</v>
      </c>
      <c r="BK10" s="1">
        <v>-8</v>
      </c>
      <c r="BL10" s="1">
        <v>-8</v>
      </c>
      <c r="BM10" s="4">
        <v>-8</v>
      </c>
      <c r="BO10" s="3">
        <v>-12</v>
      </c>
      <c r="BP10" s="1">
        <v>-12</v>
      </c>
      <c r="BQ10" s="1">
        <v>-12</v>
      </c>
      <c r="BR10" s="1">
        <v>-12</v>
      </c>
      <c r="BS10" s="1">
        <v>-12</v>
      </c>
      <c r="BT10" s="1">
        <v>-12</v>
      </c>
      <c r="BU10" s="1">
        <v>-12</v>
      </c>
      <c r="BV10" s="4">
        <v>-12</v>
      </c>
      <c r="BX10" s="3" t="s">
        <v>22</v>
      </c>
      <c r="BY10" s="1" t="s">
        <v>22</v>
      </c>
      <c r="BZ10" s="1" t="s">
        <v>22</v>
      </c>
      <c r="CA10" s="1" t="s">
        <v>22</v>
      </c>
      <c r="CB10" s="1" t="s">
        <v>22</v>
      </c>
      <c r="CC10" s="1" t="s">
        <v>22</v>
      </c>
      <c r="CD10" s="1" t="s">
        <v>22</v>
      </c>
      <c r="CE10" s="4" t="s">
        <v>22</v>
      </c>
      <c r="CG10" s="3" t="s">
        <v>22</v>
      </c>
      <c r="CH10" s="1" t="s">
        <v>22</v>
      </c>
      <c r="CI10" s="1" t="s">
        <v>22</v>
      </c>
      <c r="CJ10" s="1" t="s">
        <v>22</v>
      </c>
      <c r="CK10" s="1" t="s">
        <v>22</v>
      </c>
      <c r="CL10" s="1" t="s">
        <v>22</v>
      </c>
      <c r="CM10" s="1" t="s">
        <v>22</v>
      </c>
      <c r="CN10" s="4" t="s">
        <v>22</v>
      </c>
      <c r="CP10" s="3" t="s">
        <v>22</v>
      </c>
      <c r="CQ10" s="1" t="s">
        <v>22</v>
      </c>
      <c r="CR10" s="1" t="s">
        <v>22</v>
      </c>
      <c r="CS10" s="1" t="s">
        <v>22</v>
      </c>
      <c r="CT10" s="1" t="s">
        <v>22</v>
      </c>
      <c r="CU10" s="1" t="s">
        <v>22</v>
      </c>
      <c r="CV10" s="1" t="s">
        <v>22</v>
      </c>
      <c r="CW10" s="4" t="s">
        <v>22</v>
      </c>
    </row>
    <row r="11" spans="1:101">
      <c r="A11" s="8" t="str">
        <f>VLOOKUP(B11,List!W:X,2,1)</f>
        <v>0.20 - 0.22</v>
      </c>
      <c r="B11" s="8">
        <v>0.2</v>
      </c>
      <c r="C11" s="8" t="s">
        <v>8</v>
      </c>
      <c r="D11" s="3">
        <v>15</v>
      </c>
      <c r="E11" s="1">
        <v>15</v>
      </c>
      <c r="F11" s="1">
        <v>-15</v>
      </c>
      <c r="G11" s="1">
        <v>-26</v>
      </c>
      <c r="H11" s="1">
        <v>-28</v>
      </c>
      <c r="I11" s="1">
        <v>-30</v>
      </c>
      <c r="J11" s="1">
        <v>-50</v>
      </c>
      <c r="K11" s="4">
        <v>-50</v>
      </c>
      <c r="M11" s="3">
        <f t="shared" si="0"/>
        <v>7</v>
      </c>
      <c r="N11" s="1">
        <f t="shared" si="1"/>
        <v>7</v>
      </c>
      <c r="O11" s="1">
        <f t="shared" si="2"/>
        <v>-24</v>
      </c>
      <c r="P11" s="1">
        <f t="shared" si="3"/>
        <v>-33</v>
      </c>
      <c r="Q11" s="1">
        <f t="shared" si="4"/>
        <v>-31</v>
      </c>
      <c r="R11" s="1">
        <f t="shared" si="5"/>
        <v>-35</v>
      </c>
      <c r="S11" s="1">
        <f t="shared" si="6"/>
        <v>-58</v>
      </c>
      <c r="T11" s="4">
        <f t="shared" si="7"/>
        <v>-58</v>
      </c>
      <c r="V11" s="3">
        <f t="shared" si="8"/>
        <v>-5</v>
      </c>
      <c r="W11" s="1">
        <f t="shared" si="9"/>
        <v>-5</v>
      </c>
      <c r="X11" s="1">
        <f t="shared" si="10"/>
        <v>-36</v>
      </c>
      <c r="Y11" s="1">
        <f t="shared" si="11"/>
        <v>-45</v>
      </c>
      <c r="Z11" s="1">
        <f t="shared" si="12"/>
        <v>-43</v>
      </c>
      <c r="AA11" s="1">
        <f t="shared" si="13"/>
        <v>-47</v>
      </c>
      <c r="AB11" s="1">
        <f t="shared" si="14"/>
        <v>-73</v>
      </c>
      <c r="AC11" s="4">
        <f t="shared" si="15"/>
        <v>-73</v>
      </c>
      <c r="AE11" s="3">
        <f t="shared" si="16"/>
        <v>-25</v>
      </c>
      <c r="AF11" s="1">
        <f t="shared" si="17"/>
        <v>-25</v>
      </c>
      <c r="AG11" s="1">
        <f t="shared" si="18"/>
        <v>-55</v>
      </c>
      <c r="AH11" s="1">
        <f t="shared" si="19"/>
        <v>-66</v>
      </c>
      <c r="AI11" s="1">
        <f t="shared" si="20"/>
        <v>-68</v>
      </c>
      <c r="AJ11" s="1">
        <f t="shared" si="21"/>
        <v>-70</v>
      </c>
      <c r="AK11" s="1">
        <f t="shared" si="22"/>
        <v>-90</v>
      </c>
      <c r="AL11" s="4">
        <f t="shared" si="23"/>
        <v>-90</v>
      </c>
      <c r="AN11" s="3">
        <f t="shared" si="24"/>
        <v>-29</v>
      </c>
      <c r="AO11" s="1">
        <f t="shared" si="25"/>
        <v>-29</v>
      </c>
      <c r="AP11" s="1">
        <f t="shared" si="26"/>
        <v>-59</v>
      </c>
      <c r="AQ11" s="1">
        <f t="shared" si="27"/>
        <v>-70</v>
      </c>
      <c r="AR11" s="1">
        <f t="shared" si="28"/>
        <v>-72</v>
      </c>
      <c r="AS11" s="1">
        <f t="shared" si="29"/>
        <v>-74</v>
      </c>
      <c r="AT11" s="1">
        <f t="shared" si="30"/>
        <v>-94</v>
      </c>
      <c r="AU11" s="4">
        <f t="shared" si="31"/>
        <v>-94</v>
      </c>
      <c r="AW11" s="3">
        <f t="shared" si="32"/>
        <v>-32</v>
      </c>
      <c r="AX11" s="1">
        <f t="shared" si="33"/>
        <v>-32</v>
      </c>
      <c r="AY11" s="1">
        <f t="shared" si="34"/>
        <v>-62</v>
      </c>
      <c r="AZ11" s="1">
        <f t="shared" si="35"/>
        <v>-73</v>
      </c>
      <c r="BA11" s="1">
        <f t="shared" si="36"/>
        <v>-75</v>
      </c>
      <c r="BB11" s="1">
        <f t="shared" si="37"/>
        <v>-77</v>
      </c>
      <c r="BC11" s="1">
        <f t="shared" si="38"/>
        <v>-97</v>
      </c>
      <c r="BD11" s="4">
        <f t="shared" si="39"/>
        <v>-97</v>
      </c>
      <c r="BF11" s="3">
        <v>-8</v>
      </c>
      <c r="BG11" s="1">
        <v>-8</v>
      </c>
      <c r="BH11" s="1">
        <v>-9</v>
      </c>
      <c r="BI11" s="1">
        <v>-7</v>
      </c>
      <c r="BJ11" s="1">
        <v>-3</v>
      </c>
      <c r="BK11" s="1">
        <v>-5</v>
      </c>
      <c r="BL11" s="1">
        <v>-8</v>
      </c>
      <c r="BM11" s="4">
        <v>-8</v>
      </c>
      <c r="BO11" s="3">
        <v>-12</v>
      </c>
      <c r="BP11" s="1">
        <v>-12</v>
      </c>
      <c r="BQ11" s="1">
        <v>-12</v>
      </c>
      <c r="BR11" s="1">
        <v>-12</v>
      </c>
      <c r="BS11" s="1">
        <v>-12</v>
      </c>
      <c r="BT11" s="1">
        <v>-12</v>
      </c>
      <c r="BU11" s="1">
        <v>-15</v>
      </c>
      <c r="BV11" s="4">
        <v>-15</v>
      </c>
      <c r="BX11" s="3">
        <v>-40</v>
      </c>
      <c r="BY11" s="1">
        <v>-40</v>
      </c>
      <c r="BZ11" s="1">
        <v>-40</v>
      </c>
      <c r="CA11" s="1">
        <v>-40</v>
      </c>
      <c r="CB11" s="1">
        <v>-40</v>
      </c>
      <c r="CC11" s="1">
        <v>-40</v>
      </c>
      <c r="CD11" s="1">
        <v>-40</v>
      </c>
      <c r="CE11" s="4">
        <v>-40</v>
      </c>
      <c r="CG11" s="3">
        <v>-4</v>
      </c>
      <c r="CH11" s="1">
        <v>-4</v>
      </c>
      <c r="CI11" s="1">
        <v>-4</v>
      </c>
      <c r="CJ11" s="1">
        <v>-4</v>
      </c>
      <c r="CK11" s="1">
        <v>-4</v>
      </c>
      <c r="CL11" s="1">
        <v>-4</v>
      </c>
      <c r="CM11" s="1">
        <v>-4</v>
      </c>
      <c r="CN11" s="4">
        <v>-4</v>
      </c>
      <c r="CP11" s="3">
        <v>-7</v>
      </c>
      <c r="CQ11" s="1">
        <v>-7</v>
      </c>
      <c r="CR11" s="1">
        <v>-7</v>
      </c>
      <c r="CS11" s="1">
        <v>-7</v>
      </c>
      <c r="CT11" s="1">
        <v>-7</v>
      </c>
      <c r="CU11" s="1">
        <v>-7</v>
      </c>
      <c r="CV11" s="1">
        <v>-7</v>
      </c>
      <c r="CW11" s="4">
        <v>-7</v>
      </c>
    </row>
    <row r="12" spans="1:101">
      <c r="A12" s="8" t="str">
        <f>VLOOKUP(B12,List!W:X,2,1)</f>
        <v>0.20 - 0.22</v>
      </c>
      <c r="B12" s="8">
        <v>0.2</v>
      </c>
      <c r="C12" s="8" t="s">
        <v>9</v>
      </c>
      <c r="D12" s="3">
        <v>-3</v>
      </c>
      <c r="E12" s="1">
        <v>-3</v>
      </c>
      <c r="F12" s="1">
        <v>-23</v>
      </c>
      <c r="G12" s="1">
        <v>-36</v>
      </c>
      <c r="H12" s="1">
        <v>-33</v>
      </c>
      <c r="I12" s="1">
        <v>-33</v>
      </c>
      <c r="J12" s="1">
        <v>-50</v>
      </c>
      <c r="K12" s="4">
        <v>-50</v>
      </c>
      <c r="M12" s="3">
        <f t="shared" si="0"/>
        <v>-12</v>
      </c>
      <c r="N12" s="1">
        <f t="shared" si="1"/>
        <v>-12</v>
      </c>
      <c r="O12" s="1">
        <f t="shared" si="2"/>
        <v>-33</v>
      </c>
      <c r="P12" s="1">
        <f t="shared" si="3"/>
        <v>-40</v>
      </c>
      <c r="Q12" s="1">
        <f t="shared" si="4"/>
        <v>-37</v>
      </c>
      <c r="R12" s="1">
        <f t="shared" si="5"/>
        <v>-38</v>
      </c>
      <c r="S12" s="1">
        <f t="shared" si="6"/>
        <v>-58</v>
      </c>
      <c r="T12" s="4">
        <f t="shared" si="7"/>
        <v>-58</v>
      </c>
      <c r="V12" s="3">
        <f t="shared" si="8"/>
        <v>-24</v>
      </c>
      <c r="W12" s="1">
        <f t="shared" si="9"/>
        <v>-24</v>
      </c>
      <c r="X12" s="1">
        <f t="shared" si="10"/>
        <v>-45</v>
      </c>
      <c r="Y12" s="1">
        <f t="shared" si="11"/>
        <v>-52</v>
      </c>
      <c r="Z12" s="1">
        <f t="shared" si="12"/>
        <v>-49</v>
      </c>
      <c r="AA12" s="1">
        <f t="shared" si="13"/>
        <v>-50</v>
      </c>
      <c r="AB12" s="1">
        <f t="shared" si="14"/>
        <v>-73</v>
      </c>
      <c r="AC12" s="4">
        <f t="shared" si="15"/>
        <v>-73</v>
      </c>
      <c r="AE12" s="3">
        <f t="shared" si="16"/>
        <v>-43</v>
      </c>
      <c r="AF12" s="1">
        <f t="shared" si="17"/>
        <v>-43</v>
      </c>
      <c r="AG12" s="1">
        <f t="shared" si="18"/>
        <v>-63</v>
      </c>
      <c r="AH12" s="1">
        <f t="shared" si="19"/>
        <v>-76</v>
      </c>
      <c r="AI12" s="1">
        <f t="shared" si="20"/>
        <v>-73</v>
      </c>
      <c r="AJ12" s="1">
        <f t="shared" si="21"/>
        <v>-73</v>
      </c>
      <c r="AK12" s="1">
        <f t="shared" si="22"/>
        <v>-90</v>
      </c>
      <c r="AL12" s="4">
        <f t="shared" si="23"/>
        <v>-90</v>
      </c>
      <c r="AN12" s="3">
        <f t="shared" si="24"/>
        <v>-47</v>
      </c>
      <c r="AO12" s="1">
        <f t="shared" si="25"/>
        <v>-47</v>
      </c>
      <c r="AP12" s="1">
        <f t="shared" si="26"/>
        <v>-67</v>
      </c>
      <c r="AQ12" s="1">
        <f t="shared" si="27"/>
        <v>-80</v>
      </c>
      <c r="AR12" s="1">
        <f t="shared" si="28"/>
        <v>-77</v>
      </c>
      <c r="AS12" s="1">
        <f t="shared" si="29"/>
        <v>-77</v>
      </c>
      <c r="AT12" s="1">
        <f t="shared" si="30"/>
        <v>-94</v>
      </c>
      <c r="AU12" s="4">
        <f t="shared" si="31"/>
        <v>-94</v>
      </c>
      <c r="AW12" s="3">
        <f t="shared" si="32"/>
        <v>-50</v>
      </c>
      <c r="AX12" s="1">
        <f t="shared" si="33"/>
        <v>-50</v>
      </c>
      <c r="AY12" s="1">
        <f t="shared" si="34"/>
        <v>-70</v>
      </c>
      <c r="AZ12" s="1">
        <f t="shared" si="35"/>
        <v>-83</v>
      </c>
      <c r="BA12" s="1">
        <f t="shared" si="36"/>
        <v>-80</v>
      </c>
      <c r="BB12" s="1">
        <f t="shared" si="37"/>
        <v>-80</v>
      </c>
      <c r="BC12" s="1">
        <f t="shared" si="38"/>
        <v>-97</v>
      </c>
      <c r="BD12" s="4">
        <f t="shared" si="39"/>
        <v>-97</v>
      </c>
      <c r="BF12" s="3">
        <v>-9</v>
      </c>
      <c r="BG12" s="1">
        <v>-9</v>
      </c>
      <c r="BH12" s="1">
        <v>-10</v>
      </c>
      <c r="BI12" s="1">
        <v>-4</v>
      </c>
      <c r="BJ12" s="1">
        <v>-4</v>
      </c>
      <c r="BK12" s="1">
        <v>-5</v>
      </c>
      <c r="BL12" s="1">
        <v>-8</v>
      </c>
      <c r="BM12" s="4">
        <v>-8</v>
      </c>
      <c r="BO12" s="3">
        <v>-12</v>
      </c>
      <c r="BP12" s="1">
        <v>-12</v>
      </c>
      <c r="BQ12" s="1">
        <v>-12</v>
      </c>
      <c r="BR12" s="1">
        <v>-12</v>
      </c>
      <c r="BS12" s="1">
        <v>-12</v>
      </c>
      <c r="BT12" s="1">
        <v>-12</v>
      </c>
      <c r="BU12" s="1">
        <v>-15</v>
      </c>
      <c r="BV12" s="4">
        <v>-15</v>
      </c>
      <c r="BX12" s="3">
        <v>-40</v>
      </c>
      <c r="BY12" s="1">
        <v>-40</v>
      </c>
      <c r="BZ12" s="1">
        <v>-40</v>
      </c>
      <c r="CA12" s="1">
        <v>-40</v>
      </c>
      <c r="CB12" s="1">
        <v>-40</v>
      </c>
      <c r="CC12" s="1">
        <v>-40</v>
      </c>
      <c r="CD12" s="1">
        <v>-40</v>
      </c>
      <c r="CE12" s="4">
        <v>-40</v>
      </c>
      <c r="CG12" s="3">
        <v>-4</v>
      </c>
      <c r="CH12" s="1">
        <v>-4</v>
      </c>
      <c r="CI12" s="1">
        <v>-4</v>
      </c>
      <c r="CJ12" s="1">
        <v>-4</v>
      </c>
      <c r="CK12" s="1">
        <v>-4</v>
      </c>
      <c r="CL12" s="1">
        <v>-4</v>
      </c>
      <c r="CM12" s="1">
        <v>-4</v>
      </c>
      <c r="CN12" s="4">
        <v>-4</v>
      </c>
      <c r="CP12" s="3">
        <v>-7</v>
      </c>
      <c r="CQ12" s="1">
        <v>-7</v>
      </c>
      <c r="CR12" s="1">
        <v>-7</v>
      </c>
      <c r="CS12" s="1">
        <v>-7</v>
      </c>
      <c r="CT12" s="1">
        <v>-7</v>
      </c>
      <c r="CU12" s="1">
        <v>-7</v>
      </c>
      <c r="CV12" s="1">
        <v>-7</v>
      </c>
      <c r="CW12" s="4">
        <v>-7</v>
      </c>
    </row>
    <row r="13" spans="1:101">
      <c r="A13" s="8" t="str">
        <f>VLOOKUP(B13,List!W:X,2,1)</f>
        <v>0.20 - 0.22</v>
      </c>
      <c r="B13" s="8">
        <v>0.2</v>
      </c>
      <c r="C13" s="8" t="s">
        <v>10</v>
      </c>
      <c r="D13" s="3">
        <v>-20</v>
      </c>
      <c r="E13" s="1">
        <v>-20</v>
      </c>
      <c r="F13" s="1">
        <v>-34</v>
      </c>
      <c r="G13" s="1">
        <v>-38</v>
      </c>
      <c r="H13" s="1">
        <v>-34</v>
      </c>
      <c r="I13" s="1">
        <v>-34</v>
      </c>
      <c r="J13" s="1">
        <v>-50</v>
      </c>
      <c r="K13" s="4">
        <v>-50</v>
      </c>
      <c r="M13" s="3">
        <f t="shared" si="0"/>
        <v>-23</v>
      </c>
      <c r="N13" s="1">
        <f t="shared" si="1"/>
        <v>-23</v>
      </c>
      <c r="O13" s="1">
        <f t="shared" si="2"/>
        <v>-38</v>
      </c>
      <c r="P13" s="1">
        <f t="shared" si="3"/>
        <v>-41</v>
      </c>
      <c r="Q13" s="1">
        <f t="shared" si="4"/>
        <v>-38</v>
      </c>
      <c r="R13" s="1">
        <f t="shared" si="5"/>
        <v>-38</v>
      </c>
      <c r="S13" s="1">
        <f t="shared" si="6"/>
        <v>-58</v>
      </c>
      <c r="T13" s="4">
        <f t="shared" si="7"/>
        <v>-58</v>
      </c>
      <c r="V13" s="3">
        <f t="shared" si="8"/>
        <v>-35</v>
      </c>
      <c r="W13" s="1">
        <f t="shared" si="9"/>
        <v>-35</v>
      </c>
      <c r="X13" s="1">
        <f t="shared" si="10"/>
        <v>-50</v>
      </c>
      <c r="Y13" s="1">
        <f t="shared" si="11"/>
        <v>-53</v>
      </c>
      <c r="Z13" s="1">
        <f t="shared" si="12"/>
        <v>-50</v>
      </c>
      <c r="AA13" s="1">
        <f t="shared" si="13"/>
        <v>-50</v>
      </c>
      <c r="AB13" s="1">
        <f t="shared" si="14"/>
        <v>-73</v>
      </c>
      <c r="AC13" s="4">
        <f t="shared" si="15"/>
        <v>-73</v>
      </c>
      <c r="AE13" s="3">
        <f t="shared" si="16"/>
        <v>-60</v>
      </c>
      <c r="AF13" s="1">
        <f t="shared" si="17"/>
        <v>-60</v>
      </c>
      <c r="AG13" s="1">
        <f t="shared" si="18"/>
        <v>-74</v>
      </c>
      <c r="AH13" s="1">
        <f t="shared" si="19"/>
        <v>-78</v>
      </c>
      <c r="AI13" s="1">
        <f t="shared" si="20"/>
        <v>-74</v>
      </c>
      <c r="AJ13" s="1">
        <f t="shared" si="21"/>
        <v>-74</v>
      </c>
      <c r="AK13" s="1">
        <f t="shared" si="22"/>
        <v>-90</v>
      </c>
      <c r="AL13" s="4">
        <f t="shared" si="23"/>
        <v>-90</v>
      </c>
      <c r="AN13" s="3">
        <f t="shared" si="24"/>
        <v>-64</v>
      </c>
      <c r="AO13" s="1">
        <f t="shared" si="25"/>
        <v>-64</v>
      </c>
      <c r="AP13" s="1">
        <f t="shared" si="26"/>
        <v>-78</v>
      </c>
      <c r="AQ13" s="1">
        <f t="shared" si="27"/>
        <v>-82</v>
      </c>
      <c r="AR13" s="1">
        <f t="shared" si="28"/>
        <v>-78</v>
      </c>
      <c r="AS13" s="1">
        <f t="shared" si="29"/>
        <v>-78</v>
      </c>
      <c r="AT13" s="1">
        <f t="shared" si="30"/>
        <v>-94</v>
      </c>
      <c r="AU13" s="4">
        <f t="shared" si="31"/>
        <v>-94</v>
      </c>
      <c r="AW13" s="3">
        <f t="shared" si="32"/>
        <v>-67</v>
      </c>
      <c r="AX13" s="1">
        <f t="shared" si="33"/>
        <v>-67</v>
      </c>
      <c r="AY13" s="1">
        <f t="shared" si="34"/>
        <v>-81</v>
      </c>
      <c r="AZ13" s="1">
        <f t="shared" si="35"/>
        <v>-85</v>
      </c>
      <c r="BA13" s="1">
        <f t="shared" si="36"/>
        <v>-81</v>
      </c>
      <c r="BB13" s="1">
        <f t="shared" si="37"/>
        <v>-81</v>
      </c>
      <c r="BC13" s="1">
        <f t="shared" si="38"/>
        <v>-97</v>
      </c>
      <c r="BD13" s="4">
        <f t="shared" si="39"/>
        <v>-97</v>
      </c>
      <c r="BF13" s="3">
        <v>-3</v>
      </c>
      <c r="BG13" s="1">
        <v>-3</v>
      </c>
      <c r="BH13" s="1">
        <v>-4</v>
      </c>
      <c r="BI13" s="1">
        <v>-3</v>
      </c>
      <c r="BJ13" s="1">
        <v>-4</v>
      </c>
      <c r="BK13" s="1">
        <v>-4</v>
      </c>
      <c r="BL13" s="1">
        <v>-8</v>
      </c>
      <c r="BM13" s="4">
        <v>-8</v>
      </c>
      <c r="BO13" s="3">
        <v>-12</v>
      </c>
      <c r="BP13" s="1">
        <v>-12</v>
      </c>
      <c r="BQ13" s="1">
        <v>-12</v>
      </c>
      <c r="BR13" s="1">
        <v>-12</v>
      </c>
      <c r="BS13" s="1">
        <v>-12</v>
      </c>
      <c r="BT13" s="1">
        <v>-12</v>
      </c>
      <c r="BU13" s="1">
        <v>-15</v>
      </c>
      <c r="BV13" s="4">
        <v>-15</v>
      </c>
      <c r="BX13" s="3">
        <v>-40</v>
      </c>
      <c r="BY13" s="1">
        <v>-40</v>
      </c>
      <c r="BZ13" s="1">
        <v>-40</v>
      </c>
      <c r="CA13" s="1">
        <v>-40</v>
      </c>
      <c r="CB13" s="1">
        <v>-40</v>
      </c>
      <c r="CC13" s="1">
        <v>-40</v>
      </c>
      <c r="CD13" s="1">
        <v>-40</v>
      </c>
      <c r="CE13" s="4">
        <v>-40</v>
      </c>
      <c r="CG13" s="3">
        <v>-4</v>
      </c>
      <c r="CH13" s="1">
        <v>-4</v>
      </c>
      <c r="CI13" s="1">
        <v>-4</v>
      </c>
      <c r="CJ13" s="1">
        <v>-4</v>
      </c>
      <c r="CK13" s="1">
        <v>-4</v>
      </c>
      <c r="CL13" s="1">
        <v>-4</v>
      </c>
      <c r="CM13" s="1">
        <v>-4</v>
      </c>
      <c r="CN13" s="4">
        <v>-4</v>
      </c>
      <c r="CP13" s="3">
        <v>-7</v>
      </c>
      <c r="CQ13" s="1">
        <v>-7</v>
      </c>
      <c r="CR13" s="1">
        <v>-7</v>
      </c>
      <c r="CS13" s="1">
        <v>-7</v>
      </c>
      <c r="CT13" s="1">
        <v>-7</v>
      </c>
      <c r="CU13" s="1">
        <v>-7</v>
      </c>
      <c r="CV13" s="1">
        <v>-7</v>
      </c>
      <c r="CW13" s="4">
        <v>-7</v>
      </c>
    </row>
    <row r="14" spans="1:101">
      <c r="A14" s="8" t="str">
        <f>VLOOKUP(B14,List!W:X,2,1)</f>
        <v>0.20 - 0.22</v>
      </c>
      <c r="B14" s="8">
        <v>0.2</v>
      </c>
      <c r="C14" s="8" t="s">
        <v>11</v>
      </c>
      <c r="D14" s="3">
        <v>-18</v>
      </c>
      <c r="E14" s="1">
        <v>-18</v>
      </c>
      <c r="F14" s="1">
        <v>-27</v>
      </c>
      <c r="G14" s="1">
        <v>-28</v>
      </c>
      <c r="H14" s="1">
        <v>-21</v>
      </c>
      <c r="I14" s="1">
        <v>-17</v>
      </c>
      <c r="J14" s="1">
        <v>-50</v>
      </c>
      <c r="K14" s="4">
        <v>-50</v>
      </c>
      <c r="M14" s="3">
        <f t="shared" si="0"/>
        <v>-23</v>
      </c>
      <c r="N14" s="1">
        <f t="shared" si="1"/>
        <v>-23</v>
      </c>
      <c r="O14" s="1">
        <f t="shared" si="2"/>
        <v>-31</v>
      </c>
      <c r="P14" s="1">
        <f t="shared" si="3"/>
        <v>-33</v>
      </c>
      <c r="Q14" s="1">
        <f t="shared" si="4"/>
        <v>-25</v>
      </c>
      <c r="R14" s="1">
        <f t="shared" si="5"/>
        <v>-20</v>
      </c>
      <c r="S14" s="1">
        <f t="shared" si="6"/>
        <v>-58</v>
      </c>
      <c r="T14" s="4">
        <f t="shared" si="7"/>
        <v>-58</v>
      </c>
      <c r="V14" s="3">
        <f t="shared" si="8"/>
        <v>-35</v>
      </c>
      <c r="W14" s="1">
        <f t="shared" si="9"/>
        <v>-35</v>
      </c>
      <c r="X14" s="1">
        <f t="shared" si="10"/>
        <v>-43</v>
      </c>
      <c r="Y14" s="1">
        <f t="shared" si="11"/>
        <v>-45</v>
      </c>
      <c r="Z14" s="1">
        <f t="shared" si="12"/>
        <v>-37</v>
      </c>
      <c r="AA14" s="1">
        <f t="shared" si="13"/>
        <v>-32</v>
      </c>
      <c r="AB14" s="1">
        <f t="shared" si="14"/>
        <v>-73</v>
      </c>
      <c r="AC14" s="4">
        <f t="shared" si="15"/>
        <v>-73</v>
      </c>
      <c r="AE14" s="3">
        <f t="shared" si="16"/>
        <v>-58</v>
      </c>
      <c r="AF14" s="1">
        <f t="shared" si="17"/>
        <v>-58</v>
      </c>
      <c r="AG14" s="1">
        <f t="shared" si="18"/>
        <v>-67</v>
      </c>
      <c r="AH14" s="1">
        <f t="shared" si="19"/>
        <v>-68</v>
      </c>
      <c r="AI14" s="1">
        <f t="shared" si="20"/>
        <v>-61</v>
      </c>
      <c r="AJ14" s="1">
        <f t="shared" si="21"/>
        <v>-57</v>
      </c>
      <c r="AK14" s="1">
        <f t="shared" si="22"/>
        <v>-90</v>
      </c>
      <c r="AL14" s="4">
        <f t="shared" si="23"/>
        <v>-90</v>
      </c>
      <c r="AN14" s="3">
        <f t="shared" si="24"/>
        <v>-62</v>
      </c>
      <c r="AO14" s="1">
        <f t="shared" si="25"/>
        <v>-62</v>
      </c>
      <c r="AP14" s="1">
        <f t="shared" si="26"/>
        <v>-71</v>
      </c>
      <c r="AQ14" s="1">
        <f t="shared" si="27"/>
        <v>-72</v>
      </c>
      <c r="AR14" s="1">
        <f t="shared" si="28"/>
        <v>-65</v>
      </c>
      <c r="AS14" s="1">
        <f t="shared" si="29"/>
        <v>-61</v>
      </c>
      <c r="AT14" s="1">
        <f t="shared" si="30"/>
        <v>-94</v>
      </c>
      <c r="AU14" s="4">
        <f t="shared" si="31"/>
        <v>-94</v>
      </c>
      <c r="AW14" s="3">
        <f t="shared" si="32"/>
        <v>-65</v>
      </c>
      <c r="AX14" s="1">
        <f t="shared" si="33"/>
        <v>-65</v>
      </c>
      <c r="AY14" s="1">
        <f t="shared" si="34"/>
        <v>-74</v>
      </c>
      <c r="AZ14" s="1">
        <f t="shared" si="35"/>
        <v>-75</v>
      </c>
      <c r="BA14" s="1">
        <f t="shared" si="36"/>
        <v>-68</v>
      </c>
      <c r="BB14" s="1">
        <f t="shared" si="37"/>
        <v>-64</v>
      </c>
      <c r="BC14" s="1">
        <f t="shared" si="38"/>
        <v>-97</v>
      </c>
      <c r="BD14" s="4">
        <f t="shared" si="39"/>
        <v>-97</v>
      </c>
      <c r="BF14" s="3">
        <v>-5</v>
      </c>
      <c r="BG14" s="1">
        <v>-5</v>
      </c>
      <c r="BH14" s="1">
        <v>-4</v>
      </c>
      <c r="BI14" s="1">
        <v>-5</v>
      </c>
      <c r="BJ14" s="1">
        <v>-4</v>
      </c>
      <c r="BK14" s="1">
        <v>-3</v>
      </c>
      <c r="BL14" s="1">
        <v>-8</v>
      </c>
      <c r="BM14" s="4">
        <v>-8</v>
      </c>
      <c r="BO14" s="3">
        <v>-12</v>
      </c>
      <c r="BP14" s="1">
        <v>-12</v>
      </c>
      <c r="BQ14" s="1">
        <v>-12</v>
      </c>
      <c r="BR14" s="1">
        <v>-12</v>
      </c>
      <c r="BS14" s="1">
        <v>-12</v>
      </c>
      <c r="BT14" s="1">
        <v>-12</v>
      </c>
      <c r="BU14" s="1">
        <v>-15</v>
      </c>
      <c r="BV14" s="4">
        <v>-15</v>
      </c>
      <c r="BX14" s="3">
        <v>-40</v>
      </c>
      <c r="BY14" s="1">
        <v>-40</v>
      </c>
      <c r="BZ14" s="1">
        <v>-40</v>
      </c>
      <c r="CA14" s="1">
        <v>-40</v>
      </c>
      <c r="CB14" s="1">
        <v>-40</v>
      </c>
      <c r="CC14" s="1">
        <v>-40</v>
      </c>
      <c r="CD14" s="1">
        <v>-40</v>
      </c>
      <c r="CE14" s="4">
        <v>-40</v>
      </c>
      <c r="CG14" s="3">
        <v>-4</v>
      </c>
      <c r="CH14" s="1">
        <v>-4</v>
      </c>
      <c r="CI14" s="1">
        <v>-4</v>
      </c>
      <c r="CJ14" s="1">
        <v>-4</v>
      </c>
      <c r="CK14" s="1">
        <v>-4</v>
      </c>
      <c r="CL14" s="1">
        <v>-4</v>
      </c>
      <c r="CM14" s="1">
        <v>-4</v>
      </c>
      <c r="CN14" s="4">
        <v>-4</v>
      </c>
      <c r="CP14" s="3">
        <v>-7</v>
      </c>
      <c r="CQ14" s="1">
        <v>-7</v>
      </c>
      <c r="CR14" s="1">
        <v>-7</v>
      </c>
      <c r="CS14" s="1">
        <v>-7</v>
      </c>
      <c r="CT14" s="1">
        <v>-7</v>
      </c>
      <c r="CU14" s="1">
        <v>-7</v>
      </c>
      <c r="CV14" s="1">
        <v>-7</v>
      </c>
      <c r="CW14" s="4">
        <v>-7</v>
      </c>
    </row>
    <row r="15" spans="1:101">
      <c r="A15" s="8" t="str">
        <f>VLOOKUP(B15,List!W:X,2,1)</f>
        <v>0.20 - 0.22</v>
      </c>
      <c r="B15" s="8">
        <v>0.2</v>
      </c>
      <c r="C15" s="8" t="s">
        <v>12</v>
      </c>
      <c r="D15" s="3">
        <v>-21</v>
      </c>
      <c r="E15" s="1">
        <v>-21</v>
      </c>
      <c r="F15" s="1">
        <v>-31</v>
      </c>
      <c r="G15" s="1">
        <v>-30</v>
      </c>
      <c r="H15" s="1">
        <v>-23</v>
      </c>
      <c r="I15" s="1">
        <v>-20</v>
      </c>
      <c r="J15" s="1">
        <v>-50</v>
      </c>
      <c r="K15" s="4">
        <v>-65</v>
      </c>
      <c r="M15" s="3">
        <f t="shared" si="0"/>
        <v>-26</v>
      </c>
      <c r="N15" s="1">
        <f t="shared" si="1"/>
        <v>-26</v>
      </c>
      <c r="O15" s="1">
        <f t="shared" si="2"/>
        <v>-34</v>
      </c>
      <c r="P15" s="1">
        <f t="shared" si="3"/>
        <v>-36</v>
      </c>
      <c r="Q15" s="1">
        <f t="shared" si="4"/>
        <v>-31</v>
      </c>
      <c r="R15" s="1">
        <f t="shared" si="5"/>
        <v>-24</v>
      </c>
      <c r="S15" s="1">
        <f t="shared" si="6"/>
        <v>-58</v>
      </c>
      <c r="T15" s="4">
        <f t="shared" si="7"/>
        <v>-73</v>
      </c>
      <c r="V15" s="3">
        <f t="shared" si="8"/>
        <v>-38</v>
      </c>
      <c r="W15" s="1">
        <f t="shared" si="9"/>
        <v>-38</v>
      </c>
      <c r="X15" s="1">
        <f t="shared" si="10"/>
        <v>-46</v>
      </c>
      <c r="Y15" s="1">
        <f t="shared" si="11"/>
        <v>-48</v>
      </c>
      <c r="Z15" s="1">
        <f t="shared" si="12"/>
        <v>-43</v>
      </c>
      <c r="AA15" s="1">
        <f t="shared" si="13"/>
        <v>-36</v>
      </c>
      <c r="AB15" s="1">
        <f t="shared" si="14"/>
        <v>-73</v>
      </c>
      <c r="AC15" s="4">
        <f t="shared" si="15"/>
        <v>-88</v>
      </c>
      <c r="AE15" s="3">
        <f t="shared" si="16"/>
        <v>-61</v>
      </c>
      <c r="AF15" s="1">
        <f t="shared" si="17"/>
        <v>-61</v>
      </c>
      <c r="AG15" s="1">
        <f t="shared" si="18"/>
        <v>-71</v>
      </c>
      <c r="AH15" s="1">
        <f t="shared" si="19"/>
        <v>-70</v>
      </c>
      <c r="AI15" s="1">
        <f t="shared" si="20"/>
        <v>-63</v>
      </c>
      <c r="AJ15" s="1">
        <f t="shared" si="21"/>
        <v>-60</v>
      </c>
      <c r="AK15" s="1">
        <f t="shared" si="22"/>
        <v>-90</v>
      </c>
      <c r="AL15" s="4">
        <f t="shared" si="23"/>
        <v>-105</v>
      </c>
      <c r="AN15" s="3">
        <f t="shared" si="24"/>
        <v>-65</v>
      </c>
      <c r="AO15" s="1">
        <f t="shared" si="25"/>
        <v>-65</v>
      </c>
      <c r="AP15" s="1">
        <f t="shared" si="26"/>
        <v>-75</v>
      </c>
      <c r="AQ15" s="1">
        <f t="shared" si="27"/>
        <v>-74</v>
      </c>
      <c r="AR15" s="1">
        <f t="shared" si="28"/>
        <v>-67</v>
      </c>
      <c r="AS15" s="1">
        <f t="shared" si="29"/>
        <v>-64</v>
      </c>
      <c r="AT15" s="1">
        <f t="shared" si="30"/>
        <v>-94</v>
      </c>
      <c r="AU15" s="4">
        <f t="shared" si="31"/>
        <v>-109</v>
      </c>
      <c r="AW15" s="3">
        <f t="shared" si="32"/>
        <v>-68</v>
      </c>
      <c r="AX15" s="1">
        <f t="shared" si="33"/>
        <v>-68</v>
      </c>
      <c r="AY15" s="1">
        <f t="shared" si="34"/>
        <v>-78</v>
      </c>
      <c r="AZ15" s="1">
        <f t="shared" si="35"/>
        <v>-77</v>
      </c>
      <c r="BA15" s="1">
        <f t="shared" si="36"/>
        <v>-70</v>
      </c>
      <c r="BB15" s="1">
        <f t="shared" si="37"/>
        <v>-67</v>
      </c>
      <c r="BC15" s="1">
        <f t="shared" si="38"/>
        <v>-97</v>
      </c>
      <c r="BD15" s="4">
        <f t="shared" si="39"/>
        <v>-112</v>
      </c>
      <c r="BF15" s="3">
        <v>-5</v>
      </c>
      <c r="BG15" s="1">
        <v>-5</v>
      </c>
      <c r="BH15" s="1">
        <v>-3</v>
      </c>
      <c r="BI15" s="1">
        <v>-6</v>
      </c>
      <c r="BJ15" s="1">
        <v>-8</v>
      </c>
      <c r="BK15" s="1">
        <v>-4</v>
      </c>
      <c r="BL15" s="1">
        <v>-8</v>
      </c>
      <c r="BM15" s="4">
        <v>-8</v>
      </c>
      <c r="BO15" s="3">
        <v>-12</v>
      </c>
      <c r="BP15" s="1">
        <v>-12</v>
      </c>
      <c r="BQ15" s="1">
        <v>-12</v>
      </c>
      <c r="BR15" s="1">
        <v>-12</v>
      </c>
      <c r="BS15" s="1">
        <v>-12</v>
      </c>
      <c r="BT15" s="1">
        <v>-12</v>
      </c>
      <c r="BU15" s="1">
        <v>-15</v>
      </c>
      <c r="BV15" s="4">
        <v>-15</v>
      </c>
      <c r="BX15" s="3">
        <v>-40</v>
      </c>
      <c r="BY15" s="1">
        <v>-40</v>
      </c>
      <c r="BZ15" s="1">
        <v>-40</v>
      </c>
      <c r="CA15" s="1">
        <v>-40</v>
      </c>
      <c r="CB15" s="1">
        <v>-40</v>
      </c>
      <c r="CC15" s="1">
        <v>-40</v>
      </c>
      <c r="CD15" s="1">
        <v>-40</v>
      </c>
      <c r="CE15" s="4">
        <v>-40</v>
      </c>
      <c r="CG15" s="3">
        <v>-4</v>
      </c>
      <c r="CH15" s="1">
        <v>-4</v>
      </c>
      <c r="CI15" s="1">
        <v>-4</v>
      </c>
      <c r="CJ15" s="1">
        <v>-4</v>
      </c>
      <c r="CK15" s="1">
        <v>-4</v>
      </c>
      <c r="CL15" s="1">
        <v>-4</v>
      </c>
      <c r="CM15" s="1">
        <v>-4</v>
      </c>
      <c r="CN15" s="4">
        <v>-4</v>
      </c>
      <c r="CP15" s="3">
        <v>-7</v>
      </c>
      <c r="CQ15" s="1">
        <v>-7</v>
      </c>
      <c r="CR15" s="1">
        <v>-7</v>
      </c>
      <c r="CS15" s="1">
        <v>-7</v>
      </c>
      <c r="CT15" s="1">
        <v>-7</v>
      </c>
      <c r="CU15" s="1">
        <v>-7</v>
      </c>
      <c r="CV15" s="1">
        <v>-7</v>
      </c>
      <c r="CW15" s="4">
        <v>-7</v>
      </c>
    </row>
    <row r="16" spans="1:101">
      <c r="A16" s="8" t="str">
        <f>VLOOKUP(B16,List!W:X,2,1)</f>
        <v>0.20 - 0.22</v>
      </c>
      <c r="B16" s="8">
        <v>0.2</v>
      </c>
      <c r="C16" s="8" t="s">
        <v>13</v>
      </c>
      <c r="D16" s="3">
        <v>-60</v>
      </c>
      <c r="E16" s="1">
        <v>-60</v>
      </c>
      <c r="F16" s="1">
        <v>-60</v>
      </c>
      <c r="G16" s="1">
        <v>-60</v>
      </c>
      <c r="H16" s="1">
        <v>-60</v>
      </c>
      <c r="I16" s="1">
        <v>-60</v>
      </c>
      <c r="J16" s="1">
        <v>-60</v>
      </c>
      <c r="K16" s="4">
        <v>-60</v>
      </c>
      <c r="M16" s="3">
        <f t="shared" si="0"/>
        <v>-67</v>
      </c>
      <c r="N16" s="1">
        <f t="shared" si="1"/>
        <v>-67</v>
      </c>
      <c r="O16" s="1">
        <f t="shared" si="2"/>
        <v>-67</v>
      </c>
      <c r="P16" s="1">
        <f t="shared" si="3"/>
        <v>-67</v>
      </c>
      <c r="Q16" s="1">
        <f t="shared" si="4"/>
        <v>-67</v>
      </c>
      <c r="R16" s="1">
        <f t="shared" si="5"/>
        <v>-67</v>
      </c>
      <c r="S16" s="1">
        <f t="shared" si="6"/>
        <v>-68</v>
      </c>
      <c r="T16" s="4">
        <f t="shared" si="7"/>
        <v>-68</v>
      </c>
      <c r="V16" s="3">
        <f t="shared" si="8"/>
        <v>-79</v>
      </c>
      <c r="W16" s="1">
        <f t="shared" si="9"/>
        <v>-79</v>
      </c>
      <c r="X16" s="1">
        <f t="shared" si="10"/>
        <v>-79</v>
      </c>
      <c r="Y16" s="1">
        <f t="shared" si="11"/>
        <v>-79</v>
      </c>
      <c r="Z16" s="1">
        <f t="shared" si="12"/>
        <v>-79</v>
      </c>
      <c r="AA16" s="1">
        <f t="shared" si="13"/>
        <v>-79</v>
      </c>
      <c r="AB16" s="1">
        <f t="shared" si="14"/>
        <v>-83</v>
      </c>
      <c r="AC16" s="4">
        <f t="shared" si="15"/>
        <v>-83</v>
      </c>
      <c r="AE16" s="3">
        <f t="shared" si="16"/>
        <v>-100</v>
      </c>
      <c r="AF16" s="1">
        <f t="shared" si="17"/>
        <v>-100</v>
      </c>
      <c r="AG16" s="1">
        <f t="shared" si="18"/>
        <v>-100</v>
      </c>
      <c r="AH16" s="1">
        <f t="shared" si="19"/>
        <v>-100</v>
      </c>
      <c r="AI16" s="1">
        <f t="shared" si="20"/>
        <v>-100</v>
      </c>
      <c r="AJ16" s="1">
        <f t="shared" si="21"/>
        <v>-100</v>
      </c>
      <c r="AK16" s="1">
        <f t="shared" si="22"/>
        <v>-100</v>
      </c>
      <c r="AL16" s="4">
        <f t="shared" si="23"/>
        <v>-100</v>
      </c>
      <c r="AN16" s="3">
        <f t="shared" si="24"/>
        <v>-104</v>
      </c>
      <c r="AO16" s="1">
        <f t="shared" si="25"/>
        <v>-104</v>
      </c>
      <c r="AP16" s="1">
        <f t="shared" si="26"/>
        <v>-104</v>
      </c>
      <c r="AQ16" s="1">
        <f t="shared" si="27"/>
        <v>-104</v>
      </c>
      <c r="AR16" s="1">
        <f t="shared" si="28"/>
        <v>-104</v>
      </c>
      <c r="AS16" s="1">
        <f t="shared" si="29"/>
        <v>-104</v>
      </c>
      <c r="AT16" s="1">
        <f t="shared" si="30"/>
        <v>-104</v>
      </c>
      <c r="AU16" s="4">
        <f t="shared" si="31"/>
        <v>-104</v>
      </c>
      <c r="AW16" s="3">
        <f t="shared" si="32"/>
        <v>-107</v>
      </c>
      <c r="AX16" s="1">
        <f t="shared" si="33"/>
        <v>-107</v>
      </c>
      <c r="AY16" s="1">
        <f t="shared" si="34"/>
        <v>-107</v>
      </c>
      <c r="AZ16" s="1">
        <f t="shared" si="35"/>
        <v>-107</v>
      </c>
      <c r="BA16" s="1">
        <f t="shared" si="36"/>
        <v>-107</v>
      </c>
      <c r="BB16" s="1">
        <f t="shared" si="37"/>
        <v>-107</v>
      </c>
      <c r="BC16" s="1">
        <f t="shared" si="38"/>
        <v>-107</v>
      </c>
      <c r="BD16" s="4">
        <f t="shared" si="39"/>
        <v>-107</v>
      </c>
      <c r="BF16" s="3">
        <v>-7</v>
      </c>
      <c r="BG16" s="1">
        <v>-7</v>
      </c>
      <c r="BH16" s="1">
        <v>-7</v>
      </c>
      <c r="BI16" s="1">
        <v>-7</v>
      </c>
      <c r="BJ16" s="1">
        <v>-7</v>
      </c>
      <c r="BK16" s="1">
        <v>-7</v>
      </c>
      <c r="BL16" s="1">
        <v>-8</v>
      </c>
      <c r="BM16" s="4">
        <v>-8</v>
      </c>
      <c r="BO16" s="3">
        <v>-12</v>
      </c>
      <c r="BP16" s="1">
        <v>-12</v>
      </c>
      <c r="BQ16" s="1">
        <v>-12</v>
      </c>
      <c r="BR16" s="1">
        <v>-12</v>
      </c>
      <c r="BS16" s="1">
        <v>-12</v>
      </c>
      <c r="BT16" s="1">
        <v>-12</v>
      </c>
      <c r="BU16" s="1">
        <v>-15</v>
      </c>
      <c r="BV16" s="4">
        <v>-15</v>
      </c>
      <c r="BX16" s="3">
        <v>-40</v>
      </c>
      <c r="BY16" s="1">
        <v>-40</v>
      </c>
      <c r="BZ16" s="1">
        <v>-40</v>
      </c>
      <c r="CA16" s="1">
        <v>-40</v>
      </c>
      <c r="CB16" s="1">
        <v>-40</v>
      </c>
      <c r="CC16" s="1">
        <v>-40</v>
      </c>
      <c r="CD16" s="1">
        <v>-40</v>
      </c>
      <c r="CE16" s="4">
        <v>-40</v>
      </c>
      <c r="CG16" s="3">
        <v>-4</v>
      </c>
      <c r="CH16" s="1">
        <v>-4</v>
      </c>
      <c r="CI16" s="1">
        <v>-4</v>
      </c>
      <c r="CJ16" s="1">
        <v>-4</v>
      </c>
      <c r="CK16" s="1">
        <v>-4</v>
      </c>
      <c r="CL16" s="1">
        <v>-4</v>
      </c>
      <c r="CM16" s="1">
        <v>-4</v>
      </c>
      <c r="CN16" s="4">
        <v>-4</v>
      </c>
      <c r="CP16" s="3">
        <v>-7</v>
      </c>
      <c r="CQ16" s="1">
        <v>-7</v>
      </c>
      <c r="CR16" s="1">
        <v>-7</v>
      </c>
      <c r="CS16" s="1">
        <v>-7</v>
      </c>
      <c r="CT16" s="1">
        <v>-7</v>
      </c>
      <c r="CU16" s="1">
        <v>-7</v>
      </c>
      <c r="CV16" s="1">
        <v>-7</v>
      </c>
      <c r="CW16" s="4">
        <v>-7</v>
      </c>
    </row>
    <row r="17" spans="1:101">
      <c r="A17" s="8" t="str">
        <f>VLOOKUP(B17,List!W:X,2,1)</f>
        <v>0.20 - 0.22</v>
      </c>
      <c r="B17" s="8">
        <v>0.2</v>
      </c>
      <c r="C17" s="8" t="s">
        <v>14</v>
      </c>
      <c r="D17" s="3">
        <v>-60</v>
      </c>
      <c r="E17" s="1">
        <v>-60</v>
      </c>
      <c r="F17" s="1">
        <v>-60</v>
      </c>
      <c r="G17" s="1">
        <v>-60</v>
      </c>
      <c r="H17" s="1">
        <v>-60</v>
      </c>
      <c r="I17" s="1">
        <v>-60</v>
      </c>
      <c r="J17" s="1">
        <v>-60</v>
      </c>
      <c r="K17" s="4">
        <v>-60</v>
      </c>
      <c r="M17" s="3">
        <f t="shared" si="0"/>
        <v>-66</v>
      </c>
      <c r="N17" s="1">
        <f t="shared" si="1"/>
        <v>-66</v>
      </c>
      <c r="O17" s="1">
        <f t="shared" si="2"/>
        <v>-66</v>
      </c>
      <c r="P17" s="1">
        <f t="shared" si="3"/>
        <v>-66</v>
      </c>
      <c r="Q17" s="1">
        <f t="shared" si="4"/>
        <v>-66</v>
      </c>
      <c r="R17" s="1">
        <f t="shared" si="5"/>
        <v>-66</v>
      </c>
      <c r="S17" s="1">
        <f t="shared" si="6"/>
        <v>-66</v>
      </c>
      <c r="T17" s="4">
        <f t="shared" si="7"/>
        <v>-66</v>
      </c>
      <c r="V17" s="3">
        <f t="shared" si="8"/>
        <v>-76</v>
      </c>
      <c r="W17" s="1">
        <f t="shared" si="9"/>
        <v>-76</v>
      </c>
      <c r="X17" s="1">
        <f t="shared" si="10"/>
        <v>-76</v>
      </c>
      <c r="Y17" s="1">
        <f t="shared" si="11"/>
        <v>-76</v>
      </c>
      <c r="Z17" s="1">
        <f t="shared" si="12"/>
        <v>-76</v>
      </c>
      <c r="AA17" s="1">
        <f t="shared" si="13"/>
        <v>-76</v>
      </c>
      <c r="AB17" s="1">
        <f t="shared" si="14"/>
        <v>-76</v>
      </c>
      <c r="AC17" s="4">
        <f t="shared" si="15"/>
        <v>-76</v>
      </c>
      <c r="AE17" s="3" t="str">
        <f t="shared" si="16"/>
        <v/>
      </c>
      <c r="AF17" s="1" t="str">
        <f t="shared" si="17"/>
        <v/>
      </c>
      <c r="AG17" s="1" t="str">
        <f t="shared" si="18"/>
        <v/>
      </c>
      <c r="AH17" s="1" t="str">
        <f t="shared" si="19"/>
        <v/>
      </c>
      <c r="AI17" s="1" t="str">
        <f t="shared" si="20"/>
        <v/>
      </c>
      <c r="AJ17" s="1" t="str">
        <f t="shared" si="21"/>
        <v/>
      </c>
      <c r="AK17" s="1" t="str">
        <f t="shared" si="22"/>
        <v/>
      </c>
      <c r="AL17" s="4" t="str">
        <f t="shared" si="23"/>
        <v/>
      </c>
      <c r="AN17" s="3" t="str">
        <f t="shared" si="24"/>
        <v/>
      </c>
      <c r="AO17" s="1" t="str">
        <f t="shared" si="25"/>
        <v/>
      </c>
      <c r="AP17" s="1" t="str">
        <f t="shared" si="26"/>
        <v/>
      </c>
      <c r="AQ17" s="1" t="str">
        <f t="shared" si="27"/>
        <v/>
      </c>
      <c r="AR17" s="1" t="str">
        <f t="shared" si="28"/>
        <v/>
      </c>
      <c r="AS17" s="1" t="str">
        <f t="shared" si="29"/>
        <v/>
      </c>
      <c r="AT17" s="1" t="str">
        <f t="shared" si="30"/>
        <v/>
      </c>
      <c r="AU17" s="4" t="str">
        <f t="shared" si="31"/>
        <v/>
      </c>
      <c r="AW17" s="3" t="str">
        <f t="shared" si="32"/>
        <v/>
      </c>
      <c r="AX17" s="1" t="str">
        <f t="shared" si="33"/>
        <v/>
      </c>
      <c r="AY17" s="1" t="str">
        <f t="shared" si="34"/>
        <v/>
      </c>
      <c r="AZ17" s="1" t="str">
        <f t="shared" si="35"/>
        <v/>
      </c>
      <c r="BA17" s="1" t="str">
        <f t="shared" si="36"/>
        <v/>
      </c>
      <c r="BB17" s="1" t="str">
        <f t="shared" si="37"/>
        <v/>
      </c>
      <c r="BC17" s="1" t="str">
        <f t="shared" si="38"/>
        <v/>
      </c>
      <c r="BD17" s="4" t="str">
        <f t="shared" si="39"/>
        <v/>
      </c>
      <c r="BF17" s="3">
        <v>-6</v>
      </c>
      <c r="BG17" s="1">
        <v>-6</v>
      </c>
      <c r="BH17" s="1">
        <v>-6</v>
      </c>
      <c r="BI17" s="1">
        <v>-6</v>
      </c>
      <c r="BJ17" s="1">
        <v>-6</v>
      </c>
      <c r="BK17" s="1">
        <v>-6</v>
      </c>
      <c r="BL17" s="1">
        <v>-6</v>
      </c>
      <c r="BM17" s="4">
        <v>-6</v>
      </c>
      <c r="BO17" s="3">
        <v>-10</v>
      </c>
      <c r="BP17" s="1">
        <v>-10</v>
      </c>
      <c r="BQ17" s="1">
        <v>-10</v>
      </c>
      <c r="BR17" s="1">
        <v>-10</v>
      </c>
      <c r="BS17" s="1">
        <v>-10</v>
      </c>
      <c r="BT17" s="1">
        <v>-10</v>
      </c>
      <c r="BU17" s="1">
        <v>-10</v>
      </c>
      <c r="BV17" s="4">
        <v>-10</v>
      </c>
      <c r="BX17" s="3" t="s">
        <v>22</v>
      </c>
      <c r="BY17" s="1" t="s">
        <v>22</v>
      </c>
      <c r="BZ17" s="1" t="s">
        <v>22</v>
      </c>
      <c r="CA17" s="1" t="s">
        <v>22</v>
      </c>
      <c r="CB17" s="1" t="s">
        <v>22</v>
      </c>
      <c r="CC17" s="1" t="s">
        <v>22</v>
      </c>
      <c r="CD17" s="1" t="s">
        <v>22</v>
      </c>
      <c r="CE17" s="4" t="s">
        <v>22</v>
      </c>
      <c r="CG17" s="3" t="s">
        <v>22</v>
      </c>
      <c r="CH17" s="1" t="s">
        <v>22</v>
      </c>
      <c r="CI17" s="1" t="s">
        <v>22</v>
      </c>
      <c r="CJ17" s="1" t="s">
        <v>22</v>
      </c>
      <c r="CK17" s="1" t="s">
        <v>22</v>
      </c>
      <c r="CL17" s="1" t="s">
        <v>22</v>
      </c>
      <c r="CM17" s="1" t="s">
        <v>22</v>
      </c>
      <c r="CN17" s="4" t="s">
        <v>22</v>
      </c>
      <c r="CP17" s="3" t="s">
        <v>22</v>
      </c>
      <c r="CQ17" s="1" t="s">
        <v>22</v>
      </c>
      <c r="CR17" s="1" t="s">
        <v>22</v>
      </c>
      <c r="CS17" s="1" t="s">
        <v>22</v>
      </c>
      <c r="CT17" s="1" t="s">
        <v>22</v>
      </c>
      <c r="CU17" s="1" t="s">
        <v>22</v>
      </c>
      <c r="CV17" s="1" t="s">
        <v>22</v>
      </c>
      <c r="CW17" s="4" t="s">
        <v>22</v>
      </c>
    </row>
    <row r="18" spans="1:101">
      <c r="A18" s="8" t="str">
        <f>VLOOKUP(B18,List!W:X,2,1)</f>
        <v>0.20 - 0.22</v>
      </c>
      <c r="B18" s="8">
        <v>0.2</v>
      </c>
      <c r="C18" s="8" t="s">
        <v>15</v>
      </c>
      <c r="D18" s="3">
        <v>-40</v>
      </c>
      <c r="E18" s="1">
        <v>-40</v>
      </c>
      <c r="F18" s="1">
        <v>-40</v>
      </c>
      <c r="G18" s="1">
        <v>-40</v>
      </c>
      <c r="H18" s="1">
        <v>-40</v>
      </c>
      <c r="I18" s="1">
        <v>-40</v>
      </c>
      <c r="J18" s="1">
        <v>-40</v>
      </c>
      <c r="K18" s="4">
        <v>-40</v>
      </c>
      <c r="M18" s="3">
        <f t="shared" si="0"/>
        <v>-46</v>
      </c>
      <c r="N18" s="1">
        <f t="shared" si="1"/>
        <v>-46</v>
      </c>
      <c r="O18" s="1">
        <f t="shared" si="2"/>
        <v>-46</v>
      </c>
      <c r="P18" s="1">
        <f t="shared" si="3"/>
        <v>-46</v>
      </c>
      <c r="Q18" s="1">
        <f t="shared" si="4"/>
        <v>-46</v>
      </c>
      <c r="R18" s="1">
        <f t="shared" si="5"/>
        <v>-46</v>
      </c>
      <c r="S18" s="1">
        <f t="shared" si="6"/>
        <v>-46</v>
      </c>
      <c r="T18" s="4">
        <f t="shared" si="7"/>
        <v>-46</v>
      </c>
      <c r="V18" s="3">
        <f t="shared" si="8"/>
        <v>-56</v>
      </c>
      <c r="W18" s="1">
        <f t="shared" si="9"/>
        <v>-56</v>
      </c>
      <c r="X18" s="1">
        <f t="shared" si="10"/>
        <v>-56</v>
      </c>
      <c r="Y18" s="1">
        <f t="shared" si="11"/>
        <v>-56</v>
      </c>
      <c r="Z18" s="1">
        <f t="shared" si="12"/>
        <v>-56</v>
      </c>
      <c r="AA18" s="1">
        <f t="shared" si="13"/>
        <v>-56</v>
      </c>
      <c r="AB18" s="1">
        <f t="shared" si="14"/>
        <v>-56</v>
      </c>
      <c r="AC18" s="4">
        <f t="shared" si="15"/>
        <v>-56</v>
      </c>
      <c r="AE18" s="3" t="str">
        <f t="shared" si="16"/>
        <v/>
      </c>
      <c r="AF18" s="1" t="str">
        <f t="shared" si="17"/>
        <v/>
      </c>
      <c r="AG18" s="1" t="str">
        <f t="shared" si="18"/>
        <v/>
      </c>
      <c r="AH18" s="1" t="str">
        <f t="shared" si="19"/>
        <v/>
      </c>
      <c r="AI18" s="1" t="str">
        <f t="shared" si="20"/>
        <v/>
      </c>
      <c r="AJ18" s="1" t="str">
        <f t="shared" si="21"/>
        <v/>
      </c>
      <c r="AK18" s="1" t="str">
        <f t="shared" si="22"/>
        <v/>
      </c>
      <c r="AL18" s="4" t="str">
        <f t="shared" si="23"/>
        <v/>
      </c>
      <c r="AN18" s="3" t="str">
        <f t="shared" si="24"/>
        <v/>
      </c>
      <c r="AO18" s="1" t="str">
        <f t="shared" si="25"/>
        <v/>
      </c>
      <c r="AP18" s="1" t="str">
        <f t="shared" si="26"/>
        <v/>
      </c>
      <c r="AQ18" s="1" t="str">
        <f t="shared" si="27"/>
        <v/>
      </c>
      <c r="AR18" s="1" t="str">
        <f t="shared" si="28"/>
        <v/>
      </c>
      <c r="AS18" s="1" t="str">
        <f t="shared" si="29"/>
        <v/>
      </c>
      <c r="AT18" s="1" t="str">
        <f t="shared" si="30"/>
        <v/>
      </c>
      <c r="AU18" s="4" t="str">
        <f t="shared" si="31"/>
        <v/>
      </c>
      <c r="AW18" s="3" t="str">
        <f t="shared" si="32"/>
        <v/>
      </c>
      <c r="AX18" s="1" t="str">
        <f t="shared" si="33"/>
        <v/>
      </c>
      <c r="AY18" s="1" t="str">
        <f t="shared" si="34"/>
        <v/>
      </c>
      <c r="AZ18" s="1" t="str">
        <f t="shared" si="35"/>
        <v/>
      </c>
      <c r="BA18" s="1" t="str">
        <f t="shared" si="36"/>
        <v/>
      </c>
      <c r="BB18" s="1" t="str">
        <f t="shared" si="37"/>
        <v/>
      </c>
      <c r="BC18" s="1" t="str">
        <f t="shared" si="38"/>
        <v/>
      </c>
      <c r="BD18" s="4" t="str">
        <f t="shared" si="39"/>
        <v/>
      </c>
      <c r="BF18" s="3">
        <v>-6</v>
      </c>
      <c r="BG18" s="1">
        <v>-6</v>
      </c>
      <c r="BH18" s="1">
        <v>-6</v>
      </c>
      <c r="BI18" s="1">
        <v>-6</v>
      </c>
      <c r="BJ18" s="1">
        <v>-6</v>
      </c>
      <c r="BK18" s="1">
        <v>-6</v>
      </c>
      <c r="BL18" s="1">
        <v>-6</v>
      </c>
      <c r="BM18" s="4">
        <v>-6</v>
      </c>
      <c r="BO18" s="3">
        <v>-10</v>
      </c>
      <c r="BP18" s="1">
        <v>-10</v>
      </c>
      <c r="BQ18" s="1">
        <v>-10</v>
      </c>
      <c r="BR18" s="1">
        <v>-10</v>
      </c>
      <c r="BS18" s="1">
        <v>-10</v>
      </c>
      <c r="BT18" s="1">
        <v>-10</v>
      </c>
      <c r="BU18" s="1">
        <v>-10</v>
      </c>
      <c r="BV18" s="4">
        <v>-10</v>
      </c>
      <c r="BX18" s="3" t="s">
        <v>22</v>
      </c>
      <c r="BY18" s="1" t="s">
        <v>22</v>
      </c>
      <c r="BZ18" s="1" t="s">
        <v>22</v>
      </c>
      <c r="CA18" s="1" t="s">
        <v>22</v>
      </c>
      <c r="CB18" s="1" t="s">
        <v>22</v>
      </c>
      <c r="CC18" s="1" t="s">
        <v>22</v>
      </c>
      <c r="CD18" s="1" t="s">
        <v>22</v>
      </c>
      <c r="CE18" s="4" t="s">
        <v>22</v>
      </c>
      <c r="CG18" s="3" t="s">
        <v>22</v>
      </c>
      <c r="CH18" s="1" t="s">
        <v>22</v>
      </c>
      <c r="CI18" s="1" t="s">
        <v>22</v>
      </c>
      <c r="CJ18" s="1" t="s">
        <v>22</v>
      </c>
      <c r="CK18" s="1" t="s">
        <v>22</v>
      </c>
      <c r="CL18" s="1" t="s">
        <v>22</v>
      </c>
      <c r="CM18" s="1" t="s">
        <v>22</v>
      </c>
      <c r="CN18" s="4" t="s">
        <v>22</v>
      </c>
      <c r="CP18" s="3" t="s">
        <v>22</v>
      </c>
      <c r="CQ18" s="1" t="s">
        <v>22</v>
      </c>
      <c r="CR18" s="1" t="s">
        <v>22</v>
      </c>
      <c r="CS18" s="1" t="s">
        <v>22</v>
      </c>
      <c r="CT18" s="1" t="s">
        <v>22</v>
      </c>
      <c r="CU18" s="1" t="s">
        <v>22</v>
      </c>
      <c r="CV18" s="1" t="s">
        <v>22</v>
      </c>
      <c r="CW18" s="4" t="s">
        <v>22</v>
      </c>
    </row>
    <row r="19" spans="1:101">
      <c r="A19" s="8" t="str">
        <f>VLOOKUP(B19,List!W:X,2,1)</f>
        <v>0.23 - 0.24</v>
      </c>
      <c r="B19" s="8">
        <v>0.23</v>
      </c>
      <c r="C19" s="8" t="s">
        <v>8</v>
      </c>
      <c r="D19" s="3">
        <v>8</v>
      </c>
      <c r="E19" s="1">
        <v>8</v>
      </c>
      <c r="F19" s="1">
        <v>-32</v>
      </c>
      <c r="G19" s="1">
        <v>-46</v>
      </c>
      <c r="H19" s="1">
        <v>-39</v>
      </c>
      <c r="I19" s="1">
        <v>-38</v>
      </c>
      <c r="J19" s="1">
        <v>-50</v>
      </c>
      <c r="K19" s="4">
        <v>-50</v>
      </c>
      <c r="M19" s="3">
        <f t="shared" si="0"/>
        <v>0</v>
      </c>
      <c r="N19" s="1">
        <f t="shared" si="1"/>
        <v>0</v>
      </c>
      <c r="O19" s="1">
        <f t="shared" si="2"/>
        <v>-37</v>
      </c>
      <c r="P19" s="1">
        <f t="shared" si="3"/>
        <v>-50</v>
      </c>
      <c r="Q19" s="1">
        <f t="shared" si="4"/>
        <v>-43</v>
      </c>
      <c r="R19" s="1">
        <f t="shared" si="5"/>
        <v>-42</v>
      </c>
      <c r="S19" s="1">
        <f t="shared" si="6"/>
        <v>-58</v>
      </c>
      <c r="T19" s="4">
        <f t="shared" si="7"/>
        <v>-58</v>
      </c>
      <c r="V19" s="3">
        <f t="shared" si="8"/>
        <v>-12</v>
      </c>
      <c r="W19" s="1">
        <f t="shared" si="9"/>
        <v>-12</v>
      </c>
      <c r="X19" s="1">
        <f t="shared" si="10"/>
        <v>-49</v>
      </c>
      <c r="Y19" s="1">
        <f t="shared" si="11"/>
        <v>-62</v>
      </c>
      <c r="Z19" s="1">
        <f t="shared" si="12"/>
        <v>-55</v>
      </c>
      <c r="AA19" s="1">
        <f t="shared" si="13"/>
        <v>-54</v>
      </c>
      <c r="AB19" s="1">
        <f t="shared" si="14"/>
        <v>-73</v>
      </c>
      <c r="AC19" s="4">
        <f t="shared" si="15"/>
        <v>-73</v>
      </c>
      <c r="AE19" s="3">
        <f t="shared" si="16"/>
        <v>-12</v>
      </c>
      <c r="AF19" s="1">
        <f t="shared" si="17"/>
        <v>-12</v>
      </c>
      <c r="AG19" s="1">
        <f t="shared" si="18"/>
        <v>-52</v>
      </c>
      <c r="AH19" s="1">
        <f t="shared" si="19"/>
        <v>-66</v>
      </c>
      <c r="AI19" s="1">
        <f t="shared" si="20"/>
        <v>-59</v>
      </c>
      <c r="AJ19" s="1">
        <f t="shared" si="21"/>
        <v>-58</v>
      </c>
      <c r="AK19" s="1">
        <f t="shared" si="22"/>
        <v>-70</v>
      </c>
      <c r="AL19" s="4">
        <f t="shared" si="23"/>
        <v>-70</v>
      </c>
      <c r="AN19" s="3">
        <f t="shared" si="24"/>
        <v>-16</v>
      </c>
      <c r="AO19" s="1">
        <f t="shared" si="25"/>
        <v>-16</v>
      </c>
      <c r="AP19" s="1">
        <f t="shared" si="26"/>
        <v>-56</v>
      </c>
      <c r="AQ19" s="1">
        <f t="shared" si="27"/>
        <v>-70</v>
      </c>
      <c r="AR19" s="1">
        <f t="shared" si="28"/>
        <v>-63</v>
      </c>
      <c r="AS19" s="1">
        <f t="shared" si="29"/>
        <v>-62</v>
      </c>
      <c r="AT19" s="1">
        <f t="shared" si="30"/>
        <v>-74</v>
      </c>
      <c r="AU19" s="4">
        <f t="shared" si="31"/>
        <v>-74</v>
      </c>
      <c r="AW19" s="3">
        <f t="shared" si="32"/>
        <v>-19</v>
      </c>
      <c r="AX19" s="1">
        <f t="shared" si="33"/>
        <v>-19</v>
      </c>
      <c r="AY19" s="1">
        <f t="shared" si="34"/>
        <v>-59</v>
      </c>
      <c r="AZ19" s="1">
        <f t="shared" si="35"/>
        <v>-73</v>
      </c>
      <c r="BA19" s="1">
        <f t="shared" si="36"/>
        <v>-66</v>
      </c>
      <c r="BB19" s="1">
        <f t="shared" si="37"/>
        <v>-65</v>
      </c>
      <c r="BC19" s="1">
        <f t="shared" si="38"/>
        <v>-77</v>
      </c>
      <c r="BD19" s="4">
        <f t="shared" si="39"/>
        <v>-77</v>
      </c>
      <c r="BF19" s="3">
        <v>-8</v>
      </c>
      <c r="BG19" s="1">
        <v>-8</v>
      </c>
      <c r="BH19" s="1">
        <v>-5</v>
      </c>
      <c r="BI19" s="1">
        <v>-4</v>
      </c>
      <c r="BJ19" s="1">
        <v>-4</v>
      </c>
      <c r="BK19" s="1">
        <v>-4</v>
      </c>
      <c r="BL19" s="1">
        <v>-8</v>
      </c>
      <c r="BM19" s="4">
        <v>-8</v>
      </c>
      <c r="BO19" s="3">
        <v>-12</v>
      </c>
      <c r="BP19" s="1">
        <v>-12</v>
      </c>
      <c r="BQ19" s="1">
        <v>-12</v>
      </c>
      <c r="BR19" s="1">
        <v>-12</v>
      </c>
      <c r="BS19" s="1">
        <v>-12</v>
      </c>
      <c r="BT19" s="1">
        <v>-12</v>
      </c>
      <c r="BU19" s="1">
        <v>-15</v>
      </c>
      <c r="BV19" s="4">
        <v>-15</v>
      </c>
      <c r="BX19" s="3">
        <v>-20</v>
      </c>
      <c r="BY19" s="1">
        <v>-20</v>
      </c>
      <c r="BZ19" s="1">
        <v>-20</v>
      </c>
      <c r="CA19" s="1">
        <v>-20</v>
      </c>
      <c r="CB19" s="1">
        <v>-20</v>
      </c>
      <c r="CC19" s="1">
        <v>-20</v>
      </c>
      <c r="CD19" s="1">
        <v>-20</v>
      </c>
      <c r="CE19" s="4">
        <v>-20</v>
      </c>
      <c r="CG19" s="3">
        <v>-4</v>
      </c>
      <c r="CH19" s="1">
        <v>-4</v>
      </c>
      <c r="CI19" s="1">
        <v>-4</v>
      </c>
      <c r="CJ19" s="1">
        <v>-4</v>
      </c>
      <c r="CK19" s="1">
        <v>-4</v>
      </c>
      <c r="CL19" s="1">
        <v>-4</v>
      </c>
      <c r="CM19" s="1">
        <v>-4</v>
      </c>
      <c r="CN19" s="4">
        <v>-4</v>
      </c>
      <c r="CP19" s="3">
        <v>-7</v>
      </c>
      <c r="CQ19" s="1">
        <v>-7</v>
      </c>
      <c r="CR19" s="1">
        <v>-7</v>
      </c>
      <c r="CS19" s="1">
        <v>-7</v>
      </c>
      <c r="CT19" s="1">
        <v>-7</v>
      </c>
      <c r="CU19" s="1">
        <v>-7</v>
      </c>
      <c r="CV19" s="1">
        <v>-7</v>
      </c>
      <c r="CW19" s="4">
        <v>-7</v>
      </c>
    </row>
    <row r="20" spans="1:101">
      <c r="A20" s="8" t="str">
        <f>VLOOKUP(B20,List!W:X,2,1)</f>
        <v>0.23 - 0.24</v>
      </c>
      <c r="B20" s="8">
        <v>0.23</v>
      </c>
      <c r="C20" s="8" t="s">
        <v>9</v>
      </c>
      <c r="D20" s="3">
        <v>-11</v>
      </c>
      <c r="E20" s="1">
        <v>-11</v>
      </c>
      <c r="F20" s="1">
        <v>-33</v>
      </c>
      <c r="G20" s="1">
        <v>-47</v>
      </c>
      <c r="H20" s="1">
        <v>-40</v>
      </c>
      <c r="I20" s="1">
        <v>-39</v>
      </c>
      <c r="J20" s="1">
        <v>-50</v>
      </c>
      <c r="K20" s="4">
        <v>-50</v>
      </c>
      <c r="M20" s="3">
        <f t="shared" si="0"/>
        <v>-17</v>
      </c>
      <c r="N20" s="1">
        <f t="shared" si="1"/>
        <v>-17</v>
      </c>
      <c r="O20" s="1">
        <f t="shared" si="2"/>
        <v>-39</v>
      </c>
      <c r="P20" s="1">
        <f t="shared" si="3"/>
        <v>-50</v>
      </c>
      <c r="Q20" s="1">
        <f t="shared" si="4"/>
        <v>-44</v>
      </c>
      <c r="R20" s="1">
        <f t="shared" si="5"/>
        <v>-43</v>
      </c>
      <c r="S20" s="1">
        <f t="shared" si="6"/>
        <v>-58</v>
      </c>
      <c r="T20" s="4">
        <f t="shared" si="7"/>
        <v>-58</v>
      </c>
      <c r="V20" s="3">
        <f t="shared" si="8"/>
        <v>-29</v>
      </c>
      <c r="W20" s="1">
        <f t="shared" si="9"/>
        <v>-29</v>
      </c>
      <c r="X20" s="1">
        <f t="shared" si="10"/>
        <v>-51</v>
      </c>
      <c r="Y20" s="1">
        <f t="shared" si="11"/>
        <v>-62</v>
      </c>
      <c r="Z20" s="1">
        <f t="shared" si="12"/>
        <v>-56</v>
      </c>
      <c r="AA20" s="1">
        <f t="shared" si="13"/>
        <v>-55</v>
      </c>
      <c r="AB20" s="1">
        <f t="shared" si="14"/>
        <v>-73</v>
      </c>
      <c r="AC20" s="4">
        <f t="shared" si="15"/>
        <v>-73</v>
      </c>
      <c r="AE20" s="3">
        <f t="shared" si="16"/>
        <v>-31</v>
      </c>
      <c r="AF20" s="1">
        <f t="shared" si="17"/>
        <v>-31</v>
      </c>
      <c r="AG20" s="1">
        <f t="shared" si="18"/>
        <v>-53</v>
      </c>
      <c r="AH20" s="1">
        <f t="shared" si="19"/>
        <v>-67</v>
      </c>
      <c r="AI20" s="1">
        <f t="shared" si="20"/>
        <v>-60</v>
      </c>
      <c r="AJ20" s="1">
        <f t="shared" si="21"/>
        <v>-59</v>
      </c>
      <c r="AK20" s="1">
        <f t="shared" si="22"/>
        <v>-70</v>
      </c>
      <c r="AL20" s="4">
        <f t="shared" si="23"/>
        <v>-70</v>
      </c>
      <c r="AN20" s="3">
        <f t="shared" si="24"/>
        <v>-35</v>
      </c>
      <c r="AO20" s="1">
        <f t="shared" si="25"/>
        <v>-35</v>
      </c>
      <c r="AP20" s="1">
        <f t="shared" si="26"/>
        <v>-57</v>
      </c>
      <c r="AQ20" s="1">
        <f t="shared" si="27"/>
        <v>-71</v>
      </c>
      <c r="AR20" s="1">
        <f t="shared" si="28"/>
        <v>-64</v>
      </c>
      <c r="AS20" s="1">
        <f t="shared" si="29"/>
        <v>-63</v>
      </c>
      <c r="AT20" s="1">
        <f t="shared" si="30"/>
        <v>-74</v>
      </c>
      <c r="AU20" s="4">
        <f t="shared" si="31"/>
        <v>-74</v>
      </c>
      <c r="AW20" s="3">
        <f t="shared" si="32"/>
        <v>-38</v>
      </c>
      <c r="AX20" s="1">
        <f t="shared" si="33"/>
        <v>-38</v>
      </c>
      <c r="AY20" s="1">
        <f t="shared" si="34"/>
        <v>-60</v>
      </c>
      <c r="AZ20" s="1">
        <f t="shared" si="35"/>
        <v>-74</v>
      </c>
      <c r="BA20" s="1">
        <f t="shared" si="36"/>
        <v>-67</v>
      </c>
      <c r="BB20" s="1">
        <f t="shared" si="37"/>
        <v>-66</v>
      </c>
      <c r="BC20" s="1">
        <f t="shared" si="38"/>
        <v>-77</v>
      </c>
      <c r="BD20" s="4">
        <f t="shared" si="39"/>
        <v>-77</v>
      </c>
      <c r="BF20" s="3">
        <v>-6</v>
      </c>
      <c r="BG20" s="1">
        <v>-6</v>
      </c>
      <c r="BH20" s="1">
        <v>-6</v>
      </c>
      <c r="BI20" s="1">
        <v>-3</v>
      </c>
      <c r="BJ20" s="1">
        <v>-4</v>
      </c>
      <c r="BK20" s="1">
        <v>-4</v>
      </c>
      <c r="BL20" s="1">
        <v>-8</v>
      </c>
      <c r="BM20" s="4">
        <v>-8</v>
      </c>
      <c r="BO20" s="3">
        <v>-12</v>
      </c>
      <c r="BP20" s="1">
        <v>-12</v>
      </c>
      <c r="BQ20" s="1">
        <v>-12</v>
      </c>
      <c r="BR20" s="1">
        <v>-12</v>
      </c>
      <c r="BS20" s="1">
        <v>-12</v>
      </c>
      <c r="BT20" s="1">
        <v>-12</v>
      </c>
      <c r="BU20" s="1">
        <v>-15</v>
      </c>
      <c r="BV20" s="4">
        <v>-15</v>
      </c>
      <c r="BX20" s="3">
        <v>-20</v>
      </c>
      <c r="BY20" s="1">
        <v>-20</v>
      </c>
      <c r="BZ20" s="1">
        <v>-20</v>
      </c>
      <c r="CA20" s="1">
        <v>-20</v>
      </c>
      <c r="CB20" s="1">
        <v>-20</v>
      </c>
      <c r="CC20" s="1">
        <v>-20</v>
      </c>
      <c r="CD20" s="1">
        <v>-20</v>
      </c>
      <c r="CE20" s="4">
        <v>-20</v>
      </c>
      <c r="CG20" s="3">
        <v>-4</v>
      </c>
      <c r="CH20" s="1">
        <v>-4</v>
      </c>
      <c r="CI20" s="1">
        <v>-4</v>
      </c>
      <c r="CJ20" s="1">
        <v>-4</v>
      </c>
      <c r="CK20" s="1">
        <v>-4</v>
      </c>
      <c r="CL20" s="1">
        <v>-4</v>
      </c>
      <c r="CM20" s="1">
        <v>-4</v>
      </c>
      <c r="CN20" s="4">
        <v>-4</v>
      </c>
      <c r="CP20" s="3">
        <v>-7</v>
      </c>
      <c r="CQ20" s="1">
        <v>-7</v>
      </c>
      <c r="CR20" s="1">
        <v>-7</v>
      </c>
      <c r="CS20" s="1">
        <v>-7</v>
      </c>
      <c r="CT20" s="1">
        <v>-7</v>
      </c>
      <c r="CU20" s="1">
        <v>-7</v>
      </c>
      <c r="CV20" s="1">
        <v>-7</v>
      </c>
      <c r="CW20" s="4">
        <v>-7</v>
      </c>
    </row>
    <row r="21" spans="1:101">
      <c r="A21" s="8" t="str">
        <f>VLOOKUP(B21,List!W:X,2,1)</f>
        <v>0.23 - 0.24</v>
      </c>
      <c r="B21" s="8">
        <v>0.23</v>
      </c>
      <c r="C21" s="8" t="s">
        <v>10</v>
      </c>
      <c r="D21" s="3">
        <v>-35</v>
      </c>
      <c r="E21" s="1">
        <v>-35</v>
      </c>
      <c r="F21" s="1">
        <v>-44</v>
      </c>
      <c r="G21" s="1">
        <v>-47</v>
      </c>
      <c r="H21" s="1">
        <v>-40</v>
      </c>
      <c r="I21" s="1">
        <v>-40</v>
      </c>
      <c r="J21" s="1">
        <v>-50</v>
      </c>
      <c r="K21" s="4">
        <v>-50</v>
      </c>
      <c r="M21" s="3">
        <f t="shared" si="0"/>
        <v>-42</v>
      </c>
      <c r="N21" s="1">
        <f t="shared" si="1"/>
        <v>-42</v>
      </c>
      <c r="O21" s="1">
        <f t="shared" si="2"/>
        <v>-47</v>
      </c>
      <c r="P21" s="1">
        <f t="shared" si="3"/>
        <v>-50</v>
      </c>
      <c r="Q21" s="1">
        <f t="shared" si="4"/>
        <v>-45</v>
      </c>
      <c r="R21" s="1">
        <f t="shared" si="5"/>
        <v>-43</v>
      </c>
      <c r="S21" s="1">
        <f t="shared" si="6"/>
        <v>-58</v>
      </c>
      <c r="T21" s="4">
        <f t="shared" si="7"/>
        <v>-58</v>
      </c>
      <c r="V21" s="3">
        <f t="shared" si="8"/>
        <v>-54</v>
      </c>
      <c r="W21" s="1">
        <f t="shared" si="9"/>
        <v>-54</v>
      </c>
      <c r="X21" s="1">
        <f t="shared" si="10"/>
        <v>-59</v>
      </c>
      <c r="Y21" s="1">
        <f t="shared" si="11"/>
        <v>-62</v>
      </c>
      <c r="Z21" s="1">
        <f t="shared" si="12"/>
        <v>-57</v>
      </c>
      <c r="AA21" s="1">
        <f t="shared" si="13"/>
        <v>-55</v>
      </c>
      <c r="AB21" s="1">
        <f t="shared" si="14"/>
        <v>-73</v>
      </c>
      <c r="AC21" s="4">
        <f t="shared" si="15"/>
        <v>-73</v>
      </c>
      <c r="AE21" s="3">
        <f t="shared" si="16"/>
        <v>-55</v>
      </c>
      <c r="AF21" s="1">
        <f t="shared" si="17"/>
        <v>-55</v>
      </c>
      <c r="AG21" s="1">
        <f t="shared" si="18"/>
        <v>-64</v>
      </c>
      <c r="AH21" s="1">
        <f t="shared" si="19"/>
        <v>-67</v>
      </c>
      <c r="AI21" s="1">
        <f t="shared" si="20"/>
        <v>-60</v>
      </c>
      <c r="AJ21" s="1">
        <f t="shared" si="21"/>
        <v>-60</v>
      </c>
      <c r="AK21" s="1">
        <f t="shared" si="22"/>
        <v>-70</v>
      </c>
      <c r="AL21" s="4">
        <f t="shared" si="23"/>
        <v>-70</v>
      </c>
      <c r="AN21" s="3">
        <f t="shared" si="24"/>
        <v>-59</v>
      </c>
      <c r="AO21" s="1">
        <f t="shared" si="25"/>
        <v>-59</v>
      </c>
      <c r="AP21" s="1">
        <f t="shared" si="26"/>
        <v>-68</v>
      </c>
      <c r="AQ21" s="1">
        <f t="shared" si="27"/>
        <v>-71</v>
      </c>
      <c r="AR21" s="1">
        <f t="shared" si="28"/>
        <v>-64</v>
      </c>
      <c r="AS21" s="1">
        <f t="shared" si="29"/>
        <v>-64</v>
      </c>
      <c r="AT21" s="1">
        <f t="shared" si="30"/>
        <v>-74</v>
      </c>
      <c r="AU21" s="4">
        <f t="shared" si="31"/>
        <v>-74</v>
      </c>
      <c r="AW21" s="3">
        <f t="shared" si="32"/>
        <v>-62</v>
      </c>
      <c r="AX21" s="1">
        <f t="shared" si="33"/>
        <v>-62</v>
      </c>
      <c r="AY21" s="1">
        <f t="shared" si="34"/>
        <v>-71</v>
      </c>
      <c r="AZ21" s="1">
        <f t="shared" si="35"/>
        <v>-74</v>
      </c>
      <c r="BA21" s="1">
        <f t="shared" si="36"/>
        <v>-67</v>
      </c>
      <c r="BB21" s="1">
        <f t="shared" si="37"/>
        <v>-67</v>
      </c>
      <c r="BC21" s="1">
        <f t="shared" si="38"/>
        <v>-77</v>
      </c>
      <c r="BD21" s="4">
        <f t="shared" si="39"/>
        <v>-77</v>
      </c>
      <c r="BF21" s="3">
        <v>-7</v>
      </c>
      <c r="BG21" s="1">
        <v>-7</v>
      </c>
      <c r="BH21" s="1">
        <v>-3</v>
      </c>
      <c r="BI21" s="1">
        <v>-3</v>
      </c>
      <c r="BJ21" s="1">
        <v>-5</v>
      </c>
      <c r="BK21" s="1">
        <v>-3</v>
      </c>
      <c r="BL21" s="1">
        <v>-8</v>
      </c>
      <c r="BM21" s="4">
        <v>-8</v>
      </c>
      <c r="BO21" s="3">
        <v>-12</v>
      </c>
      <c r="BP21" s="1">
        <v>-12</v>
      </c>
      <c r="BQ21" s="1">
        <v>-12</v>
      </c>
      <c r="BR21" s="1">
        <v>-12</v>
      </c>
      <c r="BS21" s="1">
        <v>-12</v>
      </c>
      <c r="BT21" s="1">
        <v>-12</v>
      </c>
      <c r="BU21" s="1">
        <v>-15</v>
      </c>
      <c r="BV21" s="4">
        <v>-15</v>
      </c>
      <c r="BX21" s="3">
        <v>-20</v>
      </c>
      <c r="BY21" s="1">
        <v>-20</v>
      </c>
      <c r="BZ21" s="1">
        <v>-20</v>
      </c>
      <c r="CA21" s="1">
        <v>-20</v>
      </c>
      <c r="CB21" s="1">
        <v>-20</v>
      </c>
      <c r="CC21" s="1">
        <v>-20</v>
      </c>
      <c r="CD21" s="1">
        <v>-20</v>
      </c>
      <c r="CE21" s="4">
        <v>-20</v>
      </c>
      <c r="CG21" s="3">
        <v>-4</v>
      </c>
      <c r="CH21" s="1">
        <v>-4</v>
      </c>
      <c r="CI21" s="1">
        <v>-4</v>
      </c>
      <c r="CJ21" s="1">
        <v>-4</v>
      </c>
      <c r="CK21" s="1">
        <v>-4</v>
      </c>
      <c r="CL21" s="1">
        <v>-4</v>
      </c>
      <c r="CM21" s="1">
        <v>-4</v>
      </c>
      <c r="CN21" s="4">
        <v>-4</v>
      </c>
      <c r="CP21" s="3">
        <v>-7</v>
      </c>
      <c r="CQ21" s="1">
        <v>-7</v>
      </c>
      <c r="CR21" s="1">
        <v>-7</v>
      </c>
      <c r="CS21" s="1">
        <v>-7</v>
      </c>
      <c r="CT21" s="1">
        <v>-7</v>
      </c>
      <c r="CU21" s="1">
        <v>-7</v>
      </c>
      <c r="CV21" s="1">
        <v>-7</v>
      </c>
      <c r="CW21" s="4">
        <v>-7</v>
      </c>
    </row>
    <row r="22" spans="1:101">
      <c r="A22" s="8" t="str">
        <f>VLOOKUP(B22,List!W:X,2,1)</f>
        <v>0.23 - 0.24</v>
      </c>
      <c r="B22" s="8">
        <v>0.23</v>
      </c>
      <c r="C22" s="8" t="s">
        <v>11</v>
      </c>
      <c r="D22" s="3">
        <v>-24</v>
      </c>
      <c r="E22" s="1">
        <v>-24</v>
      </c>
      <c r="F22" s="1">
        <v>-34</v>
      </c>
      <c r="G22" s="1">
        <v>-35</v>
      </c>
      <c r="H22" s="1">
        <v>-27</v>
      </c>
      <c r="I22" s="1">
        <v>-30</v>
      </c>
      <c r="J22" s="1">
        <v>-50</v>
      </c>
      <c r="K22" s="4">
        <v>-50</v>
      </c>
      <c r="M22" s="3">
        <f t="shared" si="0"/>
        <v>-27</v>
      </c>
      <c r="N22" s="1">
        <f t="shared" si="1"/>
        <v>-27</v>
      </c>
      <c r="O22" s="1">
        <f t="shared" si="2"/>
        <v>-38</v>
      </c>
      <c r="P22" s="1">
        <f t="shared" si="3"/>
        <v>-39</v>
      </c>
      <c r="Q22" s="1">
        <f t="shared" si="4"/>
        <v>-32</v>
      </c>
      <c r="R22" s="1">
        <f t="shared" si="5"/>
        <v>-33</v>
      </c>
      <c r="S22" s="1">
        <f t="shared" si="6"/>
        <v>-58</v>
      </c>
      <c r="T22" s="4">
        <f t="shared" si="7"/>
        <v>-58</v>
      </c>
      <c r="V22" s="3">
        <f t="shared" si="8"/>
        <v>-39</v>
      </c>
      <c r="W22" s="1">
        <f t="shared" si="9"/>
        <v>-39</v>
      </c>
      <c r="X22" s="1">
        <f t="shared" si="10"/>
        <v>-50</v>
      </c>
      <c r="Y22" s="1">
        <f t="shared" si="11"/>
        <v>-51</v>
      </c>
      <c r="Z22" s="1">
        <f t="shared" si="12"/>
        <v>-44</v>
      </c>
      <c r="AA22" s="1">
        <f t="shared" si="13"/>
        <v>-45</v>
      </c>
      <c r="AB22" s="1">
        <f t="shared" si="14"/>
        <v>-73</v>
      </c>
      <c r="AC22" s="4">
        <f t="shared" si="15"/>
        <v>-73</v>
      </c>
      <c r="AE22" s="3">
        <f t="shared" si="16"/>
        <v>-44</v>
      </c>
      <c r="AF22" s="1">
        <f t="shared" si="17"/>
        <v>-44</v>
      </c>
      <c r="AG22" s="1">
        <f t="shared" si="18"/>
        <v>-54</v>
      </c>
      <c r="AH22" s="1">
        <f t="shared" si="19"/>
        <v>-55</v>
      </c>
      <c r="AI22" s="1">
        <f t="shared" si="20"/>
        <v>-47</v>
      </c>
      <c r="AJ22" s="1">
        <f t="shared" si="21"/>
        <v>-50</v>
      </c>
      <c r="AK22" s="1">
        <f t="shared" si="22"/>
        <v>-70</v>
      </c>
      <c r="AL22" s="4">
        <f t="shared" si="23"/>
        <v>-70</v>
      </c>
      <c r="AN22" s="3">
        <f t="shared" si="24"/>
        <v>-48</v>
      </c>
      <c r="AO22" s="1">
        <f t="shared" si="25"/>
        <v>-48</v>
      </c>
      <c r="AP22" s="1">
        <f t="shared" si="26"/>
        <v>-58</v>
      </c>
      <c r="AQ22" s="1">
        <f t="shared" si="27"/>
        <v>-59</v>
      </c>
      <c r="AR22" s="1">
        <f t="shared" si="28"/>
        <v>-51</v>
      </c>
      <c r="AS22" s="1">
        <f t="shared" si="29"/>
        <v>-54</v>
      </c>
      <c r="AT22" s="1">
        <f t="shared" si="30"/>
        <v>-74</v>
      </c>
      <c r="AU22" s="4">
        <f t="shared" si="31"/>
        <v>-74</v>
      </c>
      <c r="AW22" s="3">
        <f t="shared" si="32"/>
        <v>-51</v>
      </c>
      <c r="AX22" s="1">
        <f t="shared" si="33"/>
        <v>-51</v>
      </c>
      <c r="AY22" s="1">
        <f t="shared" si="34"/>
        <v>-61</v>
      </c>
      <c r="AZ22" s="1">
        <f t="shared" si="35"/>
        <v>-62</v>
      </c>
      <c r="BA22" s="1">
        <f t="shared" si="36"/>
        <v>-54</v>
      </c>
      <c r="BB22" s="1">
        <f t="shared" si="37"/>
        <v>-57</v>
      </c>
      <c r="BC22" s="1">
        <f t="shared" si="38"/>
        <v>-77</v>
      </c>
      <c r="BD22" s="4">
        <f t="shared" si="39"/>
        <v>-77</v>
      </c>
      <c r="BF22" s="3">
        <v>-3</v>
      </c>
      <c r="BG22" s="1">
        <v>-3</v>
      </c>
      <c r="BH22" s="1">
        <v>-4</v>
      </c>
      <c r="BI22" s="1">
        <v>-4</v>
      </c>
      <c r="BJ22" s="1">
        <v>-5</v>
      </c>
      <c r="BK22" s="1">
        <v>-3</v>
      </c>
      <c r="BL22" s="1">
        <v>-8</v>
      </c>
      <c r="BM22" s="4">
        <v>-8</v>
      </c>
      <c r="BO22" s="3">
        <v>-12</v>
      </c>
      <c r="BP22" s="1">
        <v>-12</v>
      </c>
      <c r="BQ22" s="1">
        <v>-12</v>
      </c>
      <c r="BR22" s="1">
        <v>-12</v>
      </c>
      <c r="BS22" s="1">
        <v>-12</v>
      </c>
      <c r="BT22" s="1">
        <v>-12</v>
      </c>
      <c r="BU22" s="1">
        <v>-15</v>
      </c>
      <c r="BV22" s="4">
        <v>-15</v>
      </c>
      <c r="BX22" s="3">
        <v>-20</v>
      </c>
      <c r="BY22" s="1">
        <v>-20</v>
      </c>
      <c r="BZ22" s="1">
        <v>-20</v>
      </c>
      <c r="CA22" s="1">
        <v>-20</v>
      </c>
      <c r="CB22" s="1">
        <v>-20</v>
      </c>
      <c r="CC22" s="1">
        <v>-20</v>
      </c>
      <c r="CD22" s="1">
        <v>-20</v>
      </c>
      <c r="CE22" s="4">
        <v>-20</v>
      </c>
      <c r="CG22" s="3">
        <v>-4</v>
      </c>
      <c r="CH22" s="1">
        <v>-4</v>
      </c>
      <c r="CI22" s="1">
        <v>-4</v>
      </c>
      <c r="CJ22" s="1">
        <v>-4</v>
      </c>
      <c r="CK22" s="1">
        <v>-4</v>
      </c>
      <c r="CL22" s="1">
        <v>-4</v>
      </c>
      <c r="CM22" s="1">
        <v>-4</v>
      </c>
      <c r="CN22" s="4">
        <v>-4</v>
      </c>
      <c r="CP22" s="3">
        <v>-7</v>
      </c>
      <c r="CQ22" s="1">
        <v>-7</v>
      </c>
      <c r="CR22" s="1">
        <v>-7</v>
      </c>
      <c r="CS22" s="1">
        <v>-7</v>
      </c>
      <c r="CT22" s="1">
        <v>-7</v>
      </c>
      <c r="CU22" s="1">
        <v>-7</v>
      </c>
      <c r="CV22" s="1">
        <v>-7</v>
      </c>
      <c r="CW22" s="4">
        <v>-7</v>
      </c>
    </row>
    <row r="23" spans="1:101">
      <c r="A23" s="8" t="str">
        <f>VLOOKUP(B23,List!W:X,2,1)</f>
        <v>0.23 - 0.24</v>
      </c>
      <c r="B23" s="8">
        <v>0.23</v>
      </c>
      <c r="C23" s="8" t="s">
        <v>12</v>
      </c>
      <c r="D23" s="3">
        <v>-26</v>
      </c>
      <c r="E23" s="1">
        <v>-26</v>
      </c>
      <c r="F23" s="1">
        <v>-34</v>
      </c>
      <c r="G23" s="1">
        <v>-35</v>
      </c>
      <c r="H23" s="1">
        <v>-28</v>
      </c>
      <c r="I23" s="1">
        <v>-31</v>
      </c>
      <c r="J23" s="1">
        <v>-50</v>
      </c>
      <c r="K23" s="4">
        <v>-65</v>
      </c>
      <c r="M23" s="3">
        <f t="shared" si="0"/>
        <v>-30</v>
      </c>
      <c r="N23" s="1">
        <f t="shared" si="1"/>
        <v>-30</v>
      </c>
      <c r="O23" s="1">
        <f t="shared" si="2"/>
        <v>-38</v>
      </c>
      <c r="P23" s="1">
        <f t="shared" si="3"/>
        <v>-39</v>
      </c>
      <c r="Q23" s="1">
        <f t="shared" si="4"/>
        <v>-32</v>
      </c>
      <c r="R23" s="1">
        <f t="shared" si="5"/>
        <v>-34</v>
      </c>
      <c r="S23" s="1">
        <f t="shared" si="6"/>
        <v>-58</v>
      </c>
      <c r="T23" s="4">
        <f t="shared" si="7"/>
        <v>-73</v>
      </c>
      <c r="V23" s="3">
        <f t="shared" si="8"/>
        <v>-42</v>
      </c>
      <c r="W23" s="1">
        <f t="shared" si="9"/>
        <v>-42</v>
      </c>
      <c r="X23" s="1">
        <f t="shared" si="10"/>
        <v>-50</v>
      </c>
      <c r="Y23" s="1">
        <f t="shared" si="11"/>
        <v>-51</v>
      </c>
      <c r="Z23" s="1">
        <f t="shared" si="12"/>
        <v>-44</v>
      </c>
      <c r="AA23" s="1">
        <f t="shared" si="13"/>
        <v>-46</v>
      </c>
      <c r="AB23" s="1">
        <f t="shared" si="14"/>
        <v>-73</v>
      </c>
      <c r="AC23" s="4">
        <f t="shared" si="15"/>
        <v>-88</v>
      </c>
      <c r="AE23" s="3">
        <f t="shared" si="16"/>
        <v>-46</v>
      </c>
      <c r="AF23" s="1">
        <f t="shared" si="17"/>
        <v>-46</v>
      </c>
      <c r="AG23" s="1">
        <f t="shared" si="18"/>
        <v>-54</v>
      </c>
      <c r="AH23" s="1">
        <f t="shared" si="19"/>
        <v>-55</v>
      </c>
      <c r="AI23" s="1">
        <f t="shared" si="20"/>
        <v>-48</v>
      </c>
      <c r="AJ23" s="1">
        <f t="shared" si="21"/>
        <v>-51</v>
      </c>
      <c r="AK23" s="1">
        <f t="shared" si="22"/>
        <v>-70</v>
      </c>
      <c r="AL23" s="4">
        <f t="shared" si="23"/>
        <v>-85</v>
      </c>
      <c r="AN23" s="3">
        <f t="shared" si="24"/>
        <v>-50</v>
      </c>
      <c r="AO23" s="1">
        <f t="shared" si="25"/>
        <v>-50</v>
      </c>
      <c r="AP23" s="1">
        <f t="shared" si="26"/>
        <v>-58</v>
      </c>
      <c r="AQ23" s="1">
        <f t="shared" si="27"/>
        <v>-59</v>
      </c>
      <c r="AR23" s="1">
        <f t="shared" si="28"/>
        <v>-52</v>
      </c>
      <c r="AS23" s="1">
        <f t="shared" si="29"/>
        <v>-55</v>
      </c>
      <c r="AT23" s="1">
        <f t="shared" si="30"/>
        <v>-74</v>
      </c>
      <c r="AU23" s="4">
        <f t="shared" si="31"/>
        <v>-89</v>
      </c>
      <c r="AW23" s="3">
        <f t="shared" si="32"/>
        <v>-53</v>
      </c>
      <c r="AX23" s="1">
        <f t="shared" si="33"/>
        <v>-53</v>
      </c>
      <c r="AY23" s="1">
        <f t="shared" si="34"/>
        <v>-61</v>
      </c>
      <c r="AZ23" s="1">
        <f t="shared" si="35"/>
        <v>-62</v>
      </c>
      <c r="BA23" s="1">
        <f t="shared" si="36"/>
        <v>-55</v>
      </c>
      <c r="BB23" s="1">
        <f t="shared" si="37"/>
        <v>-58</v>
      </c>
      <c r="BC23" s="1">
        <f t="shared" si="38"/>
        <v>-77</v>
      </c>
      <c r="BD23" s="4">
        <f t="shared" si="39"/>
        <v>-92</v>
      </c>
      <c r="BF23" s="3">
        <v>-4</v>
      </c>
      <c r="BG23" s="1">
        <v>-4</v>
      </c>
      <c r="BH23" s="1">
        <v>-4</v>
      </c>
      <c r="BI23" s="1">
        <v>-4</v>
      </c>
      <c r="BJ23" s="1">
        <v>-4</v>
      </c>
      <c r="BK23" s="1">
        <v>-3</v>
      </c>
      <c r="BL23" s="1">
        <v>-8</v>
      </c>
      <c r="BM23" s="4">
        <v>-8</v>
      </c>
      <c r="BO23" s="3">
        <v>-12</v>
      </c>
      <c r="BP23" s="1">
        <v>-12</v>
      </c>
      <c r="BQ23" s="1">
        <v>-12</v>
      </c>
      <c r="BR23" s="1">
        <v>-12</v>
      </c>
      <c r="BS23" s="1">
        <v>-12</v>
      </c>
      <c r="BT23" s="1">
        <v>-12</v>
      </c>
      <c r="BU23" s="1">
        <v>-15</v>
      </c>
      <c r="BV23" s="4">
        <v>-15</v>
      </c>
      <c r="BX23" s="3">
        <v>-20</v>
      </c>
      <c r="BY23" s="1">
        <v>-20</v>
      </c>
      <c r="BZ23" s="1">
        <v>-20</v>
      </c>
      <c r="CA23" s="1">
        <v>-20</v>
      </c>
      <c r="CB23" s="1">
        <v>-20</v>
      </c>
      <c r="CC23" s="1">
        <v>-20</v>
      </c>
      <c r="CD23" s="1">
        <v>-20</v>
      </c>
      <c r="CE23" s="4">
        <v>-20</v>
      </c>
      <c r="CG23" s="3">
        <v>-4</v>
      </c>
      <c r="CH23" s="1">
        <v>-4</v>
      </c>
      <c r="CI23" s="1">
        <v>-4</v>
      </c>
      <c r="CJ23" s="1">
        <v>-4</v>
      </c>
      <c r="CK23" s="1">
        <v>-4</v>
      </c>
      <c r="CL23" s="1">
        <v>-4</v>
      </c>
      <c r="CM23" s="1">
        <v>-4</v>
      </c>
      <c r="CN23" s="4">
        <v>-4</v>
      </c>
      <c r="CP23" s="3">
        <v>-7</v>
      </c>
      <c r="CQ23" s="1">
        <v>-7</v>
      </c>
      <c r="CR23" s="1">
        <v>-7</v>
      </c>
      <c r="CS23" s="1">
        <v>-7</v>
      </c>
      <c r="CT23" s="1">
        <v>-7</v>
      </c>
      <c r="CU23" s="1">
        <v>-7</v>
      </c>
      <c r="CV23" s="1">
        <v>-7</v>
      </c>
      <c r="CW23" s="4">
        <v>-7</v>
      </c>
    </row>
    <row r="24" spans="1:101">
      <c r="A24" s="8" t="str">
        <f>VLOOKUP(B24,List!W:X,2,1)</f>
        <v>0.23 - 0.24</v>
      </c>
      <c r="B24" s="8">
        <v>0.23</v>
      </c>
      <c r="C24" s="8" t="s">
        <v>13</v>
      </c>
      <c r="D24" s="3">
        <v>-70</v>
      </c>
      <c r="E24" s="1">
        <v>-70</v>
      </c>
      <c r="F24" s="1">
        <v>-70</v>
      </c>
      <c r="G24" s="1">
        <v>-70</v>
      </c>
      <c r="H24" s="1">
        <v>-70</v>
      </c>
      <c r="I24" s="1">
        <v>-70</v>
      </c>
      <c r="J24" s="1">
        <v>-70</v>
      </c>
      <c r="K24" s="4">
        <v>-70</v>
      </c>
      <c r="M24" s="3">
        <f t="shared" si="0"/>
        <v>-77</v>
      </c>
      <c r="N24" s="1">
        <f t="shared" si="1"/>
        <v>-77</v>
      </c>
      <c r="O24" s="1">
        <f t="shared" si="2"/>
        <v>-77</v>
      </c>
      <c r="P24" s="1">
        <f t="shared" si="3"/>
        <v>-77</v>
      </c>
      <c r="Q24" s="1">
        <f t="shared" si="4"/>
        <v>-77</v>
      </c>
      <c r="R24" s="1">
        <f t="shared" si="5"/>
        <v>-77</v>
      </c>
      <c r="S24" s="1">
        <f t="shared" si="6"/>
        <v>-78</v>
      </c>
      <c r="T24" s="4">
        <f t="shared" si="7"/>
        <v>-78</v>
      </c>
      <c r="V24" s="3">
        <f t="shared" si="8"/>
        <v>-89</v>
      </c>
      <c r="W24" s="1">
        <f t="shared" si="9"/>
        <v>-89</v>
      </c>
      <c r="X24" s="1">
        <f t="shared" si="10"/>
        <v>-89</v>
      </c>
      <c r="Y24" s="1">
        <f t="shared" si="11"/>
        <v>-89</v>
      </c>
      <c r="Z24" s="1">
        <f t="shared" si="12"/>
        <v>-89</v>
      </c>
      <c r="AA24" s="1">
        <f t="shared" si="13"/>
        <v>-89</v>
      </c>
      <c r="AB24" s="1">
        <f t="shared" si="14"/>
        <v>-93</v>
      </c>
      <c r="AC24" s="4">
        <f t="shared" si="15"/>
        <v>-93</v>
      </c>
      <c r="AE24" s="3">
        <f t="shared" si="16"/>
        <v>-90</v>
      </c>
      <c r="AF24" s="1">
        <f t="shared" si="17"/>
        <v>-90</v>
      </c>
      <c r="AG24" s="1">
        <f t="shared" si="18"/>
        <v>-90</v>
      </c>
      <c r="AH24" s="1">
        <f t="shared" si="19"/>
        <v>-90</v>
      </c>
      <c r="AI24" s="1">
        <f t="shared" si="20"/>
        <v>-90</v>
      </c>
      <c r="AJ24" s="1">
        <f t="shared" si="21"/>
        <v>-90</v>
      </c>
      <c r="AK24" s="1">
        <f t="shared" si="22"/>
        <v>-90</v>
      </c>
      <c r="AL24" s="4">
        <f t="shared" si="23"/>
        <v>-90</v>
      </c>
      <c r="AN24" s="3">
        <f t="shared" si="24"/>
        <v>-94</v>
      </c>
      <c r="AO24" s="1">
        <f t="shared" si="25"/>
        <v>-94</v>
      </c>
      <c r="AP24" s="1">
        <f t="shared" si="26"/>
        <v>-94</v>
      </c>
      <c r="AQ24" s="1">
        <f t="shared" si="27"/>
        <v>-94</v>
      </c>
      <c r="AR24" s="1">
        <f t="shared" si="28"/>
        <v>-94</v>
      </c>
      <c r="AS24" s="1">
        <f t="shared" si="29"/>
        <v>-94</v>
      </c>
      <c r="AT24" s="1">
        <f t="shared" si="30"/>
        <v>-94</v>
      </c>
      <c r="AU24" s="4">
        <f t="shared" si="31"/>
        <v>-94</v>
      </c>
      <c r="AW24" s="3">
        <f t="shared" si="32"/>
        <v>-97</v>
      </c>
      <c r="AX24" s="1">
        <f t="shared" si="33"/>
        <v>-97</v>
      </c>
      <c r="AY24" s="1">
        <f t="shared" si="34"/>
        <v>-97</v>
      </c>
      <c r="AZ24" s="1">
        <f t="shared" si="35"/>
        <v>-97</v>
      </c>
      <c r="BA24" s="1">
        <f t="shared" si="36"/>
        <v>-97</v>
      </c>
      <c r="BB24" s="1">
        <f t="shared" si="37"/>
        <v>-97</v>
      </c>
      <c r="BC24" s="1">
        <f t="shared" si="38"/>
        <v>-97</v>
      </c>
      <c r="BD24" s="4">
        <f t="shared" si="39"/>
        <v>-97</v>
      </c>
      <c r="BF24" s="3">
        <v>-7</v>
      </c>
      <c r="BG24" s="1">
        <v>-7</v>
      </c>
      <c r="BH24" s="1">
        <v>-7</v>
      </c>
      <c r="BI24" s="1">
        <v>-7</v>
      </c>
      <c r="BJ24" s="1">
        <v>-7</v>
      </c>
      <c r="BK24" s="1">
        <v>-7</v>
      </c>
      <c r="BL24" s="1">
        <v>-8</v>
      </c>
      <c r="BM24" s="4">
        <v>-8</v>
      </c>
      <c r="BO24" s="3">
        <v>-12</v>
      </c>
      <c r="BP24" s="1">
        <v>-12</v>
      </c>
      <c r="BQ24" s="1">
        <v>-12</v>
      </c>
      <c r="BR24" s="1">
        <v>-12</v>
      </c>
      <c r="BS24" s="1">
        <v>-12</v>
      </c>
      <c r="BT24" s="1">
        <v>-12</v>
      </c>
      <c r="BU24" s="1">
        <v>-15</v>
      </c>
      <c r="BV24" s="4">
        <v>-15</v>
      </c>
      <c r="BX24" s="3">
        <v>-20</v>
      </c>
      <c r="BY24" s="1">
        <v>-20</v>
      </c>
      <c r="BZ24" s="1">
        <v>-20</v>
      </c>
      <c r="CA24" s="1">
        <v>-20</v>
      </c>
      <c r="CB24" s="1">
        <v>-20</v>
      </c>
      <c r="CC24" s="1">
        <v>-20</v>
      </c>
      <c r="CD24" s="1">
        <v>-20</v>
      </c>
      <c r="CE24" s="4">
        <v>-20</v>
      </c>
      <c r="CG24" s="3">
        <v>-4</v>
      </c>
      <c r="CH24" s="1">
        <v>-4</v>
      </c>
      <c r="CI24" s="1">
        <v>-4</v>
      </c>
      <c r="CJ24" s="1">
        <v>-4</v>
      </c>
      <c r="CK24" s="1">
        <v>-4</v>
      </c>
      <c r="CL24" s="1">
        <v>-4</v>
      </c>
      <c r="CM24" s="1">
        <v>-4</v>
      </c>
      <c r="CN24" s="4">
        <v>-4</v>
      </c>
      <c r="CP24" s="3">
        <v>-7</v>
      </c>
      <c r="CQ24" s="1">
        <v>-7</v>
      </c>
      <c r="CR24" s="1">
        <v>-7</v>
      </c>
      <c r="CS24" s="1">
        <v>-7</v>
      </c>
      <c r="CT24" s="1">
        <v>-7</v>
      </c>
      <c r="CU24" s="1">
        <v>-7</v>
      </c>
      <c r="CV24" s="1">
        <v>-7</v>
      </c>
      <c r="CW24" s="4">
        <v>-7</v>
      </c>
    </row>
    <row r="25" spans="1:101">
      <c r="A25" s="8" t="str">
        <f>VLOOKUP(B25,List!W:X,2,1)</f>
        <v>0.23 - 0.24</v>
      </c>
      <c r="B25" s="8">
        <v>0.23</v>
      </c>
      <c r="C25" s="8" t="s">
        <v>14</v>
      </c>
      <c r="D25" s="3">
        <v>-70</v>
      </c>
      <c r="E25" s="1">
        <v>-70</v>
      </c>
      <c r="F25" s="1">
        <v>-70</v>
      </c>
      <c r="G25" s="1">
        <v>-70</v>
      </c>
      <c r="H25" s="1">
        <v>-70</v>
      </c>
      <c r="I25" s="1">
        <v>-70</v>
      </c>
      <c r="J25" s="1">
        <v>-70</v>
      </c>
      <c r="K25" s="4">
        <v>-70</v>
      </c>
      <c r="M25" s="3">
        <f t="shared" si="0"/>
        <v>-77</v>
      </c>
      <c r="N25" s="1">
        <f t="shared" si="1"/>
        <v>-77</v>
      </c>
      <c r="O25" s="1">
        <f t="shared" si="2"/>
        <v>-77</v>
      </c>
      <c r="P25" s="1">
        <f t="shared" si="3"/>
        <v>-77</v>
      </c>
      <c r="Q25" s="1">
        <f t="shared" si="4"/>
        <v>-77</v>
      </c>
      <c r="R25" s="1">
        <f t="shared" si="5"/>
        <v>-77</v>
      </c>
      <c r="S25" s="1">
        <f t="shared" si="6"/>
        <v>-77</v>
      </c>
      <c r="T25" s="4">
        <f t="shared" si="7"/>
        <v>-77</v>
      </c>
      <c r="V25" s="3">
        <f t="shared" si="8"/>
        <v>-87</v>
      </c>
      <c r="W25" s="1">
        <f t="shared" si="9"/>
        <v>-87</v>
      </c>
      <c r="X25" s="1">
        <f t="shared" si="10"/>
        <v>-87</v>
      </c>
      <c r="Y25" s="1">
        <f t="shared" si="11"/>
        <v>-87</v>
      </c>
      <c r="Z25" s="1">
        <f t="shared" si="12"/>
        <v>-87</v>
      </c>
      <c r="AA25" s="1">
        <f t="shared" si="13"/>
        <v>-87</v>
      </c>
      <c r="AB25" s="1">
        <f t="shared" si="14"/>
        <v>-87</v>
      </c>
      <c r="AC25" s="4">
        <f t="shared" si="15"/>
        <v>-87</v>
      </c>
      <c r="AE25" s="3" t="str">
        <f t="shared" si="16"/>
        <v/>
      </c>
      <c r="AF25" s="1" t="str">
        <f t="shared" si="17"/>
        <v/>
      </c>
      <c r="AG25" s="1" t="str">
        <f t="shared" si="18"/>
        <v/>
      </c>
      <c r="AH25" s="1" t="str">
        <f t="shared" si="19"/>
        <v/>
      </c>
      <c r="AI25" s="1" t="str">
        <f t="shared" si="20"/>
        <v/>
      </c>
      <c r="AJ25" s="1" t="str">
        <f t="shared" si="21"/>
        <v/>
      </c>
      <c r="AK25" s="1" t="str">
        <f t="shared" si="22"/>
        <v/>
      </c>
      <c r="AL25" s="4" t="str">
        <f t="shared" si="23"/>
        <v/>
      </c>
      <c r="AN25" s="3" t="str">
        <f t="shared" si="24"/>
        <v/>
      </c>
      <c r="AO25" s="1" t="str">
        <f t="shared" si="25"/>
        <v/>
      </c>
      <c r="AP25" s="1" t="str">
        <f t="shared" si="26"/>
        <v/>
      </c>
      <c r="AQ25" s="1" t="str">
        <f t="shared" si="27"/>
        <v/>
      </c>
      <c r="AR25" s="1" t="str">
        <f t="shared" si="28"/>
        <v/>
      </c>
      <c r="AS25" s="1" t="str">
        <f t="shared" si="29"/>
        <v/>
      </c>
      <c r="AT25" s="1" t="str">
        <f t="shared" si="30"/>
        <v/>
      </c>
      <c r="AU25" s="4" t="str">
        <f t="shared" si="31"/>
        <v/>
      </c>
      <c r="AW25" s="3" t="str">
        <f t="shared" si="32"/>
        <v/>
      </c>
      <c r="AX25" s="1" t="str">
        <f t="shared" si="33"/>
        <v/>
      </c>
      <c r="AY25" s="1" t="str">
        <f t="shared" si="34"/>
        <v/>
      </c>
      <c r="AZ25" s="1" t="str">
        <f t="shared" si="35"/>
        <v/>
      </c>
      <c r="BA25" s="1" t="str">
        <f t="shared" si="36"/>
        <v/>
      </c>
      <c r="BB25" s="1" t="str">
        <f t="shared" si="37"/>
        <v/>
      </c>
      <c r="BC25" s="1" t="str">
        <f t="shared" si="38"/>
        <v/>
      </c>
      <c r="BD25" s="4" t="str">
        <f t="shared" si="39"/>
        <v/>
      </c>
      <c r="BF25" s="3">
        <v>-7</v>
      </c>
      <c r="BG25" s="1">
        <v>-7</v>
      </c>
      <c r="BH25" s="1">
        <v>-7</v>
      </c>
      <c r="BI25" s="1">
        <v>-7</v>
      </c>
      <c r="BJ25" s="1">
        <v>-7</v>
      </c>
      <c r="BK25" s="1">
        <v>-7</v>
      </c>
      <c r="BL25" s="1">
        <v>-7</v>
      </c>
      <c r="BM25" s="4">
        <v>-7</v>
      </c>
      <c r="BO25" s="3">
        <v>-10</v>
      </c>
      <c r="BP25" s="1">
        <v>-10</v>
      </c>
      <c r="BQ25" s="1">
        <v>-10</v>
      </c>
      <c r="BR25" s="1">
        <v>-10</v>
      </c>
      <c r="BS25" s="1">
        <v>-10</v>
      </c>
      <c r="BT25" s="1">
        <v>-10</v>
      </c>
      <c r="BU25" s="1">
        <v>-10</v>
      </c>
      <c r="BV25" s="4">
        <v>-10</v>
      </c>
      <c r="BX25" s="3" t="s">
        <v>22</v>
      </c>
      <c r="BY25" s="1" t="s">
        <v>22</v>
      </c>
      <c r="BZ25" s="1" t="s">
        <v>22</v>
      </c>
      <c r="CA25" s="1" t="s">
        <v>22</v>
      </c>
      <c r="CB25" s="1" t="s">
        <v>22</v>
      </c>
      <c r="CC25" s="1" t="s">
        <v>22</v>
      </c>
      <c r="CD25" s="1" t="s">
        <v>22</v>
      </c>
      <c r="CE25" s="4" t="s">
        <v>22</v>
      </c>
      <c r="CG25" s="3" t="s">
        <v>22</v>
      </c>
      <c r="CH25" s="1" t="s">
        <v>22</v>
      </c>
      <c r="CI25" s="1" t="s">
        <v>22</v>
      </c>
      <c r="CJ25" s="1" t="s">
        <v>22</v>
      </c>
      <c r="CK25" s="1" t="s">
        <v>22</v>
      </c>
      <c r="CL25" s="1" t="s">
        <v>22</v>
      </c>
      <c r="CM25" s="1" t="s">
        <v>22</v>
      </c>
      <c r="CN25" s="4" t="s">
        <v>22</v>
      </c>
      <c r="CP25" s="3" t="s">
        <v>22</v>
      </c>
      <c r="CQ25" s="1" t="s">
        <v>22</v>
      </c>
      <c r="CR25" s="1" t="s">
        <v>22</v>
      </c>
      <c r="CS25" s="1" t="s">
        <v>22</v>
      </c>
      <c r="CT25" s="1" t="s">
        <v>22</v>
      </c>
      <c r="CU25" s="1" t="s">
        <v>22</v>
      </c>
      <c r="CV25" s="1" t="s">
        <v>22</v>
      </c>
      <c r="CW25" s="4" t="s">
        <v>22</v>
      </c>
    </row>
    <row r="26" spans="1:101">
      <c r="A26" s="8" t="str">
        <f>VLOOKUP(B26,List!W:X,2,1)</f>
        <v>0.23 - 0.24</v>
      </c>
      <c r="B26" s="8">
        <v>0.23</v>
      </c>
      <c r="C26" s="8" t="s">
        <v>15</v>
      </c>
      <c r="D26" s="3">
        <v>-50</v>
      </c>
      <c r="E26" s="1">
        <v>-50</v>
      </c>
      <c r="F26" s="1">
        <v>-50</v>
      </c>
      <c r="G26" s="1">
        <v>-50</v>
      </c>
      <c r="H26" s="1">
        <v>-50</v>
      </c>
      <c r="I26" s="1">
        <v>-50</v>
      </c>
      <c r="J26" s="1">
        <v>-50</v>
      </c>
      <c r="K26" s="4">
        <v>-50</v>
      </c>
      <c r="M26" s="3">
        <f t="shared" si="0"/>
        <v>-57</v>
      </c>
      <c r="N26" s="1">
        <f t="shared" si="1"/>
        <v>-57</v>
      </c>
      <c r="O26" s="1">
        <f t="shared" si="2"/>
        <v>-57</v>
      </c>
      <c r="P26" s="1">
        <f t="shared" si="3"/>
        <v>-57</v>
      </c>
      <c r="Q26" s="1">
        <f t="shared" si="4"/>
        <v>-57</v>
      </c>
      <c r="R26" s="1">
        <f t="shared" si="5"/>
        <v>-57</v>
      </c>
      <c r="S26" s="1">
        <f t="shared" si="6"/>
        <v>-57</v>
      </c>
      <c r="T26" s="4">
        <f t="shared" si="7"/>
        <v>-57</v>
      </c>
      <c r="V26" s="3">
        <f t="shared" si="8"/>
        <v>-67</v>
      </c>
      <c r="W26" s="1">
        <f t="shared" si="9"/>
        <v>-67</v>
      </c>
      <c r="X26" s="1">
        <f t="shared" si="10"/>
        <v>-67</v>
      </c>
      <c r="Y26" s="1">
        <f t="shared" si="11"/>
        <v>-67</v>
      </c>
      <c r="Z26" s="1">
        <f t="shared" si="12"/>
        <v>-67</v>
      </c>
      <c r="AA26" s="1">
        <f t="shared" si="13"/>
        <v>-67</v>
      </c>
      <c r="AB26" s="1">
        <f t="shared" si="14"/>
        <v>-67</v>
      </c>
      <c r="AC26" s="4">
        <f t="shared" si="15"/>
        <v>-67</v>
      </c>
      <c r="AE26" s="3" t="str">
        <f t="shared" si="16"/>
        <v/>
      </c>
      <c r="AF26" s="1" t="str">
        <f t="shared" si="17"/>
        <v/>
      </c>
      <c r="AG26" s="1" t="str">
        <f t="shared" si="18"/>
        <v/>
      </c>
      <c r="AH26" s="1" t="str">
        <f t="shared" si="19"/>
        <v/>
      </c>
      <c r="AI26" s="1" t="str">
        <f t="shared" si="20"/>
        <v/>
      </c>
      <c r="AJ26" s="1" t="str">
        <f t="shared" si="21"/>
        <v/>
      </c>
      <c r="AK26" s="1" t="str">
        <f t="shared" si="22"/>
        <v/>
      </c>
      <c r="AL26" s="4" t="str">
        <f t="shared" si="23"/>
        <v/>
      </c>
      <c r="AN26" s="3" t="str">
        <f t="shared" si="24"/>
        <v/>
      </c>
      <c r="AO26" s="1" t="str">
        <f t="shared" si="25"/>
        <v/>
      </c>
      <c r="AP26" s="1" t="str">
        <f t="shared" si="26"/>
        <v/>
      </c>
      <c r="AQ26" s="1" t="str">
        <f t="shared" si="27"/>
        <v/>
      </c>
      <c r="AR26" s="1" t="str">
        <f t="shared" si="28"/>
        <v/>
      </c>
      <c r="AS26" s="1" t="str">
        <f t="shared" si="29"/>
        <v/>
      </c>
      <c r="AT26" s="1" t="str">
        <f t="shared" si="30"/>
        <v/>
      </c>
      <c r="AU26" s="4" t="str">
        <f t="shared" si="31"/>
        <v/>
      </c>
      <c r="AW26" s="3" t="str">
        <f t="shared" si="32"/>
        <v/>
      </c>
      <c r="AX26" s="1" t="str">
        <f t="shared" si="33"/>
        <v/>
      </c>
      <c r="AY26" s="1" t="str">
        <f t="shared" si="34"/>
        <v/>
      </c>
      <c r="AZ26" s="1" t="str">
        <f t="shared" si="35"/>
        <v/>
      </c>
      <c r="BA26" s="1" t="str">
        <f t="shared" si="36"/>
        <v/>
      </c>
      <c r="BB26" s="1" t="str">
        <f t="shared" si="37"/>
        <v/>
      </c>
      <c r="BC26" s="1" t="str">
        <f t="shared" si="38"/>
        <v/>
      </c>
      <c r="BD26" s="4" t="str">
        <f t="shared" si="39"/>
        <v/>
      </c>
      <c r="BF26" s="3">
        <v>-7</v>
      </c>
      <c r="BG26" s="1">
        <v>-7</v>
      </c>
      <c r="BH26" s="1">
        <v>-7</v>
      </c>
      <c r="BI26" s="1">
        <v>-7</v>
      </c>
      <c r="BJ26" s="1">
        <v>-7</v>
      </c>
      <c r="BK26" s="1">
        <v>-7</v>
      </c>
      <c r="BL26" s="1">
        <v>-7</v>
      </c>
      <c r="BM26" s="4">
        <v>-7</v>
      </c>
      <c r="BO26" s="3">
        <v>-10</v>
      </c>
      <c r="BP26" s="1">
        <v>-10</v>
      </c>
      <c r="BQ26" s="1">
        <v>-10</v>
      </c>
      <c r="BR26" s="1">
        <v>-10</v>
      </c>
      <c r="BS26" s="1">
        <v>-10</v>
      </c>
      <c r="BT26" s="1">
        <v>-10</v>
      </c>
      <c r="BU26" s="1">
        <v>-10</v>
      </c>
      <c r="BV26" s="4">
        <v>-10</v>
      </c>
      <c r="BX26" s="3" t="s">
        <v>22</v>
      </c>
      <c r="BY26" s="1" t="s">
        <v>22</v>
      </c>
      <c r="BZ26" s="1" t="s">
        <v>22</v>
      </c>
      <c r="CA26" s="1" t="s">
        <v>22</v>
      </c>
      <c r="CB26" s="1" t="s">
        <v>22</v>
      </c>
      <c r="CC26" s="1" t="s">
        <v>22</v>
      </c>
      <c r="CD26" s="1" t="s">
        <v>22</v>
      </c>
      <c r="CE26" s="4" t="s">
        <v>22</v>
      </c>
      <c r="CG26" s="3" t="s">
        <v>22</v>
      </c>
      <c r="CH26" s="1" t="s">
        <v>22</v>
      </c>
      <c r="CI26" s="1" t="s">
        <v>22</v>
      </c>
      <c r="CJ26" s="1" t="s">
        <v>22</v>
      </c>
      <c r="CK26" s="1" t="s">
        <v>22</v>
      </c>
      <c r="CL26" s="1" t="s">
        <v>22</v>
      </c>
      <c r="CM26" s="1" t="s">
        <v>22</v>
      </c>
      <c r="CN26" s="4" t="s">
        <v>22</v>
      </c>
      <c r="CP26" s="3" t="s">
        <v>22</v>
      </c>
      <c r="CQ26" s="1" t="s">
        <v>22</v>
      </c>
      <c r="CR26" s="1" t="s">
        <v>22</v>
      </c>
      <c r="CS26" s="1" t="s">
        <v>22</v>
      </c>
      <c r="CT26" s="1" t="s">
        <v>22</v>
      </c>
      <c r="CU26" s="1" t="s">
        <v>22</v>
      </c>
      <c r="CV26" s="1" t="s">
        <v>22</v>
      </c>
      <c r="CW26" s="4" t="s">
        <v>22</v>
      </c>
    </row>
    <row r="27" spans="1:101">
      <c r="A27" s="8" t="str">
        <f>VLOOKUP(B27,List!W:X,2,1)</f>
        <v>0.25 - 0.27</v>
      </c>
      <c r="B27" s="8">
        <v>0.25</v>
      </c>
      <c r="C27" s="8" t="s">
        <v>8</v>
      </c>
      <c r="D27" s="3">
        <v>11</v>
      </c>
      <c r="E27" s="1">
        <v>11</v>
      </c>
      <c r="F27" s="1">
        <v>-29</v>
      </c>
      <c r="G27" s="1">
        <v>-39</v>
      </c>
      <c r="H27" s="1">
        <v>-39</v>
      </c>
      <c r="I27" s="1">
        <v>-34</v>
      </c>
      <c r="J27" s="1">
        <v>-50</v>
      </c>
      <c r="K27" s="4">
        <v>-50</v>
      </c>
      <c r="M27" s="3">
        <f t="shared" si="0"/>
        <v>-4</v>
      </c>
      <c r="N27" s="1">
        <f t="shared" si="1"/>
        <v>-4</v>
      </c>
      <c r="O27" s="1">
        <f t="shared" si="2"/>
        <v>-37</v>
      </c>
      <c r="P27" s="1">
        <f t="shared" si="3"/>
        <v>-43</v>
      </c>
      <c r="Q27" s="1">
        <f t="shared" si="4"/>
        <v>-45</v>
      </c>
      <c r="R27" s="1">
        <f t="shared" si="5"/>
        <v>-38</v>
      </c>
      <c r="S27" s="1">
        <f t="shared" si="6"/>
        <v>-56</v>
      </c>
      <c r="T27" s="4">
        <f t="shared" si="7"/>
        <v>-56</v>
      </c>
      <c r="V27" s="3">
        <f t="shared" si="8"/>
        <v>-16</v>
      </c>
      <c r="W27" s="1">
        <f t="shared" si="9"/>
        <v>-16</v>
      </c>
      <c r="X27" s="1">
        <f t="shared" si="10"/>
        <v>-49</v>
      </c>
      <c r="Y27" s="1">
        <f t="shared" si="11"/>
        <v>-55</v>
      </c>
      <c r="Z27" s="1">
        <f t="shared" si="12"/>
        <v>-57</v>
      </c>
      <c r="AA27" s="1">
        <f t="shared" si="13"/>
        <v>-50</v>
      </c>
      <c r="AB27" s="1">
        <f t="shared" si="14"/>
        <v>-71</v>
      </c>
      <c r="AC27" s="4">
        <f t="shared" si="15"/>
        <v>-71</v>
      </c>
      <c r="AE27" s="3">
        <f t="shared" si="16"/>
        <v>-11</v>
      </c>
      <c r="AF27" s="1">
        <f t="shared" si="17"/>
        <v>-11</v>
      </c>
      <c r="AG27" s="1">
        <f t="shared" si="18"/>
        <v>-51</v>
      </c>
      <c r="AH27" s="1">
        <f t="shared" si="19"/>
        <v>-61</v>
      </c>
      <c r="AI27" s="1">
        <f t="shared" si="20"/>
        <v>-61</v>
      </c>
      <c r="AJ27" s="1">
        <f t="shared" si="21"/>
        <v>-56</v>
      </c>
      <c r="AK27" s="1">
        <f t="shared" si="22"/>
        <v>-72</v>
      </c>
      <c r="AL27" s="4">
        <f t="shared" si="23"/>
        <v>-70</v>
      </c>
      <c r="AN27" s="3">
        <f t="shared" si="24"/>
        <v>-14</v>
      </c>
      <c r="AO27" s="1">
        <f t="shared" si="25"/>
        <v>-14</v>
      </c>
      <c r="AP27" s="1">
        <f t="shared" si="26"/>
        <v>-54</v>
      </c>
      <c r="AQ27" s="1">
        <f t="shared" si="27"/>
        <v>-64</v>
      </c>
      <c r="AR27" s="1">
        <f t="shared" si="28"/>
        <v>-64</v>
      </c>
      <c r="AS27" s="1">
        <f t="shared" si="29"/>
        <v>-59</v>
      </c>
      <c r="AT27" s="1">
        <f t="shared" si="30"/>
        <v>-75</v>
      </c>
      <c r="AU27" s="4">
        <f t="shared" si="31"/>
        <v>-73</v>
      </c>
      <c r="AW27" s="3">
        <f t="shared" si="32"/>
        <v>-17</v>
      </c>
      <c r="AX27" s="1">
        <f t="shared" si="33"/>
        <v>-17</v>
      </c>
      <c r="AY27" s="1">
        <f t="shared" si="34"/>
        <v>-57</v>
      </c>
      <c r="AZ27" s="1">
        <f t="shared" si="35"/>
        <v>-67</v>
      </c>
      <c r="BA27" s="1">
        <f t="shared" si="36"/>
        <v>-67</v>
      </c>
      <c r="BB27" s="1">
        <f t="shared" si="37"/>
        <v>-62</v>
      </c>
      <c r="BC27" s="1">
        <f t="shared" si="38"/>
        <v>-78</v>
      </c>
      <c r="BD27" s="4">
        <f t="shared" si="39"/>
        <v>-76</v>
      </c>
      <c r="BF27" s="3">
        <v>-15</v>
      </c>
      <c r="BG27" s="1">
        <v>-15</v>
      </c>
      <c r="BH27" s="1">
        <v>-8</v>
      </c>
      <c r="BI27" s="1">
        <v>-4</v>
      </c>
      <c r="BJ27" s="1">
        <v>-6</v>
      </c>
      <c r="BK27" s="1">
        <v>-4</v>
      </c>
      <c r="BL27" s="1">
        <v>-6</v>
      </c>
      <c r="BM27" s="4">
        <v>-6</v>
      </c>
      <c r="BO27" s="3">
        <v>-12</v>
      </c>
      <c r="BP27" s="1">
        <v>-12</v>
      </c>
      <c r="BQ27" s="1">
        <v>-12</v>
      </c>
      <c r="BR27" s="1">
        <v>-12</v>
      </c>
      <c r="BS27" s="1">
        <v>-12</v>
      </c>
      <c r="BT27" s="1">
        <v>-12</v>
      </c>
      <c r="BU27" s="1">
        <v>-15</v>
      </c>
      <c r="BV27" s="4">
        <v>-15</v>
      </c>
      <c r="BX27" s="3">
        <v>-22</v>
      </c>
      <c r="BY27" s="1">
        <v>-22</v>
      </c>
      <c r="BZ27" s="1">
        <v>-22</v>
      </c>
      <c r="CA27" s="1">
        <v>-22</v>
      </c>
      <c r="CB27" s="1">
        <v>-22</v>
      </c>
      <c r="CC27" s="1">
        <v>-22</v>
      </c>
      <c r="CD27" s="1">
        <v>-22</v>
      </c>
      <c r="CE27" s="4">
        <v>-20</v>
      </c>
      <c r="CG27" s="3">
        <v>-3</v>
      </c>
      <c r="CH27" s="1">
        <v>-3</v>
      </c>
      <c r="CI27" s="1">
        <v>-3</v>
      </c>
      <c r="CJ27" s="1">
        <v>-3</v>
      </c>
      <c r="CK27" s="1">
        <v>-3</v>
      </c>
      <c r="CL27" s="1">
        <v>-3</v>
      </c>
      <c r="CM27" s="1">
        <v>-3</v>
      </c>
      <c r="CN27" s="4">
        <v>-3</v>
      </c>
      <c r="CP27" s="3">
        <v>-6</v>
      </c>
      <c r="CQ27" s="1">
        <v>-6</v>
      </c>
      <c r="CR27" s="1">
        <v>-6</v>
      </c>
      <c r="CS27" s="1">
        <v>-6</v>
      </c>
      <c r="CT27" s="1">
        <v>-6</v>
      </c>
      <c r="CU27" s="1">
        <v>-6</v>
      </c>
      <c r="CV27" s="1">
        <v>-6</v>
      </c>
      <c r="CW27" s="4">
        <v>-6</v>
      </c>
    </row>
    <row r="28" spans="1:101">
      <c r="A28" s="8" t="str">
        <f>VLOOKUP(B28,List!W:X,2,1)</f>
        <v>0.25 - 0.27</v>
      </c>
      <c r="B28" s="8">
        <v>0.25</v>
      </c>
      <c r="C28" s="8" t="s">
        <v>9</v>
      </c>
      <c r="D28" s="3">
        <v>-9</v>
      </c>
      <c r="E28" s="1">
        <v>-9</v>
      </c>
      <c r="F28" s="1">
        <v>-34</v>
      </c>
      <c r="G28" s="1">
        <v>-45</v>
      </c>
      <c r="H28" s="1">
        <v>-42</v>
      </c>
      <c r="I28" s="1">
        <v>-40</v>
      </c>
      <c r="J28" s="1">
        <v>-50</v>
      </c>
      <c r="K28" s="4">
        <v>-50</v>
      </c>
      <c r="M28" s="3">
        <f t="shared" si="0"/>
        <v>-17</v>
      </c>
      <c r="N28" s="1">
        <f t="shared" si="1"/>
        <v>-17</v>
      </c>
      <c r="O28" s="1">
        <f t="shared" si="2"/>
        <v>-42</v>
      </c>
      <c r="P28" s="1">
        <f t="shared" si="3"/>
        <v>-48</v>
      </c>
      <c r="Q28" s="1">
        <f t="shared" si="4"/>
        <v>-45</v>
      </c>
      <c r="R28" s="1">
        <f t="shared" si="5"/>
        <v>-43</v>
      </c>
      <c r="S28" s="1">
        <f t="shared" si="6"/>
        <v>-56</v>
      </c>
      <c r="T28" s="4">
        <f t="shared" si="7"/>
        <v>-56</v>
      </c>
      <c r="V28" s="3">
        <f t="shared" si="8"/>
        <v>-29</v>
      </c>
      <c r="W28" s="1">
        <f t="shared" si="9"/>
        <v>-29</v>
      </c>
      <c r="X28" s="1">
        <f t="shared" si="10"/>
        <v>-54</v>
      </c>
      <c r="Y28" s="1">
        <f t="shared" si="11"/>
        <v>-60</v>
      </c>
      <c r="Z28" s="1">
        <f t="shared" si="12"/>
        <v>-57</v>
      </c>
      <c r="AA28" s="1">
        <f t="shared" si="13"/>
        <v>-55</v>
      </c>
      <c r="AB28" s="1">
        <f t="shared" si="14"/>
        <v>-71</v>
      </c>
      <c r="AC28" s="4">
        <f t="shared" si="15"/>
        <v>-71</v>
      </c>
      <c r="AE28" s="3">
        <f t="shared" si="16"/>
        <v>-31</v>
      </c>
      <c r="AF28" s="1">
        <f t="shared" si="17"/>
        <v>-31</v>
      </c>
      <c r="AG28" s="1">
        <f t="shared" si="18"/>
        <v>-56</v>
      </c>
      <c r="AH28" s="1">
        <f t="shared" si="19"/>
        <v>-67</v>
      </c>
      <c r="AI28" s="1">
        <f t="shared" si="20"/>
        <v>-64</v>
      </c>
      <c r="AJ28" s="1">
        <f t="shared" si="21"/>
        <v>-62</v>
      </c>
      <c r="AK28" s="1">
        <f t="shared" si="22"/>
        <v>-72</v>
      </c>
      <c r="AL28" s="4">
        <f t="shared" si="23"/>
        <v>-70</v>
      </c>
      <c r="AN28" s="3">
        <f t="shared" si="24"/>
        <v>-34</v>
      </c>
      <c r="AO28" s="1">
        <f t="shared" si="25"/>
        <v>-34</v>
      </c>
      <c r="AP28" s="1">
        <f t="shared" si="26"/>
        <v>-59</v>
      </c>
      <c r="AQ28" s="1">
        <f t="shared" si="27"/>
        <v>-70</v>
      </c>
      <c r="AR28" s="1">
        <f t="shared" si="28"/>
        <v>-67</v>
      </c>
      <c r="AS28" s="1">
        <f t="shared" si="29"/>
        <v>-65</v>
      </c>
      <c r="AT28" s="1">
        <f t="shared" si="30"/>
        <v>-75</v>
      </c>
      <c r="AU28" s="4">
        <f t="shared" si="31"/>
        <v>-73</v>
      </c>
      <c r="AW28" s="3">
        <f t="shared" si="32"/>
        <v>-37</v>
      </c>
      <c r="AX28" s="1">
        <f t="shared" si="33"/>
        <v>-37</v>
      </c>
      <c r="AY28" s="1">
        <f t="shared" si="34"/>
        <v>-62</v>
      </c>
      <c r="AZ28" s="1">
        <f t="shared" si="35"/>
        <v>-73</v>
      </c>
      <c r="BA28" s="1">
        <f t="shared" si="36"/>
        <v>-70</v>
      </c>
      <c r="BB28" s="1">
        <f t="shared" si="37"/>
        <v>-68</v>
      </c>
      <c r="BC28" s="1">
        <f t="shared" si="38"/>
        <v>-78</v>
      </c>
      <c r="BD28" s="4">
        <f t="shared" si="39"/>
        <v>-76</v>
      </c>
      <c r="BF28" s="3">
        <v>-8</v>
      </c>
      <c r="BG28" s="1">
        <v>-8</v>
      </c>
      <c r="BH28" s="1">
        <v>-8</v>
      </c>
      <c r="BI28" s="1">
        <v>-3</v>
      </c>
      <c r="BJ28" s="1">
        <v>-3</v>
      </c>
      <c r="BK28" s="1">
        <v>-3</v>
      </c>
      <c r="BL28" s="1">
        <v>-6</v>
      </c>
      <c r="BM28" s="4">
        <v>-6</v>
      </c>
      <c r="BO28" s="3">
        <v>-12</v>
      </c>
      <c r="BP28" s="1">
        <v>-12</v>
      </c>
      <c r="BQ28" s="1">
        <v>-12</v>
      </c>
      <c r="BR28" s="1">
        <v>-12</v>
      </c>
      <c r="BS28" s="1">
        <v>-12</v>
      </c>
      <c r="BT28" s="1">
        <v>-12</v>
      </c>
      <c r="BU28" s="1">
        <v>-15</v>
      </c>
      <c r="BV28" s="4">
        <v>-15</v>
      </c>
      <c r="BX28" s="3">
        <v>-22</v>
      </c>
      <c r="BY28" s="1">
        <v>-22</v>
      </c>
      <c r="BZ28" s="1">
        <v>-22</v>
      </c>
      <c r="CA28" s="1">
        <v>-22</v>
      </c>
      <c r="CB28" s="1">
        <v>-22</v>
      </c>
      <c r="CC28" s="1">
        <v>-22</v>
      </c>
      <c r="CD28" s="1">
        <v>-22</v>
      </c>
      <c r="CE28" s="4">
        <v>-20</v>
      </c>
      <c r="CG28" s="3">
        <v>-3</v>
      </c>
      <c r="CH28" s="1">
        <v>-3</v>
      </c>
      <c r="CI28" s="1">
        <v>-3</v>
      </c>
      <c r="CJ28" s="1">
        <v>-3</v>
      </c>
      <c r="CK28" s="1">
        <v>-3</v>
      </c>
      <c r="CL28" s="1">
        <v>-3</v>
      </c>
      <c r="CM28" s="1">
        <v>-3</v>
      </c>
      <c r="CN28" s="4">
        <v>-3</v>
      </c>
      <c r="CP28" s="3">
        <v>-6</v>
      </c>
      <c r="CQ28" s="1">
        <v>-6</v>
      </c>
      <c r="CR28" s="1">
        <v>-6</v>
      </c>
      <c r="CS28" s="1">
        <v>-6</v>
      </c>
      <c r="CT28" s="1">
        <v>-6</v>
      </c>
      <c r="CU28" s="1">
        <v>-6</v>
      </c>
      <c r="CV28" s="1">
        <v>-6</v>
      </c>
      <c r="CW28" s="4">
        <v>-6</v>
      </c>
    </row>
    <row r="29" spans="1:101">
      <c r="A29" s="8" t="str">
        <f>VLOOKUP(B29,List!W:X,2,1)</f>
        <v>0.25 - 0.27</v>
      </c>
      <c r="B29" s="8">
        <v>0.25</v>
      </c>
      <c r="C29" s="8" t="s">
        <v>10</v>
      </c>
      <c r="D29" s="3">
        <v>-34</v>
      </c>
      <c r="E29" s="1">
        <v>-34</v>
      </c>
      <c r="F29" s="1">
        <v>-42</v>
      </c>
      <c r="G29" s="1">
        <v>-47</v>
      </c>
      <c r="H29" s="1">
        <v>-43</v>
      </c>
      <c r="I29" s="1">
        <v>-40</v>
      </c>
      <c r="J29" s="1">
        <v>-50</v>
      </c>
      <c r="K29" s="4">
        <v>-50</v>
      </c>
      <c r="M29" s="3">
        <f t="shared" si="0"/>
        <v>-38</v>
      </c>
      <c r="N29" s="1">
        <f t="shared" si="1"/>
        <v>-38</v>
      </c>
      <c r="O29" s="1">
        <f t="shared" si="2"/>
        <v>-46</v>
      </c>
      <c r="P29" s="1">
        <f t="shared" si="3"/>
        <v>-50</v>
      </c>
      <c r="Q29" s="1">
        <f t="shared" si="4"/>
        <v>-46</v>
      </c>
      <c r="R29" s="1">
        <f t="shared" si="5"/>
        <v>-44</v>
      </c>
      <c r="S29" s="1">
        <f t="shared" si="6"/>
        <v>-56</v>
      </c>
      <c r="T29" s="4">
        <f t="shared" si="7"/>
        <v>-56</v>
      </c>
      <c r="V29" s="3">
        <f t="shared" si="8"/>
        <v>-50</v>
      </c>
      <c r="W29" s="1">
        <f t="shared" si="9"/>
        <v>-50</v>
      </c>
      <c r="X29" s="1">
        <f t="shared" si="10"/>
        <v>-58</v>
      </c>
      <c r="Y29" s="1">
        <f t="shared" si="11"/>
        <v>-62</v>
      </c>
      <c r="Z29" s="1">
        <f t="shared" si="12"/>
        <v>-58</v>
      </c>
      <c r="AA29" s="1">
        <f t="shared" si="13"/>
        <v>-56</v>
      </c>
      <c r="AB29" s="1">
        <f t="shared" si="14"/>
        <v>-71</v>
      </c>
      <c r="AC29" s="4">
        <f t="shared" si="15"/>
        <v>-71</v>
      </c>
      <c r="AE29" s="3">
        <f t="shared" si="16"/>
        <v>-56</v>
      </c>
      <c r="AF29" s="1">
        <f t="shared" si="17"/>
        <v>-56</v>
      </c>
      <c r="AG29" s="1">
        <f t="shared" si="18"/>
        <v>-64</v>
      </c>
      <c r="AH29" s="1">
        <f t="shared" si="19"/>
        <v>-69</v>
      </c>
      <c r="AI29" s="1">
        <f t="shared" si="20"/>
        <v>-65</v>
      </c>
      <c r="AJ29" s="1">
        <f t="shared" si="21"/>
        <v>-62</v>
      </c>
      <c r="AK29" s="1">
        <f t="shared" si="22"/>
        <v>-72</v>
      </c>
      <c r="AL29" s="4">
        <f t="shared" si="23"/>
        <v>-70</v>
      </c>
      <c r="AN29" s="3">
        <f t="shared" si="24"/>
        <v>-59</v>
      </c>
      <c r="AO29" s="1">
        <f t="shared" si="25"/>
        <v>-59</v>
      </c>
      <c r="AP29" s="1">
        <f t="shared" si="26"/>
        <v>-67</v>
      </c>
      <c r="AQ29" s="1">
        <f t="shared" si="27"/>
        <v>-72</v>
      </c>
      <c r="AR29" s="1">
        <f t="shared" si="28"/>
        <v>-68</v>
      </c>
      <c r="AS29" s="1">
        <f t="shared" si="29"/>
        <v>-65</v>
      </c>
      <c r="AT29" s="1">
        <f t="shared" si="30"/>
        <v>-75</v>
      </c>
      <c r="AU29" s="4">
        <f t="shared" si="31"/>
        <v>-73</v>
      </c>
      <c r="AW29" s="3">
        <f t="shared" si="32"/>
        <v>-62</v>
      </c>
      <c r="AX29" s="1">
        <f t="shared" si="33"/>
        <v>-62</v>
      </c>
      <c r="AY29" s="1">
        <f t="shared" si="34"/>
        <v>-70</v>
      </c>
      <c r="AZ29" s="1">
        <f t="shared" si="35"/>
        <v>-75</v>
      </c>
      <c r="BA29" s="1">
        <f t="shared" si="36"/>
        <v>-71</v>
      </c>
      <c r="BB29" s="1">
        <f t="shared" si="37"/>
        <v>-68</v>
      </c>
      <c r="BC29" s="1">
        <f t="shared" si="38"/>
        <v>-78</v>
      </c>
      <c r="BD29" s="4">
        <f t="shared" si="39"/>
        <v>-76</v>
      </c>
      <c r="BF29" s="3">
        <v>-4</v>
      </c>
      <c r="BG29" s="1">
        <v>-4</v>
      </c>
      <c r="BH29" s="1">
        <v>-4</v>
      </c>
      <c r="BI29" s="1">
        <v>-3</v>
      </c>
      <c r="BJ29" s="1">
        <v>-3</v>
      </c>
      <c r="BK29" s="1">
        <v>-4</v>
      </c>
      <c r="BL29" s="1">
        <v>-6</v>
      </c>
      <c r="BM29" s="4">
        <v>-6</v>
      </c>
      <c r="BO29" s="3">
        <v>-12</v>
      </c>
      <c r="BP29" s="1">
        <v>-12</v>
      </c>
      <c r="BQ29" s="1">
        <v>-12</v>
      </c>
      <c r="BR29" s="1">
        <v>-12</v>
      </c>
      <c r="BS29" s="1">
        <v>-12</v>
      </c>
      <c r="BT29" s="1">
        <v>-12</v>
      </c>
      <c r="BU29" s="1">
        <v>-15</v>
      </c>
      <c r="BV29" s="4">
        <v>-15</v>
      </c>
      <c r="BX29" s="3">
        <v>-22</v>
      </c>
      <c r="BY29" s="1">
        <v>-22</v>
      </c>
      <c r="BZ29" s="1">
        <v>-22</v>
      </c>
      <c r="CA29" s="1">
        <v>-22</v>
      </c>
      <c r="CB29" s="1">
        <v>-22</v>
      </c>
      <c r="CC29" s="1">
        <v>-22</v>
      </c>
      <c r="CD29" s="1">
        <v>-22</v>
      </c>
      <c r="CE29" s="4">
        <v>-20</v>
      </c>
      <c r="CG29" s="3">
        <v>-3</v>
      </c>
      <c r="CH29" s="1">
        <v>-3</v>
      </c>
      <c r="CI29" s="1">
        <v>-3</v>
      </c>
      <c r="CJ29" s="1">
        <v>-3</v>
      </c>
      <c r="CK29" s="1">
        <v>-3</v>
      </c>
      <c r="CL29" s="1">
        <v>-3</v>
      </c>
      <c r="CM29" s="1">
        <v>-3</v>
      </c>
      <c r="CN29" s="4">
        <v>-3</v>
      </c>
      <c r="CP29" s="3">
        <v>-6</v>
      </c>
      <c r="CQ29" s="1">
        <v>-6</v>
      </c>
      <c r="CR29" s="1">
        <v>-6</v>
      </c>
      <c r="CS29" s="1">
        <v>-6</v>
      </c>
      <c r="CT29" s="1">
        <v>-6</v>
      </c>
      <c r="CU29" s="1">
        <v>-6</v>
      </c>
      <c r="CV29" s="1">
        <v>-6</v>
      </c>
      <c r="CW29" s="4">
        <v>-6</v>
      </c>
    </row>
    <row r="30" spans="1:101">
      <c r="A30" s="8" t="str">
        <f>VLOOKUP(B30,List!W:X,2,1)</f>
        <v>0.25 - 0.27</v>
      </c>
      <c r="B30" s="8">
        <v>0.25</v>
      </c>
      <c r="C30" s="8" t="s">
        <v>11</v>
      </c>
      <c r="D30" s="3">
        <v>-25</v>
      </c>
      <c r="E30" s="1">
        <v>-25</v>
      </c>
      <c r="F30" s="1">
        <v>-35</v>
      </c>
      <c r="G30" s="1">
        <v>-37</v>
      </c>
      <c r="H30" s="1">
        <v>-28</v>
      </c>
      <c r="I30" s="1">
        <v>-28</v>
      </c>
      <c r="J30" s="1">
        <v>-50</v>
      </c>
      <c r="K30" s="4">
        <v>-50</v>
      </c>
      <c r="M30" s="3">
        <f t="shared" si="0"/>
        <v>-28</v>
      </c>
      <c r="N30" s="1">
        <f t="shared" si="1"/>
        <v>-28</v>
      </c>
      <c r="O30" s="1">
        <f t="shared" si="2"/>
        <v>-38</v>
      </c>
      <c r="P30" s="1">
        <f t="shared" si="3"/>
        <v>-40</v>
      </c>
      <c r="Q30" s="1">
        <f t="shared" si="4"/>
        <v>-32</v>
      </c>
      <c r="R30" s="1">
        <f t="shared" si="5"/>
        <v>-32</v>
      </c>
      <c r="S30" s="1">
        <f t="shared" si="6"/>
        <v>-56</v>
      </c>
      <c r="T30" s="4">
        <f t="shared" si="7"/>
        <v>-56</v>
      </c>
      <c r="V30" s="3">
        <f t="shared" si="8"/>
        <v>-40</v>
      </c>
      <c r="W30" s="1">
        <f t="shared" si="9"/>
        <v>-40</v>
      </c>
      <c r="X30" s="1">
        <f t="shared" si="10"/>
        <v>-50</v>
      </c>
      <c r="Y30" s="1">
        <f t="shared" si="11"/>
        <v>-52</v>
      </c>
      <c r="Z30" s="1">
        <f t="shared" si="12"/>
        <v>-44</v>
      </c>
      <c r="AA30" s="1">
        <f t="shared" si="13"/>
        <v>-44</v>
      </c>
      <c r="AB30" s="1">
        <f t="shared" si="14"/>
        <v>-71</v>
      </c>
      <c r="AC30" s="4">
        <f t="shared" si="15"/>
        <v>-71</v>
      </c>
      <c r="AE30" s="3">
        <f t="shared" si="16"/>
        <v>-47</v>
      </c>
      <c r="AF30" s="1">
        <f t="shared" si="17"/>
        <v>-47</v>
      </c>
      <c r="AG30" s="1">
        <f t="shared" si="18"/>
        <v>-57</v>
      </c>
      <c r="AH30" s="1">
        <f t="shared" si="19"/>
        <v>-59</v>
      </c>
      <c r="AI30" s="1">
        <f t="shared" si="20"/>
        <v>-50</v>
      </c>
      <c r="AJ30" s="1">
        <f t="shared" si="21"/>
        <v>-50</v>
      </c>
      <c r="AK30" s="1">
        <f t="shared" si="22"/>
        <v>-72</v>
      </c>
      <c r="AL30" s="4">
        <f t="shared" si="23"/>
        <v>-70</v>
      </c>
      <c r="AN30" s="3">
        <f t="shared" si="24"/>
        <v>-50</v>
      </c>
      <c r="AO30" s="1">
        <f t="shared" si="25"/>
        <v>-50</v>
      </c>
      <c r="AP30" s="1">
        <f t="shared" si="26"/>
        <v>-60</v>
      </c>
      <c r="AQ30" s="1">
        <f t="shared" si="27"/>
        <v>-62</v>
      </c>
      <c r="AR30" s="1">
        <f t="shared" si="28"/>
        <v>-53</v>
      </c>
      <c r="AS30" s="1">
        <f t="shared" si="29"/>
        <v>-53</v>
      </c>
      <c r="AT30" s="1">
        <f t="shared" si="30"/>
        <v>-75</v>
      </c>
      <c r="AU30" s="4">
        <f t="shared" si="31"/>
        <v>-73</v>
      </c>
      <c r="AW30" s="3">
        <f t="shared" si="32"/>
        <v>-53</v>
      </c>
      <c r="AX30" s="1">
        <f t="shared" si="33"/>
        <v>-53</v>
      </c>
      <c r="AY30" s="1">
        <f t="shared" si="34"/>
        <v>-63</v>
      </c>
      <c r="AZ30" s="1">
        <f t="shared" si="35"/>
        <v>-65</v>
      </c>
      <c r="BA30" s="1">
        <f t="shared" si="36"/>
        <v>-56</v>
      </c>
      <c r="BB30" s="1">
        <f t="shared" si="37"/>
        <v>-56</v>
      </c>
      <c r="BC30" s="1">
        <f t="shared" si="38"/>
        <v>-78</v>
      </c>
      <c r="BD30" s="4">
        <f t="shared" si="39"/>
        <v>-76</v>
      </c>
      <c r="BF30" s="3">
        <v>-3</v>
      </c>
      <c r="BG30" s="1">
        <v>-3</v>
      </c>
      <c r="BH30" s="1">
        <v>-3</v>
      </c>
      <c r="BI30" s="1">
        <v>-3</v>
      </c>
      <c r="BJ30" s="1">
        <v>-4</v>
      </c>
      <c r="BK30" s="1">
        <v>-4</v>
      </c>
      <c r="BL30" s="1">
        <v>-6</v>
      </c>
      <c r="BM30" s="4">
        <v>-6</v>
      </c>
      <c r="BO30" s="3">
        <v>-12</v>
      </c>
      <c r="BP30" s="1">
        <v>-12</v>
      </c>
      <c r="BQ30" s="1">
        <v>-12</v>
      </c>
      <c r="BR30" s="1">
        <v>-12</v>
      </c>
      <c r="BS30" s="1">
        <v>-12</v>
      </c>
      <c r="BT30" s="1">
        <v>-12</v>
      </c>
      <c r="BU30" s="1">
        <v>-15</v>
      </c>
      <c r="BV30" s="4">
        <v>-15</v>
      </c>
      <c r="BX30" s="3">
        <v>-22</v>
      </c>
      <c r="BY30" s="1">
        <v>-22</v>
      </c>
      <c r="BZ30" s="1">
        <v>-22</v>
      </c>
      <c r="CA30" s="1">
        <v>-22</v>
      </c>
      <c r="CB30" s="1">
        <v>-22</v>
      </c>
      <c r="CC30" s="1">
        <v>-22</v>
      </c>
      <c r="CD30" s="1">
        <v>-22</v>
      </c>
      <c r="CE30" s="4">
        <v>-20</v>
      </c>
      <c r="CG30" s="3">
        <v>-3</v>
      </c>
      <c r="CH30" s="1">
        <v>-3</v>
      </c>
      <c r="CI30" s="1">
        <v>-3</v>
      </c>
      <c r="CJ30" s="1">
        <v>-3</v>
      </c>
      <c r="CK30" s="1">
        <v>-3</v>
      </c>
      <c r="CL30" s="1">
        <v>-3</v>
      </c>
      <c r="CM30" s="1">
        <v>-3</v>
      </c>
      <c r="CN30" s="4">
        <v>-3</v>
      </c>
      <c r="CP30" s="3">
        <v>-6</v>
      </c>
      <c r="CQ30" s="1">
        <v>-6</v>
      </c>
      <c r="CR30" s="1">
        <v>-6</v>
      </c>
      <c r="CS30" s="1">
        <v>-6</v>
      </c>
      <c r="CT30" s="1">
        <v>-6</v>
      </c>
      <c r="CU30" s="1">
        <v>-6</v>
      </c>
      <c r="CV30" s="1">
        <v>-6</v>
      </c>
      <c r="CW30" s="4">
        <v>-6</v>
      </c>
    </row>
    <row r="31" spans="1:101">
      <c r="A31" s="8" t="str">
        <f>VLOOKUP(B31,List!W:X,2,1)</f>
        <v>0.25 - 0.27</v>
      </c>
      <c r="B31" s="8">
        <v>0.25</v>
      </c>
      <c r="C31" s="8" t="s">
        <v>12</v>
      </c>
      <c r="D31" s="3">
        <v>-26</v>
      </c>
      <c r="E31" s="1">
        <v>-26</v>
      </c>
      <c r="F31" s="1">
        <v>-35</v>
      </c>
      <c r="G31" s="1">
        <v>-36</v>
      </c>
      <c r="H31" s="1">
        <v>-30</v>
      </c>
      <c r="I31" s="1">
        <v>-28</v>
      </c>
      <c r="J31" s="1">
        <v>-50</v>
      </c>
      <c r="K31" s="4">
        <v>-65</v>
      </c>
      <c r="M31" s="3">
        <f t="shared" si="0"/>
        <v>-29</v>
      </c>
      <c r="N31" s="1">
        <f t="shared" si="1"/>
        <v>-29</v>
      </c>
      <c r="O31" s="1">
        <f t="shared" si="2"/>
        <v>-38</v>
      </c>
      <c r="P31" s="1">
        <f t="shared" si="3"/>
        <v>-40</v>
      </c>
      <c r="Q31" s="1">
        <f t="shared" si="4"/>
        <v>-34</v>
      </c>
      <c r="R31" s="1">
        <f t="shared" si="5"/>
        <v>-33</v>
      </c>
      <c r="S31" s="1">
        <f t="shared" si="6"/>
        <v>-56</v>
      </c>
      <c r="T31" s="4">
        <f t="shared" si="7"/>
        <v>-71</v>
      </c>
      <c r="V31" s="3">
        <f t="shared" si="8"/>
        <v>-41</v>
      </c>
      <c r="W31" s="1">
        <f t="shared" si="9"/>
        <v>-41</v>
      </c>
      <c r="X31" s="1">
        <f t="shared" si="10"/>
        <v>-50</v>
      </c>
      <c r="Y31" s="1">
        <f t="shared" si="11"/>
        <v>-52</v>
      </c>
      <c r="Z31" s="1">
        <f t="shared" si="12"/>
        <v>-46</v>
      </c>
      <c r="AA31" s="1">
        <f t="shared" si="13"/>
        <v>-45</v>
      </c>
      <c r="AB31" s="1">
        <f t="shared" si="14"/>
        <v>-71</v>
      </c>
      <c r="AC31" s="4">
        <f t="shared" si="15"/>
        <v>-86</v>
      </c>
      <c r="AE31" s="3">
        <f t="shared" si="16"/>
        <v>-48</v>
      </c>
      <c r="AF31" s="1">
        <f t="shared" si="17"/>
        <v>-48</v>
      </c>
      <c r="AG31" s="1">
        <f t="shared" si="18"/>
        <v>-57</v>
      </c>
      <c r="AH31" s="1">
        <f t="shared" si="19"/>
        <v>-58</v>
      </c>
      <c r="AI31" s="1">
        <f t="shared" si="20"/>
        <v>-52</v>
      </c>
      <c r="AJ31" s="1">
        <f t="shared" si="21"/>
        <v>-50</v>
      </c>
      <c r="AK31" s="1">
        <f t="shared" si="22"/>
        <v>-72</v>
      </c>
      <c r="AL31" s="4">
        <f t="shared" si="23"/>
        <v>-85</v>
      </c>
      <c r="AN31" s="3">
        <f t="shared" si="24"/>
        <v>-51</v>
      </c>
      <c r="AO31" s="1">
        <f t="shared" si="25"/>
        <v>-51</v>
      </c>
      <c r="AP31" s="1">
        <f t="shared" si="26"/>
        <v>-60</v>
      </c>
      <c r="AQ31" s="1">
        <f t="shared" si="27"/>
        <v>-61</v>
      </c>
      <c r="AR31" s="1">
        <f t="shared" si="28"/>
        <v>-55</v>
      </c>
      <c r="AS31" s="1">
        <f t="shared" si="29"/>
        <v>-53</v>
      </c>
      <c r="AT31" s="1">
        <f t="shared" si="30"/>
        <v>-75</v>
      </c>
      <c r="AU31" s="4">
        <f t="shared" si="31"/>
        <v>-88</v>
      </c>
      <c r="AW31" s="3">
        <f t="shared" si="32"/>
        <v>-54</v>
      </c>
      <c r="AX31" s="1">
        <f t="shared" si="33"/>
        <v>-54</v>
      </c>
      <c r="AY31" s="1">
        <f t="shared" si="34"/>
        <v>-63</v>
      </c>
      <c r="AZ31" s="1">
        <f t="shared" si="35"/>
        <v>-64</v>
      </c>
      <c r="BA31" s="1">
        <f t="shared" si="36"/>
        <v>-58</v>
      </c>
      <c r="BB31" s="1">
        <f t="shared" si="37"/>
        <v>-56</v>
      </c>
      <c r="BC31" s="1">
        <f t="shared" si="38"/>
        <v>-78</v>
      </c>
      <c r="BD31" s="4">
        <f t="shared" si="39"/>
        <v>-91</v>
      </c>
      <c r="BF31" s="3">
        <v>-3</v>
      </c>
      <c r="BG31" s="1">
        <v>-3</v>
      </c>
      <c r="BH31" s="1">
        <v>-3</v>
      </c>
      <c r="BI31" s="1">
        <v>-4</v>
      </c>
      <c r="BJ31" s="1">
        <v>-4</v>
      </c>
      <c r="BK31" s="1">
        <v>-5</v>
      </c>
      <c r="BL31" s="1">
        <v>-6</v>
      </c>
      <c r="BM31" s="4">
        <v>-6</v>
      </c>
      <c r="BO31" s="3">
        <v>-12</v>
      </c>
      <c r="BP31" s="1">
        <v>-12</v>
      </c>
      <c r="BQ31" s="1">
        <v>-12</v>
      </c>
      <c r="BR31" s="1">
        <v>-12</v>
      </c>
      <c r="BS31" s="1">
        <v>-12</v>
      </c>
      <c r="BT31" s="1">
        <v>-12</v>
      </c>
      <c r="BU31" s="1">
        <v>-15</v>
      </c>
      <c r="BV31" s="4">
        <v>-15</v>
      </c>
      <c r="BX31" s="3">
        <v>-22</v>
      </c>
      <c r="BY31" s="1">
        <v>-22</v>
      </c>
      <c r="BZ31" s="1">
        <v>-22</v>
      </c>
      <c r="CA31" s="1">
        <v>-22</v>
      </c>
      <c r="CB31" s="1">
        <v>-22</v>
      </c>
      <c r="CC31" s="1">
        <v>-22</v>
      </c>
      <c r="CD31" s="1">
        <v>-22</v>
      </c>
      <c r="CE31" s="4">
        <v>-20</v>
      </c>
      <c r="CG31" s="3">
        <v>-3</v>
      </c>
      <c r="CH31" s="1">
        <v>-3</v>
      </c>
      <c r="CI31" s="1">
        <v>-3</v>
      </c>
      <c r="CJ31" s="1">
        <v>-3</v>
      </c>
      <c r="CK31" s="1">
        <v>-3</v>
      </c>
      <c r="CL31" s="1">
        <v>-3</v>
      </c>
      <c r="CM31" s="1">
        <v>-3</v>
      </c>
      <c r="CN31" s="4">
        <v>-3</v>
      </c>
      <c r="CP31" s="3">
        <v>-6</v>
      </c>
      <c r="CQ31" s="1">
        <v>-6</v>
      </c>
      <c r="CR31" s="1">
        <v>-6</v>
      </c>
      <c r="CS31" s="1">
        <v>-6</v>
      </c>
      <c r="CT31" s="1">
        <v>-6</v>
      </c>
      <c r="CU31" s="1">
        <v>-6</v>
      </c>
      <c r="CV31" s="1">
        <v>-6</v>
      </c>
      <c r="CW31" s="4">
        <v>-6</v>
      </c>
    </row>
    <row r="32" spans="1:101">
      <c r="A32" s="8" t="str">
        <f>VLOOKUP(B32,List!W:X,2,1)</f>
        <v>0.25 - 0.27</v>
      </c>
      <c r="B32" s="8">
        <v>0.25</v>
      </c>
      <c r="C32" s="8" t="s">
        <v>13</v>
      </c>
      <c r="D32" s="3">
        <v>-70</v>
      </c>
      <c r="E32" s="1">
        <v>-70</v>
      </c>
      <c r="F32" s="1">
        <v>-70</v>
      </c>
      <c r="G32" s="1">
        <v>-70</v>
      </c>
      <c r="H32" s="1">
        <v>-70</v>
      </c>
      <c r="I32" s="1">
        <v>-70</v>
      </c>
      <c r="J32" s="1">
        <v>-70</v>
      </c>
      <c r="K32" s="4">
        <v>-70</v>
      </c>
      <c r="M32" s="3">
        <f t="shared" si="0"/>
        <v>-76</v>
      </c>
      <c r="N32" s="1">
        <f t="shared" si="1"/>
        <v>-76</v>
      </c>
      <c r="O32" s="1">
        <f t="shared" si="2"/>
        <v>-76</v>
      </c>
      <c r="P32" s="1">
        <f t="shared" si="3"/>
        <v>-76</v>
      </c>
      <c r="Q32" s="1">
        <f t="shared" si="4"/>
        <v>-76</v>
      </c>
      <c r="R32" s="1">
        <f t="shared" si="5"/>
        <v>-76</v>
      </c>
      <c r="S32" s="1">
        <f t="shared" si="6"/>
        <v>-76</v>
      </c>
      <c r="T32" s="4">
        <f t="shared" si="7"/>
        <v>-76</v>
      </c>
      <c r="V32" s="3">
        <f t="shared" si="8"/>
        <v>-88</v>
      </c>
      <c r="W32" s="1">
        <f t="shared" si="9"/>
        <v>-88</v>
      </c>
      <c r="X32" s="1">
        <f t="shared" si="10"/>
        <v>-88</v>
      </c>
      <c r="Y32" s="1">
        <f t="shared" si="11"/>
        <v>-88</v>
      </c>
      <c r="Z32" s="1">
        <f t="shared" si="12"/>
        <v>-88</v>
      </c>
      <c r="AA32" s="1">
        <f t="shared" si="13"/>
        <v>-88</v>
      </c>
      <c r="AB32" s="1">
        <f t="shared" si="14"/>
        <v>-91</v>
      </c>
      <c r="AC32" s="4">
        <f t="shared" si="15"/>
        <v>-91</v>
      </c>
      <c r="AE32" s="3">
        <f t="shared" si="16"/>
        <v>-90</v>
      </c>
      <c r="AF32" s="1">
        <f t="shared" si="17"/>
        <v>-90</v>
      </c>
      <c r="AG32" s="1">
        <f t="shared" si="18"/>
        <v>-90</v>
      </c>
      <c r="AH32" s="1">
        <f t="shared" si="19"/>
        <v>-90</v>
      </c>
      <c r="AI32" s="1">
        <f t="shared" si="20"/>
        <v>-90</v>
      </c>
      <c r="AJ32" s="1">
        <f t="shared" si="21"/>
        <v>-90</v>
      </c>
      <c r="AK32" s="1">
        <f t="shared" si="22"/>
        <v>-90</v>
      </c>
      <c r="AL32" s="4">
        <f t="shared" si="23"/>
        <v>-90</v>
      </c>
      <c r="AN32" s="3">
        <f t="shared" si="24"/>
        <v>-93</v>
      </c>
      <c r="AO32" s="1">
        <f t="shared" si="25"/>
        <v>-93</v>
      </c>
      <c r="AP32" s="1">
        <f t="shared" si="26"/>
        <v>-93</v>
      </c>
      <c r="AQ32" s="1">
        <f t="shared" si="27"/>
        <v>-93</v>
      </c>
      <c r="AR32" s="1">
        <f t="shared" si="28"/>
        <v>-93</v>
      </c>
      <c r="AS32" s="1">
        <f t="shared" si="29"/>
        <v>-93</v>
      </c>
      <c r="AT32" s="1">
        <f t="shared" si="30"/>
        <v>-93</v>
      </c>
      <c r="AU32" s="4">
        <f t="shared" si="31"/>
        <v>-93</v>
      </c>
      <c r="AW32" s="3">
        <f t="shared" si="32"/>
        <v>-96</v>
      </c>
      <c r="AX32" s="1">
        <f t="shared" si="33"/>
        <v>-96</v>
      </c>
      <c r="AY32" s="1">
        <f t="shared" si="34"/>
        <v>-96</v>
      </c>
      <c r="AZ32" s="1">
        <f t="shared" si="35"/>
        <v>-96</v>
      </c>
      <c r="BA32" s="1">
        <f t="shared" si="36"/>
        <v>-96</v>
      </c>
      <c r="BB32" s="1">
        <f t="shared" si="37"/>
        <v>-96</v>
      </c>
      <c r="BC32" s="1">
        <f t="shared" si="38"/>
        <v>-96</v>
      </c>
      <c r="BD32" s="4">
        <f t="shared" si="39"/>
        <v>-96</v>
      </c>
      <c r="BF32" s="3">
        <v>-6</v>
      </c>
      <c r="BG32" s="1">
        <v>-6</v>
      </c>
      <c r="BH32" s="1">
        <v>-6</v>
      </c>
      <c r="BI32" s="1">
        <v>-6</v>
      </c>
      <c r="BJ32" s="1">
        <v>-6</v>
      </c>
      <c r="BK32" s="1">
        <v>-6</v>
      </c>
      <c r="BL32" s="1">
        <v>-6</v>
      </c>
      <c r="BM32" s="4">
        <v>-6</v>
      </c>
      <c r="BO32" s="3">
        <v>-12</v>
      </c>
      <c r="BP32" s="1">
        <v>-12</v>
      </c>
      <c r="BQ32" s="1">
        <v>-12</v>
      </c>
      <c r="BR32" s="1">
        <v>-12</v>
      </c>
      <c r="BS32" s="1">
        <v>-12</v>
      </c>
      <c r="BT32" s="1">
        <v>-12</v>
      </c>
      <c r="BU32" s="1">
        <v>-15</v>
      </c>
      <c r="BV32" s="4">
        <v>-15</v>
      </c>
      <c r="BX32" s="3">
        <v>-20</v>
      </c>
      <c r="BY32" s="1">
        <v>-20</v>
      </c>
      <c r="BZ32" s="1">
        <v>-20</v>
      </c>
      <c r="CA32" s="1">
        <v>-20</v>
      </c>
      <c r="CB32" s="1">
        <v>-20</v>
      </c>
      <c r="CC32" s="1">
        <v>-20</v>
      </c>
      <c r="CD32" s="1">
        <v>-20</v>
      </c>
      <c r="CE32" s="4">
        <v>-20</v>
      </c>
      <c r="CG32" s="3">
        <v>-3</v>
      </c>
      <c r="CH32" s="1">
        <v>-3</v>
      </c>
      <c r="CI32" s="1">
        <v>-3</v>
      </c>
      <c r="CJ32" s="1">
        <v>-3</v>
      </c>
      <c r="CK32" s="1">
        <v>-3</v>
      </c>
      <c r="CL32" s="1">
        <v>-3</v>
      </c>
      <c r="CM32" s="1">
        <v>-3</v>
      </c>
      <c r="CN32" s="4">
        <v>-3</v>
      </c>
      <c r="CP32" s="3">
        <v>-6</v>
      </c>
      <c r="CQ32" s="1">
        <v>-6</v>
      </c>
      <c r="CR32" s="1">
        <v>-6</v>
      </c>
      <c r="CS32" s="1">
        <v>-6</v>
      </c>
      <c r="CT32" s="1">
        <v>-6</v>
      </c>
      <c r="CU32" s="1">
        <v>-6</v>
      </c>
      <c r="CV32" s="1">
        <v>-6</v>
      </c>
      <c r="CW32" s="4">
        <v>-6</v>
      </c>
    </row>
    <row r="33" spans="1:101">
      <c r="A33" s="8" t="str">
        <f>VLOOKUP(B33,List!W:X,2,1)</f>
        <v>0.25 - 0.27</v>
      </c>
      <c r="B33" s="8">
        <v>0.25</v>
      </c>
      <c r="C33" s="8" t="s">
        <v>14</v>
      </c>
      <c r="D33" s="3">
        <v>-70</v>
      </c>
      <c r="E33" s="1">
        <v>-70</v>
      </c>
      <c r="F33" s="1">
        <v>-70</v>
      </c>
      <c r="G33" s="1">
        <v>-70</v>
      </c>
      <c r="H33" s="1">
        <v>-70</v>
      </c>
      <c r="I33" s="1">
        <v>-70</v>
      </c>
      <c r="J33" s="1">
        <v>-70</v>
      </c>
      <c r="K33" s="4">
        <v>-70</v>
      </c>
      <c r="M33" s="3">
        <f t="shared" si="0"/>
        <v>-76</v>
      </c>
      <c r="N33" s="1">
        <f t="shared" si="1"/>
        <v>-76</v>
      </c>
      <c r="O33" s="1">
        <f t="shared" si="2"/>
        <v>-76</v>
      </c>
      <c r="P33" s="1">
        <f t="shared" si="3"/>
        <v>-76</v>
      </c>
      <c r="Q33" s="1">
        <f t="shared" si="4"/>
        <v>-76</v>
      </c>
      <c r="R33" s="1">
        <f t="shared" si="5"/>
        <v>-76</v>
      </c>
      <c r="S33" s="1">
        <f t="shared" si="6"/>
        <v>-76</v>
      </c>
      <c r="T33" s="4">
        <f t="shared" si="7"/>
        <v>-76</v>
      </c>
      <c r="V33" s="3">
        <f t="shared" si="8"/>
        <v>-84</v>
      </c>
      <c r="W33" s="1">
        <f t="shared" si="9"/>
        <v>-84</v>
      </c>
      <c r="X33" s="1">
        <f t="shared" si="10"/>
        <v>-84</v>
      </c>
      <c r="Y33" s="1">
        <f t="shared" si="11"/>
        <v>-84</v>
      </c>
      <c r="Z33" s="1">
        <f t="shared" si="12"/>
        <v>-84</v>
      </c>
      <c r="AA33" s="1">
        <f t="shared" si="13"/>
        <v>-84</v>
      </c>
      <c r="AB33" s="1">
        <f t="shared" si="14"/>
        <v>-84</v>
      </c>
      <c r="AC33" s="4">
        <f t="shared" si="15"/>
        <v>-84</v>
      </c>
      <c r="AE33" s="3" t="str">
        <f t="shared" si="16"/>
        <v/>
      </c>
      <c r="AF33" s="1" t="str">
        <f t="shared" si="17"/>
        <v/>
      </c>
      <c r="AG33" s="1" t="str">
        <f t="shared" si="18"/>
        <v/>
      </c>
      <c r="AH33" s="1" t="str">
        <f t="shared" si="19"/>
        <v/>
      </c>
      <c r="AI33" s="1" t="str">
        <f t="shared" si="20"/>
        <v/>
      </c>
      <c r="AJ33" s="1" t="str">
        <f t="shared" si="21"/>
        <v/>
      </c>
      <c r="AK33" s="1" t="str">
        <f t="shared" si="22"/>
        <v/>
      </c>
      <c r="AL33" s="4" t="str">
        <f t="shared" si="23"/>
        <v/>
      </c>
      <c r="AN33" s="3" t="str">
        <f t="shared" si="24"/>
        <v/>
      </c>
      <c r="AO33" s="1" t="str">
        <f t="shared" si="25"/>
        <v/>
      </c>
      <c r="AP33" s="1" t="str">
        <f t="shared" si="26"/>
        <v/>
      </c>
      <c r="AQ33" s="1" t="str">
        <f t="shared" si="27"/>
        <v/>
      </c>
      <c r="AR33" s="1" t="str">
        <f t="shared" si="28"/>
        <v/>
      </c>
      <c r="AS33" s="1" t="str">
        <f t="shared" si="29"/>
        <v/>
      </c>
      <c r="AT33" s="1" t="str">
        <f t="shared" si="30"/>
        <v/>
      </c>
      <c r="AU33" s="4" t="str">
        <f t="shared" si="31"/>
        <v/>
      </c>
      <c r="AW33" s="3" t="str">
        <f t="shared" si="32"/>
        <v/>
      </c>
      <c r="AX33" s="1" t="str">
        <f t="shared" si="33"/>
        <v/>
      </c>
      <c r="AY33" s="1" t="str">
        <f t="shared" si="34"/>
        <v/>
      </c>
      <c r="AZ33" s="1" t="str">
        <f t="shared" si="35"/>
        <v/>
      </c>
      <c r="BA33" s="1" t="str">
        <f t="shared" si="36"/>
        <v/>
      </c>
      <c r="BB33" s="1" t="str">
        <f t="shared" si="37"/>
        <v/>
      </c>
      <c r="BC33" s="1" t="str">
        <f t="shared" si="38"/>
        <v/>
      </c>
      <c r="BD33" s="4" t="str">
        <f t="shared" si="39"/>
        <v/>
      </c>
      <c r="BF33" s="3">
        <v>-6</v>
      </c>
      <c r="BG33" s="1">
        <v>-6</v>
      </c>
      <c r="BH33" s="1">
        <v>-6</v>
      </c>
      <c r="BI33" s="1">
        <v>-6</v>
      </c>
      <c r="BJ33" s="1">
        <v>-6</v>
      </c>
      <c r="BK33" s="1">
        <v>-6</v>
      </c>
      <c r="BL33" s="1">
        <v>-6</v>
      </c>
      <c r="BM33" s="4">
        <v>-6</v>
      </c>
      <c r="BO33" s="3">
        <v>-8</v>
      </c>
      <c r="BP33" s="1">
        <v>-8</v>
      </c>
      <c r="BQ33" s="1">
        <v>-8</v>
      </c>
      <c r="BR33" s="1">
        <v>-8</v>
      </c>
      <c r="BS33" s="1">
        <v>-8</v>
      </c>
      <c r="BT33" s="1">
        <v>-8</v>
      </c>
      <c r="BU33" s="1">
        <v>-8</v>
      </c>
      <c r="BV33" s="4">
        <v>-8</v>
      </c>
      <c r="BX33" s="3" t="s">
        <v>22</v>
      </c>
      <c r="BY33" s="1" t="s">
        <v>22</v>
      </c>
      <c r="BZ33" s="1" t="s">
        <v>22</v>
      </c>
      <c r="CA33" s="1" t="s">
        <v>22</v>
      </c>
      <c r="CB33" s="1" t="s">
        <v>22</v>
      </c>
      <c r="CC33" s="1" t="s">
        <v>22</v>
      </c>
      <c r="CD33" s="1" t="s">
        <v>22</v>
      </c>
      <c r="CE33" s="4" t="s">
        <v>22</v>
      </c>
      <c r="CG33" s="3" t="s">
        <v>22</v>
      </c>
      <c r="CH33" s="1" t="s">
        <v>22</v>
      </c>
      <c r="CI33" s="1" t="s">
        <v>22</v>
      </c>
      <c r="CJ33" s="1" t="s">
        <v>22</v>
      </c>
      <c r="CK33" s="1" t="s">
        <v>22</v>
      </c>
      <c r="CL33" s="1" t="s">
        <v>22</v>
      </c>
      <c r="CM33" s="1" t="s">
        <v>22</v>
      </c>
      <c r="CN33" s="4" t="s">
        <v>22</v>
      </c>
      <c r="CP33" s="3" t="s">
        <v>22</v>
      </c>
      <c r="CQ33" s="1" t="s">
        <v>22</v>
      </c>
      <c r="CR33" s="1" t="s">
        <v>22</v>
      </c>
      <c r="CS33" s="1" t="s">
        <v>22</v>
      </c>
      <c r="CT33" s="1" t="s">
        <v>22</v>
      </c>
      <c r="CU33" s="1" t="s">
        <v>22</v>
      </c>
      <c r="CV33" s="1" t="s">
        <v>22</v>
      </c>
      <c r="CW33" s="4" t="s">
        <v>22</v>
      </c>
    </row>
    <row r="34" spans="1:101">
      <c r="A34" s="8" t="str">
        <f>VLOOKUP(B34,List!W:X,2,1)</f>
        <v>0.25 - 0.27</v>
      </c>
      <c r="B34" s="8">
        <v>0.25</v>
      </c>
      <c r="C34" s="8" t="s">
        <v>15</v>
      </c>
      <c r="D34" s="3">
        <v>-50</v>
      </c>
      <c r="E34" s="1">
        <v>-50</v>
      </c>
      <c r="F34" s="1">
        <v>-50</v>
      </c>
      <c r="G34" s="1">
        <v>-50</v>
      </c>
      <c r="H34" s="1">
        <v>-50</v>
      </c>
      <c r="I34" s="1">
        <v>-50</v>
      </c>
      <c r="J34" s="1">
        <v>-50</v>
      </c>
      <c r="K34" s="4">
        <v>-50</v>
      </c>
      <c r="M34" s="3">
        <f t="shared" si="0"/>
        <v>-56</v>
      </c>
      <c r="N34" s="1">
        <f t="shared" si="1"/>
        <v>-56</v>
      </c>
      <c r="O34" s="1">
        <f t="shared" si="2"/>
        <v>-56</v>
      </c>
      <c r="P34" s="1">
        <f t="shared" si="3"/>
        <v>-56</v>
      </c>
      <c r="Q34" s="1">
        <f t="shared" si="4"/>
        <v>-56</v>
      </c>
      <c r="R34" s="1">
        <f t="shared" si="5"/>
        <v>-56</v>
      </c>
      <c r="S34" s="1">
        <f t="shared" si="6"/>
        <v>-56</v>
      </c>
      <c r="T34" s="4">
        <f t="shared" si="7"/>
        <v>-56</v>
      </c>
      <c r="V34" s="3">
        <f t="shared" si="8"/>
        <v>-64</v>
      </c>
      <c r="W34" s="1">
        <f t="shared" si="9"/>
        <v>-64</v>
      </c>
      <c r="X34" s="1">
        <f t="shared" si="10"/>
        <v>-64</v>
      </c>
      <c r="Y34" s="1">
        <f t="shared" si="11"/>
        <v>-64</v>
      </c>
      <c r="Z34" s="1">
        <f t="shared" si="12"/>
        <v>-64</v>
      </c>
      <c r="AA34" s="1">
        <f t="shared" si="13"/>
        <v>-64</v>
      </c>
      <c r="AB34" s="1">
        <f t="shared" si="14"/>
        <v>-64</v>
      </c>
      <c r="AC34" s="4">
        <f t="shared" si="15"/>
        <v>-64</v>
      </c>
      <c r="AE34" s="3" t="str">
        <f t="shared" si="16"/>
        <v/>
      </c>
      <c r="AF34" s="1" t="str">
        <f t="shared" si="17"/>
        <v/>
      </c>
      <c r="AG34" s="1" t="str">
        <f t="shared" si="18"/>
        <v/>
      </c>
      <c r="AH34" s="1" t="str">
        <f t="shared" si="19"/>
        <v/>
      </c>
      <c r="AI34" s="1" t="str">
        <f t="shared" si="20"/>
        <v/>
      </c>
      <c r="AJ34" s="1" t="str">
        <f t="shared" si="21"/>
        <v/>
      </c>
      <c r="AK34" s="1" t="str">
        <f t="shared" si="22"/>
        <v/>
      </c>
      <c r="AL34" s="4" t="str">
        <f t="shared" si="23"/>
        <v/>
      </c>
      <c r="AN34" s="3" t="str">
        <f t="shared" si="24"/>
        <v/>
      </c>
      <c r="AO34" s="1" t="str">
        <f t="shared" si="25"/>
        <v/>
      </c>
      <c r="AP34" s="1" t="str">
        <f t="shared" si="26"/>
        <v/>
      </c>
      <c r="AQ34" s="1" t="str">
        <f t="shared" si="27"/>
        <v/>
      </c>
      <c r="AR34" s="1" t="str">
        <f t="shared" si="28"/>
        <v/>
      </c>
      <c r="AS34" s="1" t="str">
        <f t="shared" si="29"/>
        <v/>
      </c>
      <c r="AT34" s="1" t="str">
        <f t="shared" si="30"/>
        <v/>
      </c>
      <c r="AU34" s="4" t="str">
        <f t="shared" si="31"/>
        <v/>
      </c>
      <c r="AW34" s="3" t="str">
        <f t="shared" si="32"/>
        <v/>
      </c>
      <c r="AX34" s="1" t="str">
        <f t="shared" si="33"/>
        <v/>
      </c>
      <c r="AY34" s="1" t="str">
        <f t="shared" si="34"/>
        <v/>
      </c>
      <c r="AZ34" s="1" t="str">
        <f t="shared" si="35"/>
        <v/>
      </c>
      <c r="BA34" s="1" t="str">
        <f t="shared" si="36"/>
        <v/>
      </c>
      <c r="BB34" s="1" t="str">
        <f t="shared" si="37"/>
        <v/>
      </c>
      <c r="BC34" s="1" t="str">
        <f t="shared" si="38"/>
        <v/>
      </c>
      <c r="BD34" s="4" t="str">
        <f t="shared" si="39"/>
        <v/>
      </c>
      <c r="BF34" s="3">
        <v>-6</v>
      </c>
      <c r="BG34" s="1">
        <v>-6</v>
      </c>
      <c r="BH34" s="1">
        <v>-6</v>
      </c>
      <c r="BI34" s="1">
        <v>-6</v>
      </c>
      <c r="BJ34" s="1">
        <v>-6</v>
      </c>
      <c r="BK34" s="1">
        <v>-6</v>
      </c>
      <c r="BL34" s="1">
        <v>-6</v>
      </c>
      <c r="BM34" s="4">
        <v>-6</v>
      </c>
      <c r="BO34" s="3">
        <v>-8</v>
      </c>
      <c r="BP34" s="1">
        <v>-8</v>
      </c>
      <c r="BQ34" s="1">
        <v>-8</v>
      </c>
      <c r="BR34" s="1">
        <v>-8</v>
      </c>
      <c r="BS34" s="1">
        <v>-8</v>
      </c>
      <c r="BT34" s="1">
        <v>-8</v>
      </c>
      <c r="BU34" s="1">
        <v>-8</v>
      </c>
      <c r="BV34" s="4">
        <v>-8</v>
      </c>
      <c r="BX34" s="3" t="s">
        <v>22</v>
      </c>
      <c r="BY34" s="1" t="s">
        <v>22</v>
      </c>
      <c r="BZ34" s="1" t="s">
        <v>22</v>
      </c>
      <c r="CA34" s="1" t="s">
        <v>22</v>
      </c>
      <c r="CB34" s="1" t="s">
        <v>22</v>
      </c>
      <c r="CC34" s="1" t="s">
        <v>22</v>
      </c>
      <c r="CD34" s="1" t="s">
        <v>22</v>
      </c>
      <c r="CE34" s="4" t="s">
        <v>22</v>
      </c>
      <c r="CG34" s="3" t="s">
        <v>22</v>
      </c>
      <c r="CH34" s="1" t="s">
        <v>22</v>
      </c>
      <c r="CI34" s="1" t="s">
        <v>22</v>
      </c>
      <c r="CJ34" s="1" t="s">
        <v>22</v>
      </c>
      <c r="CK34" s="1" t="s">
        <v>22</v>
      </c>
      <c r="CL34" s="1" t="s">
        <v>22</v>
      </c>
      <c r="CM34" s="1" t="s">
        <v>22</v>
      </c>
      <c r="CN34" s="4" t="s">
        <v>22</v>
      </c>
      <c r="CP34" s="3" t="s">
        <v>22</v>
      </c>
      <c r="CQ34" s="1" t="s">
        <v>22</v>
      </c>
      <c r="CR34" s="1" t="s">
        <v>22</v>
      </c>
      <c r="CS34" s="1" t="s">
        <v>22</v>
      </c>
      <c r="CT34" s="1" t="s">
        <v>22</v>
      </c>
      <c r="CU34" s="1" t="s">
        <v>22</v>
      </c>
      <c r="CV34" s="1" t="s">
        <v>22</v>
      </c>
      <c r="CW34" s="4" t="s">
        <v>22</v>
      </c>
    </row>
    <row r="35" spans="1:101">
      <c r="A35" s="8" t="str">
        <f>VLOOKUP(B35,List!W:X,2,1)</f>
        <v>0.28 - 0.29</v>
      </c>
      <c r="B35" s="8">
        <v>0.28000000000000003</v>
      </c>
      <c r="C35" s="8" t="s">
        <v>8</v>
      </c>
      <c r="D35" s="3">
        <v>8</v>
      </c>
      <c r="E35" s="1">
        <v>8</v>
      </c>
      <c r="F35" s="1">
        <v>-32</v>
      </c>
      <c r="G35" s="1">
        <v>-42</v>
      </c>
      <c r="H35" s="1">
        <v>-42</v>
      </c>
      <c r="I35" s="1">
        <v>-37</v>
      </c>
      <c r="J35" s="1">
        <v>-50</v>
      </c>
      <c r="K35" s="4">
        <v>-50</v>
      </c>
      <c r="M35" s="3">
        <f t="shared" ref="M35:M66" si="40">IFERROR(IF(AND(D35="",BF35=""),"",D35+BF35),"")</f>
        <v>-7</v>
      </c>
      <c r="N35" s="1">
        <f t="shared" ref="N35:N66" si="41">IFERROR(IF(AND(E35="",BG35=""),"",E35+BG35),"")</f>
        <v>-7</v>
      </c>
      <c r="O35" s="1">
        <f t="shared" ref="O35:O66" si="42">IFERROR(IF(AND(F35="",BH35=""),"",F35+BH35),"")</f>
        <v>-40</v>
      </c>
      <c r="P35" s="1">
        <f t="shared" ref="P35:P66" si="43">IFERROR(IF(AND(G35="",BI35=""),"",G35+BI35),"")</f>
        <v>-46</v>
      </c>
      <c r="Q35" s="1">
        <f t="shared" ref="Q35:Q66" si="44">IFERROR(IF(AND(H35="",BJ35=""),"",H35+BJ35),"")</f>
        <v>-48</v>
      </c>
      <c r="R35" s="1">
        <f t="shared" ref="R35:R66" si="45">IFERROR(IF(AND(I35="",BK35=""),"",I35+BK35),"")</f>
        <v>-41</v>
      </c>
      <c r="S35" s="1">
        <f t="shared" ref="S35:S66" si="46">IFERROR(IF(AND(J35="",BL35=""),"",J35+BL35),"")</f>
        <v>-56</v>
      </c>
      <c r="T35" s="4">
        <f t="shared" ref="T35:T66" si="47">IFERROR(IF(AND(K35="",BM35=""),"",K35+BM35),"")</f>
        <v>-56</v>
      </c>
      <c r="V35" s="3">
        <f t="shared" ref="V35:V66" si="48">IFERROR(IF(AND(M35="",BO35=""),"",M35+BO35),"")</f>
        <v>-19</v>
      </c>
      <c r="W35" s="1">
        <f t="shared" ref="W35:W66" si="49">IFERROR(IF(AND(N35="",BP35=""),"",N35+BP35),"")</f>
        <v>-19</v>
      </c>
      <c r="X35" s="1">
        <f t="shared" ref="X35:X66" si="50">IFERROR(IF(AND(O35="",BQ35=""),"",O35+BQ35),"")</f>
        <v>-52</v>
      </c>
      <c r="Y35" s="1">
        <f t="shared" ref="Y35:Y66" si="51">IFERROR(IF(AND(P35="",BR35=""),"",P35+BR35),"")</f>
        <v>-58</v>
      </c>
      <c r="Z35" s="1">
        <f t="shared" ref="Z35:Z66" si="52">IFERROR(IF(AND(Q35="",BS35=""),"",Q35+BS35),"")</f>
        <v>-60</v>
      </c>
      <c r="AA35" s="1">
        <f t="shared" ref="AA35:AA66" si="53">IFERROR(IF(AND(R35="",BT35=""),"",R35+BT35),"")</f>
        <v>-53</v>
      </c>
      <c r="AB35" s="1">
        <f t="shared" ref="AB35:AB66" si="54">IFERROR(IF(AND(S35="",BU35=""),"",S35+BU35),"")</f>
        <v>-71</v>
      </c>
      <c r="AC35" s="4">
        <f t="shared" ref="AC35:AC66" si="55">IFERROR(IF(AND(T35="",BV35=""),"",T35+BV35),"")</f>
        <v>-71</v>
      </c>
      <c r="AE35" s="3">
        <f t="shared" ref="AE35:AE66" si="56">IFERROR(IF(AND(D35="",BX35=""),"",D35+BX35),"")</f>
        <v>-14</v>
      </c>
      <c r="AF35" s="1">
        <f t="shared" ref="AF35:AF66" si="57">IFERROR(IF(AND(E35="",BY35=""),"",E35+BY35),"")</f>
        <v>-14</v>
      </c>
      <c r="AG35" s="1">
        <f t="shared" ref="AG35:AG66" si="58">IFERROR(IF(AND(F35="",BZ35=""),"",F35+BZ35),"")</f>
        <v>-54</v>
      </c>
      <c r="AH35" s="1">
        <f t="shared" ref="AH35:AH66" si="59">IFERROR(IF(AND(G35="",CA35=""),"",G35+CA35),"")</f>
        <v>-64</v>
      </c>
      <c r="AI35" s="1">
        <f t="shared" ref="AI35:AI66" si="60">IFERROR(IF(AND(H35="",CB35=""),"",H35+CB35),"")</f>
        <v>-64</v>
      </c>
      <c r="AJ35" s="1">
        <f t="shared" ref="AJ35:AJ66" si="61">IFERROR(IF(AND(I35="",CC35=""),"",I35+CC35),"")</f>
        <v>-59</v>
      </c>
      <c r="AK35" s="1">
        <f t="shared" ref="AK35:AK66" si="62">IFERROR(IF(AND(J35="",CD35=""),"",J35+CD35),"")</f>
        <v>-72</v>
      </c>
      <c r="AL35" s="4">
        <f t="shared" ref="AL35:AL66" si="63">IFERROR(IF(AND(K35="",CE35=""),"",K35+CE35),"")</f>
        <v>-72</v>
      </c>
      <c r="AN35" s="3">
        <f t="shared" ref="AN35:AN66" si="64">IFERROR(IF(AND(AE35="",CG35=""),"",AE35+CG35),"")</f>
        <v>-17</v>
      </c>
      <c r="AO35" s="1">
        <f t="shared" ref="AO35:AO66" si="65">IFERROR(IF(AND(AF35="",CH35=""),"",AF35+CH35),"")</f>
        <v>-17</v>
      </c>
      <c r="AP35" s="1">
        <f t="shared" ref="AP35:AP66" si="66">IFERROR(IF(AND(AG35="",CI35=""),"",AG35+CI35),"")</f>
        <v>-57</v>
      </c>
      <c r="AQ35" s="1">
        <f t="shared" ref="AQ35:AQ66" si="67">IFERROR(IF(AND(AH35="",CJ35=""),"",AH35+CJ35),"")</f>
        <v>-67</v>
      </c>
      <c r="AR35" s="1">
        <f t="shared" ref="AR35:AR66" si="68">IFERROR(IF(AND(AI35="",CK35=""),"",AI35+CK35),"")</f>
        <v>-67</v>
      </c>
      <c r="AS35" s="1">
        <f t="shared" ref="AS35:AS66" si="69">IFERROR(IF(AND(AJ35="",CL35=""),"",AJ35+CL35),"")</f>
        <v>-62</v>
      </c>
      <c r="AT35" s="1">
        <f t="shared" ref="AT35:AT66" si="70">IFERROR(IF(AND(AK35="",CM35=""),"",AK35+CM35),"")</f>
        <v>-75</v>
      </c>
      <c r="AU35" s="4">
        <f t="shared" ref="AU35:AU66" si="71">IFERROR(IF(AND(AL35="",CN35=""),"",AL35+CN35),"")</f>
        <v>-75</v>
      </c>
      <c r="AW35" s="3">
        <f t="shared" ref="AW35:AW66" si="72">IFERROR(IF(AND(AE35="",CP35=""),"",AE35+CP35),"")</f>
        <v>-20</v>
      </c>
      <c r="AX35" s="1">
        <f t="shared" ref="AX35:AX66" si="73">IFERROR(IF(AND(AF35="",CQ35=""),"",AF35+CQ35),"")</f>
        <v>-20</v>
      </c>
      <c r="AY35" s="1">
        <f t="shared" ref="AY35:AY66" si="74">IFERROR(IF(AND(AG35="",CR35=""),"",AG35+CR35),"")</f>
        <v>-60</v>
      </c>
      <c r="AZ35" s="1">
        <f t="shared" ref="AZ35:AZ66" si="75">IFERROR(IF(AND(AH35="",CS35=""),"",AH35+CS35),"")</f>
        <v>-70</v>
      </c>
      <c r="BA35" s="1">
        <f t="shared" ref="BA35:BA66" si="76">IFERROR(IF(AND(AI35="",CT35=""),"",AI35+CT35),"")</f>
        <v>-70</v>
      </c>
      <c r="BB35" s="1">
        <f t="shared" ref="BB35:BB66" si="77">IFERROR(IF(AND(AJ35="",CU35=""),"",AJ35+CU35),"")</f>
        <v>-65</v>
      </c>
      <c r="BC35" s="1">
        <f t="shared" ref="BC35:BC66" si="78">IFERROR(IF(AND(AK35="",CV35=""),"",AK35+CV35),"")</f>
        <v>-78</v>
      </c>
      <c r="BD35" s="4">
        <f t="shared" ref="BD35:BD66" si="79">IFERROR(IF(AND(AL35="",CW35=""),"",AL35+CW35),"")</f>
        <v>-78</v>
      </c>
      <c r="BF35" s="3">
        <v>-15</v>
      </c>
      <c r="BG35" s="1">
        <v>-15</v>
      </c>
      <c r="BH35" s="1">
        <v>-8</v>
      </c>
      <c r="BI35" s="1">
        <v>-4</v>
      </c>
      <c r="BJ35" s="1">
        <v>-6</v>
      </c>
      <c r="BK35" s="1">
        <v>-4</v>
      </c>
      <c r="BL35" s="1">
        <v>-6</v>
      </c>
      <c r="BM35" s="4">
        <v>-6</v>
      </c>
      <c r="BO35" s="3">
        <v>-12</v>
      </c>
      <c r="BP35" s="1">
        <v>-12</v>
      </c>
      <c r="BQ35" s="1">
        <v>-12</v>
      </c>
      <c r="BR35" s="1">
        <v>-12</v>
      </c>
      <c r="BS35" s="1">
        <v>-12</v>
      </c>
      <c r="BT35" s="1">
        <v>-12</v>
      </c>
      <c r="BU35" s="1">
        <v>-15</v>
      </c>
      <c r="BV35" s="4">
        <v>-15</v>
      </c>
      <c r="BX35" s="3">
        <v>-22</v>
      </c>
      <c r="BY35" s="1">
        <v>-22</v>
      </c>
      <c r="BZ35" s="1">
        <v>-22</v>
      </c>
      <c r="CA35" s="1">
        <v>-22</v>
      </c>
      <c r="CB35" s="1">
        <v>-22</v>
      </c>
      <c r="CC35" s="1">
        <v>-22</v>
      </c>
      <c r="CD35" s="1">
        <v>-22</v>
      </c>
      <c r="CE35" s="4">
        <v>-22</v>
      </c>
      <c r="CG35" s="3">
        <v>-3</v>
      </c>
      <c r="CH35" s="1">
        <v>-3</v>
      </c>
      <c r="CI35" s="1">
        <v>-3</v>
      </c>
      <c r="CJ35" s="1">
        <v>-3</v>
      </c>
      <c r="CK35" s="1">
        <v>-3</v>
      </c>
      <c r="CL35" s="1">
        <v>-3</v>
      </c>
      <c r="CM35" s="1">
        <v>-3</v>
      </c>
      <c r="CN35" s="4">
        <v>-3</v>
      </c>
      <c r="CP35" s="3">
        <v>-6</v>
      </c>
      <c r="CQ35" s="1">
        <v>-6</v>
      </c>
      <c r="CR35" s="1">
        <v>-6</v>
      </c>
      <c r="CS35" s="1">
        <v>-6</v>
      </c>
      <c r="CT35" s="1">
        <v>-6</v>
      </c>
      <c r="CU35" s="1">
        <v>-6</v>
      </c>
      <c r="CV35" s="1">
        <v>-6</v>
      </c>
      <c r="CW35" s="4">
        <v>-6</v>
      </c>
    </row>
    <row r="36" spans="1:101">
      <c r="A36" s="8" t="str">
        <f>VLOOKUP(B36,List!W:X,2,1)</f>
        <v>0.28 - 0.29</v>
      </c>
      <c r="B36" s="8">
        <v>0.28000000000000003</v>
      </c>
      <c r="C36" s="8" t="s">
        <v>9</v>
      </c>
      <c r="D36" s="3">
        <v>-12</v>
      </c>
      <c r="E36" s="1">
        <v>-12</v>
      </c>
      <c r="F36" s="1">
        <v>-37</v>
      </c>
      <c r="G36" s="1">
        <v>-48</v>
      </c>
      <c r="H36" s="1">
        <v>-45</v>
      </c>
      <c r="I36" s="1">
        <v>-43</v>
      </c>
      <c r="J36" s="1">
        <v>-50</v>
      </c>
      <c r="K36" s="4">
        <v>-50</v>
      </c>
      <c r="M36" s="3">
        <f t="shared" si="40"/>
        <v>-20</v>
      </c>
      <c r="N36" s="1">
        <f t="shared" si="41"/>
        <v>-20</v>
      </c>
      <c r="O36" s="1">
        <f t="shared" si="42"/>
        <v>-45</v>
      </c>
      <c r="P36" s="1">
        <f t="shared" si="43"/>
        <v>-51</v>
      </c>
      <c r="Q36" s="1">
        <f t="shared" si="44"/>
        <v>-48</v>
      </c>
      <c r="R36" s="1">
        <f t="shared" si="45"/>
        <v>-46</v>
      </c>
      <c r="S36" s="1">
        <f t="shared" si="46"/>
        <v>-56</v>
      </c>
      <c r="T36" s="4">
        <f t="shared" si="47"/>
        <v>-56</v>
      </c>
      <c r="V36" s="3">
        <f t="shared" si="48"/>
        <v>-32</v>
      </c>
      <c r="W36" s="1">
        <f t="shared" si="49"/>
        <v>-32</v>
      </c>
      <c r="X36" s="1">
        <f t="shared" si="50"/>
        <v>-57</v>
      </c>
      <c r="Y36" s="1">
        <f t="shared" si="51"/>
        <v>-63</v>
      </c>
      <c r="Z36" s="1">
        <f t="shared" si="52"/>
        <v>-60</v>
      </c>
      <c r="AA36" s="1">
        <f t="shared" si="53"/>
        <v>-58</v>
      </c>
      <c r="AB36" s="1">
        <f t="shared" si="54"/>
        <v>-71</v>
      </c>
      <c r="AC36" s="4">
        <f t="shared" si="55"/>
        <v>-71</v>
      </c>
      <c r="AE36" s="3">
        <f t="shared" si="56"/>
        <v>-34</v>
      </c>
      <c r="AF36" s="1">
        <f t="shared" si="57"/>
        <v>-34</v>
      </c>
      <c r="AG36" s="1">
        <f t="shared" si="58"/>
        <v>-59</v>
      </c>
      <c r="AH36" s="1">
        <f t="shared" si="59"/>
        <v>-70</v>
      </c>
      <c r="AI36" s="1">
        <f t="shared" si="60"/>
        <v>-67</v>
      </c>
      <c r="AJ36" s="1">
        <f t="shared" si="61"/>
        <v>-65</v>
      </c>
      <c r="AK36" s="1">
        <f t="shared" si="62"/>
        <v>-72</v>
      </c>
      <c r="AL36" s="4">
        <f t="shared" si="63"/>
        <v>-72</v>
      </c>
      <c r="AN36" s="3">
        <f t="shared" si="64"/>
        <v>-37</v>
      </c>
      <c r="AO36" s="1">
        <f t="shared" si="65"/>
        <v>-37</v>
      </c>
      <c r="AP36" s="1">
        <f t="shared" si="66"/>
        <v>-62</v>
      </c>
      <c r="AQ36" s="1">
        <f t="shared" si="67"/>
        <v>-73</v>
      </c>
      <c r="AR36" s="1">
        <f t="shared" si="68"/>
        <v>-70</v>
      </c>
      <c r="AS36" s="1">
        <f t="shared" si="69"/>
        <v>-68</v>
      </c>
      <c r="AT36" s="1">
        <f t="shared" si="70"/>
        <v>-75</v>
      </c>
      <c r="AU36" s="4">
        <f t="shared" si="71"/>
        <v>-75</v>
      </c>
      <c r="AW36" s="3">
        <f t="shared" si="72"/>
        <v>-40</v>
      </c>
      <c r="AX36" s="1">
        <f t="shared" si="73"/>
        <v>-40</v>
      </c>
      <c r="AY36" s="1">
        <f t="shared" si="74"/>
        <v>-65</v>
      </c>
      <c r="AZ36" s="1">
        <f t="shared" si="75"/>
        <v>-76</v>
      </c>
      <c r="BA36" s="1">
        <f t="shared" si="76"/>
        <v>-73</v>
      </c>
      <c r="BB36" s="1">
        <f t="shared" si="77"/>
        <v>-71</v>
      </c>
      <c r="BC36" s="1">
        <f t="shared" si="78"/>
        <v>-78</v>
      </c>
      <c r="BD36" s="4">
        <f t="shared" si="79"/>
        <v>-78</v>
      </c>
      <c r="BF36" s="3">
        <v>-8</v>
      </c>
      <c r="BG36" s="1">
        <v>-8</v>
      </c>
      <c r="BH36" s="1">
        <v>-8</v>
      </c>
      <c r="BI36" s="1">
        <v>-3</v>
      </c>
      <c r="BJ36" s="1">
        <v>-3</v>
      </c>
      <c r="BK36" s="1">
        <v>-3</v>
      </c>
      <c r="BL36" s="1">
        <v>-6</v>
      </c>
      <c r="BM36" s="4">
        <v>-6</v>
      </c>
      <c r="BO36" s="3">
        <v>-12</v>
      </c>
      <c r="BP36" s="1">
        <v>-12</v>
      </c>
      <c r="BQ36" s="1">
        <v>-12</v>
      </c>
      <c r="BR36" s="1">
        <v>-12</v>
      </c>
      <c r="BS36" s="1">
        <v>-12</v>
      </c>
      <c r="BT36" s="1">
        <v>-12</v>
      </c>
      <c r="BU36" s="1">
        <v>-15</v>
      </c>
      <c r="BV36" s="4">
        <v>-15</v>
      </c>
      <c r="BX36" s="3">
        <v>-22</v>
      </c>
      <c r="BY36" s="1">
        <v>-22</v>
      </c>
      <c r="BZ36" s="1">
        <v>-22</v>
      </c>
      <c r="CA36" s="1">
        <v>-22</v>
      </c>
      <c r="CB36" s="1">
        <v>-22</v>
      </c>
      <c r="CC36" s="1">
        <v>-22</v>
      </c>
      <c r="CD36" s="1">
        <v>-22</v>
      </c>
      <c r="CE36" s="4">
        <v>-22</v>
      </c>
      <c r="CG36" s="3">
        <v>-3</v>
      </c>
      <c r="CH36" s="1">
        <v>-3</v>
      </c>
      <c r="CI36" s="1">
        <v>-3</v>
      </c>
      <c r="CJ36" s="1">
        <v>-3</v>
      </c>
      <c r="CK36" s="1">
        <v>-3</v>
      </c>
      <c r="CL36" s="1">
        <v>-3</v>
      </c>
      <c r="CM36" s="1">
        <v>-3</v>
      </c>
      <c r="CN36" s="4">
        <v>-3</v>
      </c>
      <c r="CP36" s="3">
        <v>-6</v>
      </c>
      <c r="CQ36" s="1">
        <v>-6</v>
      </c>
      <c r="CR36" s="1">
        <v>-6</v>
      </c>
      <c r="CS36" s="1">
        <v>-6</v>
      </c>
      <c r="CT36" s="1">
        <v>-6</v>
      </c>
      <c r="CU36" s="1">
        <v>-6</v>
      </c>
      <c r="CV36" s="1">
        <v>-6</v>
      </c>
      <c r="CW36" s="4">
        <v>-6</v>
      </c>
    </row>
    <row r="37" spans="1:101">
      <c r="A37" s="8" t="str">
        <f>VLOOKUP(B37,List!W:X,2,1)</f>
        <v>0.28 - 0.29</v>
      </c>
      <c r="B37" s="8">
        <v>0.28000000000000003</v>
      </c>
      <c r="C37" s="8" t="s">
        <v>10</v>
      </c>
      <c r="D37" s="3">
        <v>-37</v>
      </c>
      <c r="E37" s="1">
        <v>-37</v>
      </c>
      <c r="F37" s="1">
        <v>-45</v>
      </c>
      <c r="G37" s="1">
        <v>-50</v>
      </c>
      <c r="H37" s="1">
        <v>-46</v>
      </c>
      <c r="I37" s="1">
        <v>-43</v>
      </c>
      <c r="J37" s="1">
        <v>-50</v>
      </c>
      <c r="K37" s="4">
        <v>-50</v>
      </c>
      <c r="M37" s="3">
        <f t="shared" si="40"/>
        <v>-41</v>
      </c>
      <c r="N37" s="1">
        <f t="shared" si="41"/>
        <v>-41</v>
      </c>
      <c r="O37" s="1">
        <f t="shared" si="42"/>
        <v>-49</v>
      </c>
      <c r="P37" s="1">
        <f t="shared" si="43"/>
        <v>-53</v>
      </c>
      <c r="Q37" s="1">
        <f t="shared" si="44"/>
        <v>-49</v>
      </c>
      <c r="R37" s="1">
        <f t="shared" si="45"/>
        <v>-47</v>
      </c>
      <c r="S37" s="1">
        <f t="shared" si="46"/>
        <v>-56</v>
      </c>
      <c r="T37" s="4">
        <f t="shared" si="47"/>
        <v>-56</v>
      </c>
      <c r="V37" s="3">
        <f t="shared" si="48"/>
        <v>-53</v>
      </c>
      <c r="W37" s="1">
        <f t="shared" si="49"/>
        <v>-53</v>
      </c>
      <c r="X37" s="1">
        <f t="shared" si="50"/>
        <v>-61</v>
      </c>
      <c r="Y37" s="1">
        <f t="shared" si="51"/>
        <v>-65</v>
      </c>
      <c r="Z37" s="1">
        <f t="shared" si="52"/>
        <v>-61</v>
      </c>
      <c r="AA37" s="1">
        <f t="shared" si="53"/>
        <v>-59</v>
      </c>
      <c r="AB37" s="1">
        <f t="shared" si="54"/>
        <v>-71</v>
      </c>
      <c r="AC37" s="4">
        <f t="shared" si="55"/>
        <v>-71</v>
      </c>
      <c r="AE37" s="3">
        <f t="shared" si="56"/>
        <v>-59</v>
      </c>
      <c r="AF37" s="1">
        <f t="shared" si="57"/>
        <v>-59</v>
      </c>
      <c r="AG37" s="1">
        <f t="shared" si="58"/>
        <v>-67</v>
      </c>
      <c r="AH37" s="1">
        <f t="shared" si="59"/>
        <v>-72</v>
      </c>
      <c r="AI37" s="1">
        <f t="shared" si="60"/>
        <v>-68</v>
      </c>
      <c r="AJ37" s="1">
        <f t="shared" si="61"/>
        <v>-65</v>
      </c>
      <c r="AK37" s="1">
        <f t="shared" si="62"/>
        <v>-72</v>
      </c>
      <c r="AL37" s="4">
        <f t="shared" si="63"/>
        <v>-72</v>
      </c>
      <c r="AN37" s="3">
        <f t="shared" si="64"/>
        <v>-62</v>
      </c>
      <c r="AO37" s="1">
        <f t="shared" si="65"/>
        <v>-62</v>
      </c>
      <c r="AP37" s="1">
        <f t="shared" si="66"/>
        <v>-70</v>
      </c>
      <c r="AQ37" s="1">
        <f t="shared" si="67"/>
        <v>-75</v>
      </c>
      <c r="AR37" s="1">
        <f t="shared" si="68"/>
        <v>-71</v>
      </c>
      <c r="AS37" s="1">
        <f t="shared" si="69"/>
        <v>-68</v>
      </c>
      <c r="AT37" s="1">
        <f t="shared" si="70"/>
        <v>-75</v>
      </c>
      <c r="AU37" s="4">
        <f t="shared" si="71"/>
        <v>-75</v>
      </c>
      <c r="AW37" s="3">
        <f t="shared" si="72"/>
        <v>-65</v>
      </c>
      <c r="AX37" s="1">
        <f t="shared" si="73"/>
        <v>-65</v>
      </c>
      <c r="AY37" s="1">
        <f t="shared" si="74"/>
        <v>-73</v>
      </c>
      <c r="AZ37" s="1">
        <f t="shared" si="75"/>
        <v>-78</v>
      </c>
      <c r="BA37" s="1">
        <f t="shared" si="76"/>
        <v>-74</v>
      </c>
      <c r="BB37" s="1">
        <f t="shared" si="77"/>
        <v>-71</v>
      </c>
      <c r="BC37" s="1">
        <f t="shared" si="78"/>
        <v>-78</v>
      </c>
      <c r="BD37" s="4">
        <f t="shared" si="79"/>
        <v>-78</v>
      </c>
      <c r="BF37" s="3">
        <v>-4</v>
      </c>
      <c r="BG37" s="1">
        <v>-4</v>
      </c>
      <c r="BH37" s="1">
        <v>-4</v>
      </c>
      <c r="BI37" s="1">
        <v>-3</v>
      </c>
      <c r="BJ37" s="1">
        <v>-3</v>
      </c>
      <c r="BK37" s="1">
        <v>-4</v>
      </c>
      <c r="BL37" s="1">
        <v>-6</v>
      </c>
      <c r="BM37" s="4">
        <v>-6</v>
      </c>
      <c r="BO37" s="3">
        <v>-12</v>
      </c>
      <c r="BP37" s="1">
        <v>-12</v>
      </c>
      <c r="BQ37" s="1">
        <v>-12</v>
      </c>
      <c r="BR37" s="1">
        <v>-12</v>
      </c>
      <c r="BS37" s="1">
        <v>-12</v>
      </c>
      <c r="BT37" s="1">
        <v>-12</v>
      </c>
      <c r="BU37" s="1">
        <v>-15</v>
      </c>
      <c r="BV37" s="4">
        <v>-15</v>
      </c>
      <c r="BX37" s="3">
        <v>-22</v>
      </c>
      <c r="BY37" s="1">
        <v>-22</v>
      </c>
      <c r="BZ37" s="1">
        <v>-22</v>
      </c>
      <c r="CA37" s="1">
        <v>-22</v>
      </c>
      <c r="CB37" s="1">
        <v>-22</v>
      </c>
      <c r="CC37" s="1">
        <v>-22</v>
      </c>
      <c r="CD37" s="1">
        <v>-22</v>
      </c>
      <c r="CE37" s="4">
        <v>-22</v>
      </c>
      <c r="CG37" s="3">
        <v>-3</v>
      </c>
      <c r="CH37" s="1">
        <v>-3</v>
      </c>
      <c r="CI37" s="1">
        <v>-3</v>
      </c>
      <c r="CJ37" s="1">
        <v>-3</v>
      </c>
      <c r="CK37" s="1">
        <v>-3</v>
      </c>
      <c r="CL37" s="1">
        <v>-3</v>
      </c>
      <c r="CM37" s="1">
        <v>-3</v>
      </c>
      <c r="CN37" s="4">
        <v>-3</v>
      </c>
      <c r="CP37" s="3">
        <v>-6</v>
      </c>
      <c r="CQ37" s="1">
        <v>-6</v>
      </c>
      <c r="CR37" s="1">
        <v>-6</v>
      </c>
      <c r="CS37" s="1">
        <v>-6</v>
      </c>
      <c r="CT37" s="1">
        <v>-6</v>
      </c>
      <c r="CU37" s="1">
        <v>-6</v>
      </c>
      <c r="CV37" s="1">
        <v>-6</v>
      </c>
      <c r="CW37" s="4">
        <v>-6</v>
      </c>
    </row>
    <row r="38" spans="1:101">
      <c r="A38" s="8" t="str">
        <f>VLOOKUP(B38,List!W:X,2,1)</f>
        <v>0.28 - 0.29</v>
      </c>
      <c r="B38" s="8">
        <v>0.28000000000000003</v>
      </c>
      <c r="C38" s="8" t="s">
        <v>11</v>
      </c>
      <c r="D38" s="3">
        <v>-28</v>
      </c>
      <c r="E38" s="1">
        <v>-28</v>
      </c>
      <c r="F38" s="1">
        <v>-38</v>
      </c>
      <c r="G38" s="1">
        <v>-40</v>
      </c>
      <c r="H38" s="1">
        <v>-31</v>
      </c>
      <c r="I38" s="1">
        <v>-31</v>
      </c>
      <c r="J38" s="1">
        <v>-50</v>
      </c>
      <c r="K38" s="4">
        <v>-50</v>
      </c>
      <c r="M38" s="3">
        <f t="shared" si="40"/>
        <v>-31</v>
      </c>
      <c r="N38" s="1">
        <f t="shared" si="41"/>
        <v>-31</v>
      </c>
      <c r="O38" s="1">
        <f t="shared" si="42"/>
        <v>-41</v>
      </c>
      <c r="P38" s="1">
        <f t="shared" si="43"/>
        <v>-43</v>
      </c>
      <c r="Q38" s="1">
        <f t="shared" si="44"/>
        <v>-35</v>
      </c>
      <c r="R38" s="1">
        <f t="shared" si="45"/>
        <v>-35</v>
      </c>
      <c r="S38" s="1">
        <f t="shared" si="46"/>
        <v>-56</v>
      </c>
      <c r="T38" s="4">
        <f t="shared" si="47"/>
        <v>-56</v>
      </c>
      <c r="V38" s="3">
        <f t="shared" si="48"/>
        <v>-43</v>
      </c>
      <c r="W38" s="1">
        <f t="shared" si="49"/>
        <v>-43</v>
      </c>
      <c r="X38" s="1">
        <f t="shared" si="50"/>
        <v>-53</v>
      </c>
      <c r="Y38" s="1">
        <f t="shared" si="51"/>
        <v>-55</v>
      </c>
      <c r="Z38" s="1">
        <f t="shared" si="52"/>
        <v>-47</v>
      </c>
      <c r="AA38" s="1">
        <f t="shared" si="53"/>
        <v>-47</v>
      </c>
      <c r="AB38" s="1">
        <f t="shared" si="54"/>
        <v>-71</v>
      </c>
      <c r="AC38" s="4">
        <f t="shared" si="55"/>
        <v>-71</v>
      </c>
      <c r="AE38" s="3">
        <f t="shared" si="56"/>
        <v>-50</v>
      </c>
      <c r="AF38" s="1">
        <f t="shared" si="57"/>
        <v>-50</v>
      </c>
      <c r="AG38" s="1">
        <f t="shared" si="58"/>
        <v>-60</v>
      </c>
      <c r="AH38" s="1">
        <f t="shared" si="59"/>
        <v>-62</v>
      </c>
      <c r="AI38" s="1">
        <f t="shared" si="60"/>
        <v>-53</v>
      </c>
      <c r="AJ38" s="1">
        <f t="shared" si="61"/>
        <v>-53</v>
      </c>
      <c r="AK38" s="1">
        <f t="shared" si="62"/>
        <v>-72</v>
      </c>
      <c r="AL38" s="4">
        <f t="shared" si="63"/>
        <v>-72</v>
      </c>
      <c r="AN38" s="3">
        <f t="shared" si="64"/>
        <v>-53</v>
      </c>
      <c r="AO38" s="1">
        <f t="shared" si="65"/>
        <v>-53</v>
      </c>
      <c r="AP38" s="1">
        <f t="shared" si="66"/>
        <v>-63</v>
      </c>
      <c r="AQ38" s="1">
        <f t="shared" si="67"/>
        <v>-65</v>
      </c>
      <c r="AR38" s="1">
        <f t="shared" si="68"/>
        <v>-56</v>
      </c>
      <c r="AS38" s="1">
        <f t="shared" si="69"/>
        <v>-56</v>
      </c>
      <c r="AT38" s="1">
        <f t="shared" si="70"/>
        <v>-75</v>
      </c>
      <c r="AU38" s="4">
        <f t="shared" si="71"/>
        <v>-75</v>
      </c>
      <c r="AW38" s="3">
        <f t="shared" si="72"/>
        <v>-56</v>
      </c>
      <c r="AX38" s="1">
        <f t="shared" si="73"/>
        <v>-56</v>
      </c>
      <c r="AY38" s="1">
        <f t="shared" si="74"/>
        <v>-66</v>
      </c>
      <c r="AZ38" s="1">
        <f t="shared" si="75"/>
        <v>-68</v>
      </c>
      <c r="BA38" s="1">
        <f t="shared" si="76"/>
        <v>-59</v>
      </c>
      <c r="BB38" s="1">
        <f t="shared" si="77"/>
        <v>-59</v>
      </c>
      <c r="BC38" s="1">
        <f t="shared" si="78"/>
        <v>-78</v>
      </c>
      <c r="BD38" s="4">
        <f t="shared" si="79"/>
        <v>-78</v>
      </c>
      <c r="BF38" s="3">
        <v>-3</v>
      </c>
      <c r="BG38" s="1">
        <v>-3</v>
      </c>
      <c r="BH38" s="1">
        <v>-3</v>
      </c>
      <c r="BI38" s="1">
        <v>-3</v>
      </c>
      <c r="BJ38" s="1">
        <v>-4</v>
      </c>
      <c r="BK38" s="1">
        <v>-4</v>
      </c>
      <c r="BL38" s="1">
        <v>-6</v>
      </c>
      <c r="BM38" s="4">
        <v>-6</v>
      </c>
      <c r="BO38" s="3">
        <v>-12</v>
      </c>
      <c r="BP38" s="1">
        <v>-12</v>
      </c>
      <c r="BQ38" s="1">
        <v>-12</v>
      </c>
      <c r="BR38" s="1">
        <v>-12</v>
      </c>
      <c r="BS38" s="1">
        <v>-12</v>
      </c>
      <c r="BT38" s="1">
        <v>-12</v>
      </c>
      <c r="BU38" s="1">
        <v>-15</v>
      </c>
      <c r="BV38" s="4">
        <v>-15</v>
      </c>
      <c r="BX38" s="3">
        <v>-22</v>
      </c>
      <c r="BY38" s="1">
        <v>-22</v>
      </c>
      <c r="BZ38" s="1">
        <v>-22</v>
      </c>
      <c r="CA38" s="1">
        <v>-22</v>
      </c>
      <c r="CB38" s="1">
        <v>-22</v>
      </c>
      <c r="CC38" s="1">
        <v>-22</v>
      </c>
      <c r="CD38" s="1">
        <v>-22</v>
      </c>
      <c r="CE38" s="4">
        <v>-22</v>
      </c>
      <c r="CG38" s="3">
        <v>-3</v>
      </c>
      <c r="CH38" s="1">
        <v>-3</v>
      </c>
      <c r="CI38" s="1">
        <v>-3</v>
      </c>
      <c r="CJ38" s="1">
        <v>-3</v>
      </c>
      <c r="CK38" s="1">
        <v>-3</v>
      </c>
      <c r="CL38" s="1">
        <v>-3</v>
      </c>
      <c r="CM38" s="1">
        <v>-3</v>
      </c>
      <c r="CN38" s="4">
        <v>-3</v>
      </c>
      <c r="CP38" s="3">
        <v>-6</v>
      </c>
      <c r="CQ38" s="1">
        <v>-6</v>
      </c>
      <c r="CR38" s="1">
        <v>-6</v>
      </c>
      <c r="CS38" s="1">
        <v>-6</v>
      </c>
      <c r="CT38" s="1">
        <v>-6</v>
      </c>
      <c r="CU38" s="1">
        <v>-6</v>
      </c>
      <c r="CV38" s="1">
        <v>-6</v>
      </c>
      <c r="CW38" s="4">
        <v>-6</v>
      </c>
    </row>
    <row r="39" spans="1:101">
      <c r="A39" s="8" t="str">
        <f>VLOOKUP(B39,List!W:X,2,1)</f>
        <v>0.28 - 0.29</v>
      </c>
      <c r="B39" s="8">
        <v>0.28000000000000003</v>
      </c>
      <c r="C39" s="8" t="s">
        <v>12</v>
      </c>
      <c r="D39" s="3">
        <v>-29</v>
      </c>
      <c r="E39" s="1">
        <v>-29</v>
      </c>
      <c r="F39" s="1">
        <v>-38</v>
      </c>
      <c r="G39" s="1">
        <v>-39</v>
      </c>
      <c r="H39" s="1">
        <v>-33</v>
      </c>
      <c r="I39" s="1">
        <v>-31</v>
      </c>
      <c r="J39" s="1">
        <v>-50</v>
      </c>
      <c r="K39" s="4">
        <v>-65</v>
      </c>
      <c r="M39" s="3">
        <f t="shared" si="40"/>
        <v>-32</v>
      </c>
      <c r="N39" s="1">
        <f t="shared" si="41"/>
        <v>-32</v>
      </c>
      <c r="O39" s="1">
        <f t="shared" si="42"/>
        <v>-41</v>
      </c>
      <c r="P39" s="1">
        <f t="shared" si="43"/>
        <v>-43</v>
      </c>
      <c r="Q39" s="1">
        <f t="shared" si="44"/>
        <v>-37</v>
      </c>
      <c r="R39" s="1">
        <f t="shared" si="45"/>
        <v>-36</v>
      </c>
      <c r="S39" s="1">
        <f t="shared" si="46"/>
        <v>-56</v>
      </c>
      <c r="T39" s="4">
        <f t="shared" si="47"/>
        <v>-71</v>
      </c>
      <c r="V39" s="3">
        <f t="shared" si="48"/>
        <v>-44</v>
      </c>
      <c r="W39" s="1">
        <f t="shared" si="49"/>
        <v>-44</v>
      </c>
      <c r="X39" s="1">
        <f t="shared" si="50"/>
        <v>-53</v>
      </c>
      <c r="Y39" s="1">
        <f t="shared" si="51"/>
        <v>-55</v>
      </c>
      <c r="Z39" s="1">
        <f t="shared" si="52"/>
        <v>-49</v>
      </c>
      <c r="AA39" s="1">
        <f t="shared" si="53"/>
        <v>-48</v>
      </c>
      <c r="AB39" s="1">
        <f t="shared" si="54"/>
        <v>-71</v>
      </c>
      <c r="AC39" s="4">
        <f t="shared" si="55"/>
        <v>-86</v>
      </c>
      <c r="AE39" s="3">
        <f t="shared" si="56"/>
        <v>-51</v>
      </c>
      <c r="AF39" s="1">
        <f t="shared" si="57"/>
        <v>-51</v>
      </c>
      <c r="AG39" s="1">
        <f t="shared" si="58"/>
        <v>-60</v>
      </c>
      <c r="AH39" s="1">
        <f t="shared" si="59"/>
        <v>-61</v>
      </c>
      <c r="AI39" s="1">
        <f t="shared" si="60"/>
        <v>-55</v>
      </c>
      <c r="AJ39" s="1">
        <f t="shared" si="61"/>
        <v>-53</v>
      </c>
      <c r="AK39" s="1">
        <f t="shared" si="62"/>
        <v>-72</v>
      </c>
      <c r="AL39" s="4">
        <f t="shared" si="63"/>
        <v>-87</v>
      </c>
      <c r="AN39" s="3">
        <f t="shared" si="64"/>
        <v>-54</v>
      </c>
      <c r="AO39" s="1">
        <f t="shared" si="65"/>
        <v>-54</v>
      </c>
      <c r="AP39" s="1">
        <f t="shared" si="66"/>
        <v>-63</v>
      </c>
      <c r="AQ39" s="1">
        <f t="shared" si="67"/>
        <v>-64</v>
      </c>
      <c r="AR39" s="1">
        <f t="shared" si="68"/>
        <v>-58</v>
      </c>
      <c r="AS39" s="1">
        <f t="shared" si="69"/>
        <v>-56</v>
      </c>
      <c r="AT39" s="1">
        <f t="shared" si="70"/>
        <v>-75</v>
      </c>
      <c r="AU39" s="4">
        <f t="shared" si="71"/>
        <v>-90</v>
      </c>
      <c r="AW39" s="3">
        <f t="shared" si="72"/>
        <v>-57</v>
      </c>
      <c r="AX39" s="1">
        <f t="shared" si="73"/>
        <v>-57</v>
      </c>
      <c r="AY39" s="1">
        <f t="shared" si="74"/>
        <v>-66</v>
      </c>
      <c r="AZ39" s="1">
        <f t="shared" si="75"/>
        <v>-67</v>
      </c>
      <c r="BA39" s="1">
        <f t="shared" si="76"/>
        <v>-61</v>
      </c>
      <c r="BB39" s="1">
        <f t="shared" si="77"/>
        <v>-59</v>
      </c>
      <c r="BC39" s="1">
        <f t="shared" si="78"/>
        <v>-78</v>
      </c>
      <c r="BD39" s="4">
        <f t="shared" si="79"/>
        <v>-93</v>
      </c>
      <c r="BF39" s="3">
        <v>-3</v>
      </c>
      <c r="BG39" s="1">
        <v>-3</v>
      </c>
      <c r="BH39" s="1">
        <v>-3</v>
      </c>
      <c r="BI39" s="1">
        <v>-4</v>
      </c>
      <c r="BJ39" s="1">
        <v>-4</v>
      </c>
      <c r="BK39" s="1">
        <v>-5</v>
      </c>
      <c r="BL39" s="1">
        <v>-6</v>
      </c>
      <c r="BM39" s="4">
        <v>-6</v>
      </c>
      <c r="BO39" s="3">
        <v>-12</v>
      </c>
      <c r="BP39" s="1">
        <v>-12</v>
      </c>
      <c r="BQ39" s="1">
        <v>-12</v>
      </c>
      <c r="BR39" s="1">
        <v>-12</v>
      </c>
      <c r="BS39" s="1">
        <v>-12</v>
      </c>
      <c r="BT39" s="1">
        <v>-12</v>
      </c>
      <c r="BU39" s="1">
        <v>-15</v>
      </c>
      <c r="BV39" s="4">
        <v>-15</v>
      </c>
      <c r="BX39" s="3">
        <v>-22</v>
      </c>
      <c r="BY39" s="1">
        <v>-22</v>
      </c>
      <c r="BZ39" s="1">
        <v>-22</v>
      </c>
      <c r="CA39" s="1">
        <v>-22</v>
      </c>
      <c r="CB39" s="1">
        <v>-22</v>
      </c>
      <c r="CC39" s="1">
        <v>-22</v>
      </c>
      <c r="CD39" s="1">
        <v>-22</v>
      </c>
      <c r="CE39" s="4">
        <v>-22</v>
      </c>
      <c r="CG39" s="3">
        <v>-3</v>
      </c>
      <c r="CH39" s="1">
        <v>-3</v>
      </c>
      <c r="CI39" s="1">
        <v>-3</v>
      </c>
      <c r="CJ39" s="1">
        <v>-3</v>
      </c>
      <c r="CK39" s="1">
        <v>-3</v>
      </c>
      <c r="CL39" s="1">
        <v>-3</v>
      </c>
      <c r="CM39" s="1">
        <v>-3</v>
      </c>
      <c r="CN39" s="4">
        <v>-3</v>
      </c>
      <c r="CP39" s="3">
        <v>-6</v>
      </c>
      <c r="CQ39" s="1">
        <v>-6</v>
      </c>
      <c r="CR39" s="1">
        <v>-6</v>
      </c>
      <c r="CS39" s="1">
        <v>-6</v>
      </c>
      <c r="CT39" s="1">
        <v>-6</v>
      </c>
      <c r="CU39" s="1">
        <v>-6</v>
      </c>
      <c r="CV39" s="1">
        <v>-6</v>
      </c>
      <c r="CW39" s="4">
        <v>-6</v>
      </c>
    </row>
    <row r="40" spans="1:101">
      <c r="A40" s="8" t="str">
        <f>VLOOKUP(B40,List!W:X,2,1)</f>
        <v>0.28 - 0.29</v>
      </c>
      <c r="B40" s="8">
        <v>0.28000000000000003</v>
      </c>
      <c r="C40" s="8" t="s">
        <v>13</v>
      </c>
      <c r="D40" s="3">
        <v>-70</v>
      </c>
      <c r="E40" s="1">
        <v>-70</v>
      </c>
      <c r="F40" s="1">
        <v>-70</v>
      </c>
      <c r="G40" s="1">
        <v>-70</v>
      </c>
      <c r="H40" s="1">
        <v>-70</v>
      </c>
      <c r="I40" s="1">
        <v>-70</v>
      </c>
      <c r="J40" s="1">
        <v>-70</v>
      </c>
      <c r="K40" s="4">
        <v>-70</v>
      </c>
      <c r="M40" s="3">
        <f t="shared" si="40"/>
        <v>-76</v>
      </c>
      <c r="N40" s="1">
        <f t="shared" si="41"/>
        <v>-76</v>
      </c>
      <c r="O40" s="1">
        <f t="shared" si="42"/>
        <v>-76</v>
      </c>
      <c r="P40" s="1">
        <f t="shared" si="43"/>
        <v>-76</v>
      </c>
      <c r="Q40" s="1">
        <f t="shared" si="44"/>
        <v>-76</v>
      </c>
      <c r="R40" s="1">
        <f t="shared" si="45"/>
        <v>-76</v>
      </c>
      <c r="S40" s="1">
        <f t="shared" si="46"/>
        <v>-76</v>
      </c>
      <c r="T40" s="4">
        <f t="shared" si="47"/>
        <v>-76</v>
      </c>
      <c r="V40" s="3">
        <f t="shared" si="48"/>
        <v>-88</v>
      </c>
      <c r="W40" s="1">
        <f t="shared" si="49"/>
        <v>-88</v>
      </c>
      <c r="X40" s="1">
        <f t="shared" si="50"/>
        <v>-88</v>
      </c>
      <c r="Y40" s="1">
        <f t="shared" si="51"/>
        <v>-88</v>
      </c>
      <c r="Z40" s="1">
        <f t="shared" si="52"/>
        <v>-88</v>
      </c>
      <c r="AA40" s="1">
        <f t="shared" si="53"/>
        <v>-88</v>
      </c>
      <c r="AB40" s="1">
        <f t="shared" si="54"/>
        <v>-91</v>
      </c>
      <c r="AC40" s="4">
        <f t="shared" si="55"/>
        <v>-91</v>
      </c>
      <c r="AE40" s="3">
        <f t="shared" si="56"/>
        <v>-92</v>
      </c>
      <c r="AF40" s="1">
        <f t="shared" si="57"/>
        <v>-92</v>
      </c>
      <c r="AG40" s="1">
        <f t="shared" si="58"/>
        <v>-92</v>
      </c>
      <c r="AH40" s="1">
        <f t="shared" si="59"/>
        <v>-92</v>
      </c>
      <c r="AI40" s="1">
        <f t="shared" si="60"/>
        <v>-92</v>
      </c>
      <c r="AJ40" s="1">
        <f t="shared" si="61"/>
        <v>-92</v>
      </c>
      <c r="AK40" s="1">
        <f t="shared" si="62"/>
        <v>-92</v>
      </c>
      <c r="AL40" s="4">
        <f t="shared" si="63"/>
        <v>-92</v>
      </c>
      <c r="AN40" s="3">
        <f t="shared" si="64"/>
        <v>-95</v>
      </c>
      <c r="AO40" s="1">
        <f t="shared" si="65"/>
        <v>-95</v>
      </c>
      <c r="AP40" s="1">
        <f t="shared" si="66"/>
        <v>-95</v>
      </c>
      <c r="AQ40" s="1">
        <f t="shared" si="67"/>
        <v>-95</v>
      </c>
      <c r="AR40" s="1">
        <f t="shared" si="68"/>
        <v>-95</v>
      </c>
      <c r="AS40" s="1">
        <f t="shared" si="69"/>
        <v>-95</v>
      </c>
      <c r="AT40" s="1">
        <f t="shared" si="70"/>
        <v>-95</v>
      </c>
      <c r="AU40" s="4">
        <f t="shared" si="71"/>
        <v>-95</v>
      </c>
      <c r="AW40" s="3">
        <f t="shared" si="72"/>
        <v>-98</v>
      </c>
      <c r="AX40" s="1">
        <f t="shared" si="73"/>
        <v>-98</v>
      </c>
      <c r="AY40" s="1">
        <f t="shared" si="74"/>
        <v>-98</v>
      </c>
      <c r="AZ40" s="1">
        <f t="shared" si="75"/>
        <v>-98</v>
      </c>
      <c r="BA40" s="1">
        <f t="shared" si="76"/>
        <v>-98</v>
      </c>
      <c r="BB40" s="1">
        <f t="shared" si="77"/>
        <v>-98</v>
      </c>
      <c r="BC40" s="1">
        <f t="shared" si="78"/>
        <v>-98</v>
      </c>
      <c r="BD40" s="4">
        <f t="shared" si="79"/>
        <v>-98</v>
      </c>
      <c r="BF40" s="3">
        <v>-6</v>
      </c>
      <c r="BG40" s="1">
        <v>-6</v>
      </c>
      <c r="BH40" s="1">
        <v>-6</v>
      </c>
      <c r="BI40" s="1">
        <v>-6</v>
      </c>
      <c r="BJ40" s="1">
        <v>-6</v>
      </c>
      <c r="BK40" s="1">
        <v>-6</v>
      </c>
      <c r="BL40" s="1">
        <v>-6</v>
      </c>
      <c r="BM40" s="4">
        <v>-6</v>
      </c>
      <c r="BO40" s="3">
        <v>-12</v>
      </c>
      <c r="BP40" s="1">
        <v>-12</v>
      </c>
      <c r="BQ40" s="1">
        <v>-12</v>
      </c>
      <c r="BR40" s="1">
        <v>-12</v>
      </c>
      <c r="BS40" s="1">
        <v>-12</v>
      </c>
      <c r="BT40" s="1">
        <v>-12</v>
      </c>
      <c r="BU40" s="1">
        <v>-15</v>
      </c>
      <c r="BV40" s="4">
        <v>-15</v>
      </c>
      <c r="BX40" s="3">
        <v>-22</v>
      </c>
      <c r="BY40" s="1">
        <v>-22</v>
      </c>
      <c r="BZ40" s="1">
        <v>-22</v>
      </c>
      <c r="CA40" s="1">
        <v>-22</v>
      </c>
      <c r="CB40" s="1">
        <v>-22</v>
      </c>
      <c r="CC40" s="1">
        <v>-22</v>
      </c>
      <c r="CD40" s="1">
        <v>-22</v>
      </c>
      <c r="CE40" s="4">
        <v>-22</v>
      </c>
      <c r="CG40" s="3">
        <v>-3</v>
      </c>
      <c r="CH40" s="1">
        <v>-3</v>
      </c>
      <c r="CI40" s="1">
        <v>-3</v>
      </c>
      <c r="CJ40" s="1">
        <v>-3</v>
      </c>
      <c r="CK40" s="1">
        <v>-3</v>
      </c>
      <c r="CL40" s="1">
        <v>-3</v>
      </c>
      <c r="CM40" s="1">
        <v>-3</v>
      </c>
      <c r="CN40" s="4">
        <v>-3</v>
      </c>
      <c r="CP40" s="3">
        <v>-6</v>
      </c>
      <c r="CQ40" s="1">
        <v>-6</v>
      </c>
      <c r="CR40" s="1">
        <v>-6</v>
      </c>
      <c r="CS40" s="1">
        <v>-6</v>
      </c>
      <c r="CT40" s="1">
        <v>-6</v>
      </c>
      <c r="CU40" s="1">
        <v>-6</v>
      </c>
      <c r="CV40" s="1">
        <v>-6</v>
      </c>
      <c r="CW40" s="4">
        <v>-6</v>
      </c>
    </row>
    <row r="41" spans="1:101">
      <c r="A41" s="8" t="str">
        <f>VLOOKUP(B41,List!W:X,2,1)</f>
        <v>0.28 - 0.29</v>
      </c>
      <c r="B41" s="8">
        <v>0.28000000000000003</v>
      </c>
      <c r="C41" s="8" t="s">
        <v>14</v>
      </c>
      <c r="D41" s="3">
        <v>-70</v>
      </c>
      <c r="E41" s="1">
        <v>-70</v>
      </c>
      <c r="F41" s="1">
        <v>-70</v>
      </c>
      <c r="G41" s="1">
        <v>-70</v>
      </c>
      <c r="H41" s="1">
        <v>-70</v>
      </c>
      <c r="I41" s="1">
        <v>-70</v>
      </c>
      <c r="J41" s="1">
        <v>-70</v>
      </c>
      <c r="K41" s="4">
        <v>-70</v>
      </c>
      <c r="M41" s="3">
        <f t="shared" si="40"/>
        <v>-76</v>
      </c>
      <c r="N41" s="1">
        <f t="shared" si="41"/>
        <v>-76</v>
      </c>
      <c r="O41" s="1">
        <f t="shared" si="42"/>
        <v>-76</v>
      </c>
      <c r="P41" s="1">
        <f t="shared" si="43"/>
        <v>-76</v>
      </c>
      <c r="Q41" s="1">
        <f t="shared" si="44"/>
        <v>-76</v>
      </c>
      <c r="R41" s="1">
        <f t="shared" si="45"/>
        <v>-76</v>
      </c>
      <c r="S41" s="1">
        <f t="shared" si="46"/>
        <v>-76</v>
      </c>
      <c r="T41" s="4">
        <f t="shared" si="47"/>
        <v>-76</v>
      </c>
      <c r="V41" s="3">
        <f t="shared" si="48"/>
        <v>-84</v>
      </c>
      <c r="W41" s="1">
        <f t="shared" si="49"/>
        <v>-84</v>
      </c>
      <c r="X41" s="1">
        <f t="shared" si="50"/>
        <v>-84</v>
      </c>
      <c r="Y41" s="1">
        <f t="shared" si="51"/>
        <v>-84</v>
      </c>
      <c r="Z41" s="1">
        <f t="shared" si="52"/>
        <v>-84</v>
      </c>
      <c r="AA41" s="1">
        <f t="shared" si="53"/>
        <v>-84</v>
      </c>
      <c r="AB41" s="1">
        <f t="shared" si="54"/>
        <v>-84</v>
      </c>
      <c r="AC41" s="4">
        <f t="shared" si="55"/>
        <v>-84</v>
      </c>
      <c r="AE41" s="3" t="str">
        <f t="shared" si="56"/>
        <v/>
      </c>
      <c r="AF41" s="1" t="str">
        <f t="shared" si="57"/>
        <v/>
      </c>
      <c r="AG41" s="1" t="str">
        <f t="shared" si="58"/>
        <v/>
      </c>
      <c r="AH41" s="1" t="str">
        <f t="shared" si="59"/>
        <v/>
      </c>
      <c r="AI41" s="1" t="str">
        <f t="shared" si="60"/>
        <v/>
      </c>
      <c r="AJ41" s="1" t="str">
        <f t="shared" si="61"/>
        <v/>
      </c>
      <c r="AK41" s="1" t="str">
        <f t="shared" si="62"/>
        <v/>
      </c>
      <c r="AL41" s="4" t="str">
        <f t="shared" si="63"/>
        <v/>
      </c>
      <c r="AN41" s="3" t="str">
        <f t="shared" si="64"/>
        <v/>
      </c>
      <c r="AO41" s="1" t="str">
        <f t="shared" si="65"/>
        <v/>
      </c>
      <c r="AP41" s="1" t="str">
        <f t="shared" si="66"/>
        <v/>
      </c>
      <c r="AQ41" s="1" t="str">
        <f t="shared" si="67"/>
        <v/>
      </c>
      <c r="AR41" s="1" t="str">
        <f t="shared" si="68"/>
        <v/>
      </c>
      <c r="AS41" s="1" t="str">
        <f t="shared" si="69"/>
        <v/>
      </c>
      <c r="AT41" s="1" t="str">
        <f t="shared" si="70"/>
        <v/>
      </c>
      <c r="AU41" s="4" t="str">
        <f t="shared" si="71"/>
        <v/>
      </c>
      <c r="AW41" s="3" t="str">
        <f t="shared" si="72"/>
        <v/>
      </c>
      <c r="AX41" s="1" t="str">
        <f t="shared" si="73"/>
        <v/>
      </c>
      <c r="AY41" s="1" t="str">
        <f t="shared" si="74"/>
        <v/>
      </c>
      <c r="AZ41" s="1" t="str">
        <f t="shared" si="75"/>
        <v/>
      </c>
      <c r="BA41" s="1" t="str">
        <f t="shared" si="76"/>
        <v/>
      </c>
      <c r="BB41" s="1" t="str">
        <f t="shared" si="77"/>
        <v/>
      </c>
      <c r="BC41" s="1" t="str">
        <f t="shared" si="78"/>
        <v/>
      </c>
      <c r="BD41" s="4" t="str">
        <f t="shared" si="79"/>
        <v/>
      </c>
      <c r="BF41" s="3">
        <v>-6</v>
      </c>
      <c r="BG41" s="1">
        <v>-6</v>
      </c>
      <c r="BH41" s="1">
        <v>-6</v>
      </c>
      <c r="BI41" s="1">
        <v>-6</v>
      </c>
      <c r="BJ41" s="1">
        <v>-6</v>
      </c>
      <c r="BK41" s="1">
        <v>-6</v>
      </c>
      <c r="BL41" s="1">
        <v>-6</v>
      </c>
      <c r="BM41" s="4">
        <v>-6</v>
      </c>
      <c r="BO41" s="3">
        <v>-8</v>
      </c>
      <c r="BP41" s="1">
        <v>-8</v>
      </c>
      <c r="BQ41" s="1">
        <v>-8</v>
      </c>
      <c r="BR41" s="1">
        <v>-8</v>
      </c>
      <c r="BS41" s="1">
        <v>-8</v>
      </c>
      <c r="BT41" s="1">
        <v>-8</v>
      </c>
      <c r="BU41" s="1">
        <v>-8</v>
      </c>
      <c r="BV41" s="4">
        <v>-8</v>
      </c>
      <c r="BX41" s="3" t="s">
        <v>22</v>
      </c>
      <c r="BY41" s="1" t="s">
        <v>22</v>
      </c>
      <c r="BZ41" s="1" t="s">
        <v>22</v>
      </c>
      <c r="CA41" s="1" t="s">
        <v>22</v>
      </c>
      <c r="CB41" s="1" t="s">
        <v>22</v>
      </c>
      <c r="CC41" s="1" t="s">
        <v>22</v>
      </c>
      <c r="CD41" s="1" t="s">
        <v>22</v>
      </c>
      <c r="CE41" s="4" t="s">
        <v>22</v>
      </c>
      <c r="CG41" s="3" t="s">
        <v>22</v>
      </c>
      <c r="CH41" s="1" t="s">
        <v>22</v>
      </c>
      <c r="CI41" s="1" t="s">
        <v>22</v>
      </c>
      <c r="CJ41" s="1" t="s">
        <v>22</v>
      </c>
      <c r="CK41" s="1" t="s">
        <v>22</v>
      </c>
      <c r="CL41" s="1" t="s">
        <v>22</v>
      </c>
      <c r="CM41" s="1" t="s">
        <v>22</v>
      </c>
      <c r="CN41" s="4" t="s">
        <v>22</v>
      </c>
      <c r="CP41" s="3" t="s">
        <v>22</v>
      </c>
      <c r="CQ41" s="1" t="s">
        <v>22</v>
      </c>
      <c r="CR41" s="1" t="s">
        <v>22</v>
      </c>
      <c r="CS41" s="1" t="s">
        <v>22</v>
      </c>
      <c r="CT41" s="1" t="s">
        <v>22</v>
      </c>
      <c r="CU41" s="1" t="s">
        <v>22</v>
      </c>
      <c r="CV41" s="1" t="s">
        <v>22</v>
      </c>
      <c r="CW41" s="4" t="s">
        <v>22</v>
      </c>
    </row>
    <row r="42" spans="1:101">
      <c r="A42" s="8" t="str">
        <f>VLOOKUP(B42,List!W:X,2,1)</f>
        <v>0.28 - 0.29</v>
      </c>
      <c r="B42" s="8">
        <v>0.28000000000000003</v>
      </c>
      <c r="C42" s="8" t="s">
        <v>15</v>
      </c>
      <c r="D42" s="3">
        <v>-50</v>
      </c>
      <c r="E42" s="1">
        <v>-50</v>
      </c>
      <c r="F42" s="1">
        <v>-50</v>
      </c>
      <c r="G42" s="1">
        <v>-50</v>
      </c>
      <c r="H42" s="1">
        <v>-50</v>
      </c>
      <c r="I42" s="1">
        <v>-50</v>
      </c>
      <c r="J42" s="1">
        <v>-50</v>
      </c>
      <c r="K42" s="4">
        <v>-50</v>
      </c>
      <c r="M42" s="3">
        <f t="shared" si="40"/>
        <v>-56</v>
      </c>
      <c r="N42" s="1">
        <f t="shared" si="41"/>
        <v>-56</v>
      </c>
      <c r="O42" s="1">
        <f t="shared" si="42"/>
        <v>-56</v>
      </c>
      <c r="P42" s="1">
        <f t="shared" si="43"/>
        <v>-56</v>
      </c>
      <c r="Q42" s="1">
        <f t="shared" si="44"/>
        <v>-56</v>
      </c>
      <c r="R42" s="1">
        <f t="shared" si="45"/>
        <v>-56</v>
      </c>
      <c r="S42" s="1">
        <f t="shared" si="46"/>
        <v>-56</v>
      </c>
      <c r="T42" s="4">
        <f t="shared" si="47"/>
        <v>-56</v>
      </c>
      <c r="V42" s="3">
        <f t="shared" si="48"/>
        <v>-64</v>
      </c>
      <c r="W42" s="1">
        <f t="shared" si="49"/>
        <v>-64</v>
      </c>
      <c r="X42" s="1">
        <f t="shared" si="50"/>
        <v>-64</v>
      </c>
      <c r="Y42" s="1">
        <f t="shared" si="51"/>
        <v>-64</v>
      </c>
      <c r="Z42" s="1">
        <f t="shared" si="52"/>
        <v>-64</v>
      </c>
      <c r="AA42" s="1">
        <f t="shared" si="53"/>
        <v>-64</v>
      </c>
      <c r="AB42" s="1">
        <f t="shared" si="54"/>
        <v>-64</v>
      </c>
      <c r="AC42" s="4">
        <f t="shared" si="55"/>
        <v>-64</v>
      </c>
      <c r="AE42" s="3" t="str">
        <f t="shared" si="56"/>
        <v/>
      </c>
      <c r="AF42" s="1" t="str">
        <f t="shared" si="57"/>
        <v/>
      </c>
      <c r="AG42" s="1" t="str">
        <f t="shared" si="58"/>
        <v/>
      </c>
      <c r="AH42" s="1" t="str">
        <f t="shared" si="59"/>
        <v/>
      </c>
      <c r="AI42" s="1" t="str">
        <f t="shared" si="60"/>
        <v/>
      </c>
      <c r="AJ42" s="1" t="str">
        <f t="shared" si="61"/>
        <v/>
      </c>
      <c r="AK42" s="1" t="str">
        <f t="shared" si="62"/>
        <v/>
      </c>
      <c r="AL42" s="4" t="str">
        <f t="shared" si="63"/>
        <v/>
      </c>
      <c r="AN42" s="3" t="str">
        <f t="shared" si="64"/>
        <v/>
      </c>
      <c r="AO42" s="1" t="str">
        <f t="shared" si="65"/>
        <v/>
      </c>
      <c r="AP42" s="1" t="str">
        <f t="shared" si="66"/>
        <v/>
      </c>
      <c r="AQ42" s="1" t="str">
        <f t="shared" si="67"/>
        <v/>
      </c>
      <c r="AR42" s="1" t="str">
        <f t="shared" si="68"/>
        <v/>
      </c>
      <c r="AS42" s="1" t="str">
        <f t="shared" si="69"/>
        <v/>
      </c>
      <c r="AT42" s="1" t="str">
        <f t="shared" si="70"/>
        <v/>
      </c>
      <c r="AU42" s="4" t="str">
        <f t="shared" si="71"/>
        <v/>
      </c>
      <c r="AW42" s="3" t="str">
        <f t="shared" si="72"/>
        <v/>
      </c>
      <c r="AX42" s="1" t="str">
        <f t="shared" si="73"/>
        <v/>
      </c>
      <c r="AY42" s="1" t="str">
        <f t="shared" si="74"/>
        <v/>
      </c>
      <c r="AZ42" s="1" t="str">
        <f t="shared" si="75"/>
        <v/>
      </c>
      <c r="BA42" s="1" t="str">
        <f t="shared" si="76"/>
        <v/>
      </c>
      <c r="BB42" s="1" t="str">
        <f t="shared" si="77"/>
        <v/>
      </c>
      <c r="BC42" s="1" t="str">
        <f t="shared" si="78"/>
        <v/>
      </c>
      <c r="BD42" s="4" t="str">
        <f t="shared" si="79"/>
        <v/>
      </c>
      <c r="BF42" s="3">
        <v>-6</v>
      </c>
      <c r="BG42" s="1">
        <v>-6</v>
      </c>
      <c r="BH42" s="1">
        <v>-6</v>
      </c>
      <c r="BI42" s="1">
        <v>-6</v>
      </c>
      <c r="BJ42" s="1">
        <v>-6</v>
      </c>
      <c r="BK42" s="1">
        <v>-6</v>
      </c>
      <c r="BL42" s="1">
        <v>-6</v>
      </c>
      <c r="BM42" s="4">
        <v>-6</v>
      </c>
      <c r="BO42" s="3">
        <v>-8</v>
      </c>
      <c r="BP42" s="1">
        <v>-8</v>
      </c>
      <c r="BQ42" s="1">
        <v>-8</v>
      </c>
      <c r="BR42" s="1">
        <v>-8</v>
      </c>
      <c r="BS42" s="1">
        <v>-8</v>
      </c>
      <c r="BT42" s="1">
        <v>-8</v>
      </c>
      <c r="BU42" s="1">
        <v>-8</v>
      </c>
      <c r="BV42" s="4">
        <v>-8</v>
      </c>
      <c r="BX42" s="3" t="s">
        <v>22</v>
      </c>
      <c r="BY42" s="1" t="s">
        <v>22</v>
      </c>
      <c r="BZ42" s="1" t="s">
        <v>22</v>
      </c>
      <c r="CA42" s="1" t="s">
        <v>22</v>
      </c>
      <c r="CB42" s="1" t="s">
        <v>22</v>
      </c>
      <c r="CC42" s="1" t="s">
        <v>22</v>
      </c>
      <c r="CD42" s="1" t="s">
        <v>22</v>
      </c>
      <c r="CE42" s="4" t="s">
        <v>22</v>
      </c>
      <c r="CG42" s="3" t="s">
        <v>22</v>
      </c>
      <c r="CH42" s="1" t="s">
        <v>22</v>
      </c>
      <c r="CI42" s="1" t="s">
        <v>22</v>
      </c>
      <c r="CJ42" s="1" t="s">
        <v>22</v>
      </c>
      <c r="CK42" s="1" t="s">
        <v>22</v>
      </c>
      <c r="CL42" s="1" t="s">
        <v>22</v>
      </c>
      <c r="CM42" s="1" t="s">
        <v>22</v>
      </c>
      <c r="CN42" s="4" t="s">
        <v>22</v>
      </c>
      <c r="CP42" s="3" t="s">
        <v>22</v>
      </c>
      <c r="CQ42" s="1" t="s">
        <v>22</v>
      </c>
      <c r="CR42" s="1" t="s">
        <v>22</v>
      </c>
      <c r="CS42" s="1" t="s">
        <v>22</v>
      </c>
      <c r="CT42" s="1" t="s">
        <v>22</v>
      </c>
      <c r="CU42" s="1" t="s">
        <v>22</v>
      </c>
      <c r="CV42" s="1" t="s">
        <v>22</v>
      </c>
      <c r="CW42" s="4" t="s">
        <v>22</v>
      </c>
    </row>
    <row r="43" spans="1:101">
      <c r="A43" s="8" t="str">
        <f>VLOOKUP(B43,List!W:X,2,1)</f>
        <v>0.30 - 0.34</v>
      </c>
      <c r="B43" s="8">
        <v>0.3</v>
      </c>
      <c r="C43" s="8" t="s">
        <v>8</v>
      </c>
      <c r="D43" s="3">
        <v>-45</v>
      </c>
      <c r="E43" s="1">
        <v>-45</v>
      </c>
      <c r="F43" s="1">
        <v>-49</v>
      </c>
      <c r="G43" s="1">
        <v>-44</v>
      </c>
      <c r="H43" s="1">
        <v>-42</v>
      </c>
      <c r="I43" s="1">
        <v>-37</v>
      </c>
      <c r="J43" s="1">
        <v>-36</v>
      </c>
      <c r="K43" s="4">
        <v>-37</v>
      </c>
      <c r="M43" s="3">
        <f t="shared" si="40"/>
        <v>-49</v>
      </c>
      <c r="N43" s="1">
        <f t="shared" si="41"/>
        <v>-49</v>
      </c>
      <c r="O43" s="1">
        <f t="shared" si="42"/>
        <v>-56</v>
      </c>
      <c r="P43" s="1">
        <f t="shared" si="43"/>
        <v>-52</v>
      </c>
      <c r="Q43" s="1">
        <f t="shared" si="44"/>
        <v>-48</v>
      </c>
      <c r="R43" s="1">
        <f t="shared" si="45"/>
        <v>-42</v>
      </c>
      <c r="S43" s="1">
        <f t="shared" si="46"/>
        <v>-40</v>
      </c>
      <c r="T43" s="4">
        <f t="shared" si="47"/>
        <v>-42</v>
      </c>
      <c r="V43" s="3">
        <f t="shared" si="48"/>
        <v>-59</v>
      </c>
      <c r="W43" s="1">
        <f t="shared" si="49"/>
        <v>-59</v>
      </c>
      <c r="X43" s="1">
        <f t="shared" si="50"/>
        <v>-68</v>
      </c>
      <c r="Y43" s="1">
        <f t="shared" si="51"/>
        <v>-64</v>
      </c>
      <c r="Z43" s="1">
        <f t="shared" si="52"/>
        <v>-58</v>
      </c>
      <c r="AA43" s="1">
        <f t="shared" si="53"/>
        <v>-52</v>
      </c>
      <c r="AB43" s="1">
        <f t="shared" si="54"/>
        <v>-52</v>
      </c>
      <c r="AC43" s="4">
        <f t="shared" si="55"/>
        <v>-51</v>
      </c>
      <c r="AE43" s="3">
        <f t="shared" si="56"/>
        <v>-54</v>
      </c>
      <c r="AF43" s="1">
        <f t="shared" si="57"/>
        <v>-54</v>
      </c>
      <c r="AG43" s="1">
        <f t="shared" si="58"/>
        <v>-57</v>
      </c>
      <c r="AH43" s="1">
        <f t="shared" si="59"/>
        <v>-54</v>
      </c>
      <c r="AI43" s="1">
        <f t="shared" si="60"/>
        <v>-50</v>
      </c>
      <c r="AJ43" s="1">
        <f t="shared" si="61"/>
        <v>-46</v>
      </c>
      <c r="AK43" s="1">
        <f t="shared" si="62"/>
        <v>-48</v>
      </c>
      <c r="AL43" s="4">
        <f t="shared" si="63"/>
        <v>-48</v>
      </c>
      <c r="AN43" s="3">
        <f t="shared" si="64"/>
        <v>-57</v>
      </c>
      <c r="AO43" s="1">
        <f t="shared" si="65"/>
        <v>-57</v>
      </c>
      <c r="AP43" s="1">
        <f t="shared" si="66"/>
        <v>-63</v>
      </c>
      <c r="AQ43" s="1">
        <f t="shared" si="67"/>
        <v>-58</v>
      </c>
      <c r="AR43" s="1">
        <f t="shared" si="68"/>
        <v>-55</v>
      </c>
      <c r="AS43" s="1">
        <f t="shared" si="69"/>
        <v>-50</v>
      </c>
      <c r="AT43" s="1">
        <f t="shared" si="70"/>
        <v>-52</v>
      </c>
      <c r="AU43" s="4">
        <f t="shared" si="71"/>
        <v>-51</v>
      </c>
      <c r="AW43" s="3">
        <f t="shared" si="72"/>
        <v>-62</v>
      </c>
      <c r="AX43" s="1">
        <f t="shared" si="73"/>
        <v>-62</v>
      </c>
      <c r="AY43" s="1">
        <f t="shared" si="74"/>
        <v>-65</v>
      </c>
      <c r="AZ43" s="1">
        <f t="shared" si="75"/>
        <v>-61</v>
      </c>
      <c r="BA43" s="1">
        <f t="shared" si="76"/>
        <v>-58</v>
      </c>
      <c r="BB43" s="1">
        <f t="shared" si="77"/>
        <v>-54</v>
      </c>
      <c r="BC43" s="1">
        <f t="shared" si="78"/>
        <v>-54</v>
      </c>
      <c r="BD43" s="4">
        <f t="shared" si="79"/>
        <v>-54</v>
      </c>
      <c r="BF43" s="3">
        <v>-4</v>
      </c>
      <c r="BG43" s="1">
        <v>-4</v>
      </c>
      <c r="BH43" s="1">
        <v>-7</v>
      </c>
      <c r="BI43" s="1">
        <v>-8</v>
      </c>
      <c r="BJ43" s="1">
        <v>-6</v>
      </c>
      <c r="BK43" s="1">
        <v>-5</v>
      </c>
      <c r="BL43" s="1">
        <v>-4</v>
      </c>
      <c r="BM43" s="4">
        <v>-5</v>
      </c>
      <c r="BO43" s="3">
        <v>-10</v>
      </c>
      <c r="BP43" s="1">
        <v>-10</v>
      </c>
      <c r="BQ43" s="1">
        <v>-12</v>
      </c>
      <c r="BR43" s="1">
        <v>-12</v>
      </c>
      <c r="BS43" s="1">
        <v>-10</v>
      </c>
      <c r="BT43" s="1">
        <v>-10</v>
      </c>
      <c r="BU43" s="1">
        <v>-12</v>
      </c>
      <c r="BV43" s="4">
        <v>-9</v>
      </c>
      <c r="BX43" s="3">
        <v>-9</v>
      </c>
      <c r="BY43" s="1">
        <v>-9</v>
      </c>
      <c r="BZ43" s="1">
        <v>-8</v>
      </c>
      <c r="CA43" s="1">
        <v>-10</v>
      </c>
      <c r="CB43" s="1">
        <v>-8</v>
      </c>
      <c r="CC43" s="1">
        <v>-9</v>
      </c>
      <c r="CD43" s="1">
        <v>-12</v>
      </c>
      <c r="CE43" s="4">
        <v>-11</v>
      </c>
      <c r="CG43" s="3">
        <v>-3</v>
      </c>
      <c r="CH43" s="1">
        <v>-3</v>
      </c>
      <c r="CI43" s="1">
        <v>-6</v>
      </c>
      <c r="CJ43" s="1">
        <v>-4</v>
      </c>
      <c r="CK43" s="1">
        <v>-5</v>
      </c>
      <c r="CL43" s="1">
        <v>-4</v>
      </c>
      <c r="CM43" s="1">
        <v>-4</v>
      </c>
      <c r="CN43" s="4">
        <v>-3</v>
      </c>
      <c r="CP43" s="3">
        <v>-8</v>
      </c>
      <c r="CQ43" s="1">
        <v>-8</v>
      </c>
      <c r="CR43" s="1">
        <v>-8</v>
      </c>
      <c r="CS43" s="1">
        <v>-7</v>
      </c>
      <c r="CT43" s="1">
        <v>-8</v>
      </c>
      <c r="CU43" s="1">
        <v>-8</v>
      </c>
      <c r="CV43" s="1">
        <v>-6</v>
      </c>
      <c r="CW43" s="4">
        <v>-6</v>
      </c>
    </row>
    <row r="44" spans="1:101">
      <c r="A44" s="8" t="str">
        <f>VLOOKUP(B44,List!W:X,2,1)</f>
        <v>0.30 - 0.34</v>
      </c>
      <c r="B44" s="8">
        <v>0.3</v>
      </c>
      <c r="C44" s="8" t="s">
        <v>9</v>
      </c>
      <c r="D44" s="3">
        <v>-49</v>
      </c>
      <c r="E44" s="1">
        <v>-49</v>
      </c>
      <c r="F44" s="1">
        <v>-47</v>
      </c>
      <c r="G44" s="1">
        <v>-47</v>
      </c>
      <c r="H44" s="1">
        <v>-44</v>
      </c>
      <c r="I44" s="1">
        <v>-43</v>
      </c>
      <c r="J44" s="1">
        <v>-45</v>
      </c>
      <c r="K44" s="4">
        <v>-45</v>
      </c>
      <c r="M44" s="3">
        <f t="shared" si="40"/>
        <v>-57</v>
      </c>
      <c r="N44" s="1">
        <f t="shared" si="41"/>
        <v>-57</v>
      </c>
      <c r="O44" s="1">
        <f t="shared" si="42"/>
        <v>-55</v>
      </c>
      <c r="P44" s="1">
        <f t="shared" si="43"/>
        <v>-52</v>
      </c>
      <c r="Q44" s="1">
        <f t="shared" si="44"/>
        <v>-49</v>
      </c>
      <c r="R44" s="1">
        <f t="shared" si="45"/>
        <v>-48</v>
      </c>
      <c r="S44" s="1">
        <f t="shared" si="46"/>
        <v>-51</v>
      </c>
      <c r="T44" s="4">
        <f t="shared" si="47"/>
        <v>-49</v>
      </c>
      <c r="V44" s="3">
        <f t="shared" si="48"/>
        <v>-68</v>
      </c>
      <c r="W44" s="1">
        <f t="shared" si="49"/>
        <v>-68</v>
      </c>
      <c r="X44" s="1">
        <f t="shared" si="50"/>
        <v>-68</v>
      </c>
      <c r="Y44" s="1">
        <f t="shared" si="51"/>
        <v>-60</v>
      </c>
      <c r="Z44" s="1">
        <f t="shared" si="52"/>
        <v>-57</v>
      </c>
      <c r="AA44" s="1">
        <f t="shared" si="53"/>
        <v>-55</v>
      </c>
      <c r="AB44" s="1">
        <f t="shared" si="54"/>
        <v>-60</v>
      </c>
      <c r="AC44" s="4">
        <f t="shared" si="55"/>
        <v>-57</v>
      </c>
      <c r="AE44" s="3">
        <f t="shared" si="56"/>
        <v>-58</v>
      </c>
      <c r="AF44" s="1">
        <f t="shared" si="57"/>
        <v>-58</v>
      </c>
      <c r="AG44" s="1">
        <f t="shared" si="58"/>
        <v>-56</v>
      </c>
      <c r="AH44" s="1">
        <f t="shared" si="59"/>
        <v>-53</v>
      </c>
      <c r="AI44" s="1">
        <f t="shared" si="60"/>
        <v>-50</v>
      </c>
      <c r="AJ44" s="1">
        <f t="shared" si="61"/>
        <v>-49</v>
      </c>
      <c r="AK44" s="1">
        <f t="shared" si="62"/>
        <v>-54</v>
      </c>
      <c r="AL44" s="4">
        <f t="shared" si="63"/>
        <v>-54</v>
      </c>
      <c r="AN44" s="3">
        <f t="shared" si="64"/>
        <v>-64</v>
      </c>
      <c r="AO44" s="1">
        <f t="shared" si="65"/>
        <v>-64</v>
      </c>
      <c r="AP44" s="1">
        <f t="shared" si="66"/>
        <v>-62</v>
      </c>
      <c r="AQ44" s="1">
        <f t="shared" si="67"/>
        <v>-56</v>
      </c>
      <c r="AR44" s="1">
        <f t="shared" si="68"/>
        <v>-55</v>
      </c>
      <c r="AS44" s="1">
        <f t="shared" si="69"/>
        <v>-53</v>
      </c>
      <c r="AT44" s="1">
        <f t="shared" si="70"/>
        <v>-56</v>
      </c>
      <c r="AU44" s="4">
        <f t="shared" si="71"/>
        <v>-56</v>
      </c>
      <c r="AW44" s="3">
        <f t="shared" si="72"/>
        <v>-66</v>
      </c>
      <c r="AX44" s="1">
        <f t="shared" si="73"/>
        <v>-66</v>
      </c>
      <c r="AY44" s="1">
        <f t="shared" si="74"/>
        <v>-65</v>
      </c>
      <c r="AZ44" s="1">
        <f t="shared" si="75"/>
        <v>-60</v>
      </c>
      <c r="BA44" s="1">
        <f t="shared" si="76"/>
        <v>-57</v>
      </c>
      <c r="BB44" s="1">
        <f t="shared" si="77"/>
        <v>-55</v>
      </c>
      <c r="BC44" s="1">
        <f t="shared" si="78"/>
        <v>-59</v>
      </c>
      <c r="BD44" s="4">
        <f t="shared" si="79"/>
        <v>-58</v>
      </c>
      <c r="BF44" s="3">
        <v>-8</v>
      </c>
      <c r="BG44" s="1">
        <v>-8</v>
      </c>
      <c r="BH44" s="1">
        <v>-8</v>
      </c>
      <c r="BI44" s="1">
        <v>-5</v>
      </c>
      <c r="BJ44" s="1">
        <v>-5</v>
      </c>
      <c r="BK44" s="1">
        <v>-5</v>
      </c>
      <c r="BL44" s="1">
        <v>-6</v>
      </c>
      <c r="BM44" s="4">
        <v>-4</v>
      </c>
      <c r="BO44" s="3">
        <v>-11</v>
      </c>
      <c r="BP44" s="1">
        <v>-11</v>
      </c>
      <c r="BQ44" s="1">
        <v>-13</v>
      </c>
      <c r="BR44" s="1">
        <v>-8</v>
      </c>
      <c r="BS44" s="1">
        <v>-8</v>
      </c>
      <c r="BT44" s="1">
        <v>-7</v>
      </c>
      <c r="BU44" s="1">
        <v>-9</v>
      </c>
      <c r="BV44" s="4">
        <v>-8</v>
      </c>
      <c r="BX44" s="3">
        <v>-9</v>
      </c>
      <c r="BY44" s="1">
        <v>-9</v>
      </c>
      <c r="BZ44" s="1">
        <v>-9</v>
      </c>
      <c r="CA44" s="1">
        <v>-6</v>
      </c>
      <c r="CB44" s="1">
        <v>-6</v>
      </c>
      <c r="CC44" s="1">
        <v>-6</v>
      </c>
      <c r="CD44" s="1">
        <v>-9</v>
      </c>
      <c r="CE44" s="4">
        <v>-9</v>
      </c>
      <c r="CG44" s="3">
        <v>-6</v>
      </c>
      <c r="CH44" s="1">
        <v>-6</v>
      </c>
      <c r="CI44" s="1">
        <v>-6</v>
      </c>
      <c r="CJ44" s="1">
        <v>-3</v>
      </c>
      <c r="CK44" s="1">
        <v>-5</v>
      </c>
      <c r="CL44" s="1">
        <v>-4</v>
      </c>
      <c r="CM44" s="1">
        <v>-2</v>
      </c>
      <c r="CN44" s="4">
        <v>-2</v>
      </c>
      <c r="CP44" s="3">
        <v>-8</v>
      </c>
      <c r="CQ44" s="1">
        <v>-8</v>
      </c>
      <c r="CR44" s="1">
        <v>-9</v>
      </c>
      <c r="CS44" s="1">
        <v>-7</v>
      </c>
      <c r="CT44" s="1">
        <v>-7</v>
      </c>
      <c r="CU44" s="1">
        <v>-6</v>
      </c>
      <c r="CV44" s="1">
        <v>-5</v>
      </c>
      <c r="CW44" s="4">
        <v>-4</v>
      </c>
    </row>
    <row r="45" spans="1:101">
      <c r="A45" s="8" t="str">
        <f>VLOOKUP(B45,List!W:X,2,1)</f>
        <v>0.30 - 0.34</v>
      </c>
      <c r="B45" s="8">
        <v>0.3</v>
      </c>
      <c r="C45" s="8" t="s">
        <v>10</v>
      </c>
      <c r="D45" s="3">
        <v>-51</v>
      </c>
      <c r="E45" s="1">
        <v>-51</v>
      </c>
      <c r="F45" s="1">
        <v>-50</v>
      </c>
      <c r="G45" s="1">
        <v>-48</v>
      </c>
      <c r="H45" s="1">
        <v>-44</v>
      </c>
      <c r="I45" s="1">
        <v>-41</v>
      </c>
      <c r="J45" s="1">
        <v>-44</v>
      </c>
      <c r="K45" s="4">
        <v>-44</v>
      </c>
      <c r="M45" s="3">
        <f t="shared" si="40"/>
        <v>-57</v>
      </c>
      <c r="N45" s="1">
        <f t="shared" si="41"/>
        <v>-57</v>
      </c>
      <c r="O45" s="1">
        <f t="shared" si="42"/>
        <v>-55</v>
      </c>
      <c r="P45" s="1">
        <f t="shared" si="43"/>
        <v>-52</v>
      </c>
      <c r="Q45" s="1">
        <f t="shared" si="44"/>
        <v>-47</v>
      </c>
      <c r="R45" s="1">
        <f t="shared" si="45"/>
        <v>-45</v>
      </c>
      <c r="S45" s="1">
        <f t="shared" si="46"/>
        <v>-48</v>
      </c>
      <c r="T45" s="4">
        <f t="shared" si="47"/>
        <v>-47</v>
      </c>
      <c r="V45" s="3">
        <f t="shared" si="48"/>
        <v>-66</v>
      </c>
      <c r="W45" s="1">
        <f t="shared" si="49"/>
        <v>-66</v>
      </c>
      <c r="X45" s="1">
        <f t="shared" si="50"/>
        <v>-64</v>
      </c>
      <c r="Y45" s="1">
        <f t="shared" si="51"/>
        <v>-59</v>
      </c>
      <c r="Z45" s="1">
        <f t="shared" si="52"/>
        <v>-53</v>
      </c>
      <c r="AA45" s="1">
        <f t="shared" si="53"/>
        <v>-51</v>
      </c>
      <c r="AB45" s="1">
        <f t="shared" si="54"/>
        <v>-55</v>
      </c>
      <c r="AC45" s="4">
        <f t="shared" si="55"/>
        <v>-53</v>
      </c>
      <c r="AE45" s="3">
        <f t="shared" si="56"/>
        <v>-59</v>
      </c>
      <c r="AF45" s="1">
        <f t="shared" si="57"/>
        <v>-59</v>
      </c>
      <c r="AG45" s="1">
        <f t="shared" si="58"/>
        <v>-56</v>
      </c>
      <c r="AH45" s="1">
        <f t="shared" si="59"/>
        <v>-56</v>
      </c>
      <c r="AI45" s="1">
        <f t="shared" si="60"/>
        <v>-51</v>
      </c>
      <c r="AJ45" s="1">
        <f t="shared" si="61"/>
        <v>-50</v>
      </c>
      <c r="AK45" s="1">
        <f t="shared" si="62"/>
        <v>-53</v>
      </c>
      <c r="AL45" s="4">
        <f t="shared" si="63"/>
        <v>-54</v>
      </c>
      <c r="AN45" s="3">
        <f t="shared" si="64"/>
        <v>-62</v>
      </c>
      <c r="AO45" s="1">
        <f t="shared" si="65"/>
        <v>-62</v>
      </c>
      <c r="AP45" s="1">
        <f t="shared" si="66"/>
        <v>-60</v>
      </c>
      <c r="AQ45" s="1">
        <f t="shared" si="67"/>
        <v>-58</v>
      </c>
      <c r="AR45" s="1">
        <f t="shared" si="68"/>
        <v>-53</v>
      </c>
      <c r="AS45" s="1">
        <f t="shared" si="69"/>
        <v>-52</v>
      </c>
      <c r="AT45" s="1">
        <f t="shared" si="70"/>
        <v>-55</v>
      </c>
      <c r="AU45" s="4">
        <f t="shared" si="71"/>
        <v>-56</v>
      </c>
      <c r="AW45" s="3">
        <f t="shared" si="72"/>
        <v>-65</v>
      </c>
      <c r="AX45" s="1">
        <f t="shared" si="73"/>
        <v>-65</v>
      </c>
      <c r="AY45" s="1">
        <f t="shared" si="74"/>
        <v>-63</v>
      </c>
      <c r="AZ45" s="1">
        <f t="shared" si="75"/>
        <v>-60</v>
      </c>
      <c r="BA45" s="1">
        <f t="shared" si="76"/>
        <v>-55</v>
      </c>
      <c r="BB45" s="1">
        <f t="shared" si="77"/>
        <v>-54</v>
      </c>
      <c r="BC45" s="1">
        <f t="shared" si="78"/>
        <v>-57</v>
      </c>
      <c r="BD45" s="4">
        <f t="shared" si="79"/>
        <v>-58</v>
      </c>
      <c r="BF45" s="3">
        <v>-6</v>
      </c>
      <c r="BG45" s="1">
        <v>-6</v>
      </c>
      <c r="BH45" s="1">
        <v>-5</v>
      </c>
      <c r="BI45" s="1">
        <v>-4</v>
      </c>
      <c r="BJ45" s="1">
        <v>-3</v>
      </c>
      <c r="BK45" s="1">
        <v>-4</v>
      </c>
      <c r="BL45" s="1">
        <v>-4</v>
      </c>
      <c r="BM45" s="4">
        <v>-3</v>
      </c>
      <c r="BO45" s="3">
        <v>-9</v>
      </c>
      <c r="BP45" s="1">
        <v>-9</v>
      </c>
      <c r="BQ45" s="1">
        <v>-9</v>
      </c>
      <c r="BR45" s="1">
        <v>-7</v>
      </c>
      <c r="BS45" s="1">
        <v>-6</v>
      </c>
      <c r="BT45" s="1">
        <v>-6</v>
      </c>
      <c r="BU45" s="1">
        <v>-7</v>
      </c>
      <c r="BV45" s="4">
        <v>-6</v>
      </c>
      <c r="BX45" s="3">
        <v>-8</v>
      </c>
      <c r="BY45" s="1">
        <v>-8</v>
      </c>
      <c r="BZ45" s="1">
        <v>-6</v>
      </c>
      <c r="CA45" s="1">
        <v>-8</v>
      </c>
      <c r="CB45" s="1">
        <v>-7</v>
      </c>
      <c r="CC45" s="1">
        <v>-9</v>
      </c>
      <c r="CD45" s="1">
        <v>-9</v>
      </c>
      <c r="CE45" s="4">
        <v>-10</v>
      </c>
      <c r="CG45" s="3">
        <v>-3</v>
      </c>
      <c r="CH45" s="1">
        <v>-3</v>
      </c>
      <c r="CI45" s="1">
        <v>-4</v>
      </c>
      <c r="CJ45" s="1">
        <v>-2</v>
      </c>
      <c r="CK45" s="1">
        <v>-2</v>
      </c>
      <c r="CL45" s="1">
        <v>-2</v>
      </c>
      <c r="CM45" s="1">
        <v>-2</v>
      </c>
      <c r="CN45" s="4">
        <v>-2</v>
      </c>
      <c r="CP45" s="3">
        <v>-6</v>
      </c>
      <c r="CQ45" s="1">
        <v>-6</v>
      </c>
      <c r="CR45" s="1">
        <v>-7</v>
      </c>
      <c r="CS45" s="1">
        <v>-4</v>
      </c>
      <c r="CT45" s="1">
        <v>-4</v>
      </c>
      <c r="CU45" s="1">
        <v>-4</v>
      </c>
      <c r="CV45" s="1">
        <v>-4</v>
      </c>
      <c r="CW45" s="4">
        <v>-4</v>
      </c>
    </row>
    <row r="46" spans="1:101">
      <c r="A46" s="8" t="str">
        <f>VLOOKUP(B46,List!W:X,2,1)</f>
        <v>0.30 - 0.34</v>
      </c>
      <c r="B46" s="8">
        <v>0.3</v>
      </c>
      <c r="C46" s="8" t="s">
        <v>11</v>
      </c>
      <c r="D46" s="3">
        <v>-54</v>
      </c>
      <c r="E46" s="1">
        <v>-54</v>
      </c>
      <c r="F46" s="1">
        <v>-49</v>
      </c>
      <c r="G46" s="1">
        <v>-43</v>
      </c>
      <c r="H46" s="1">
        <v>-41</v>
      </c>
      <c r="I46" s="1">
        <v>-38</v>
      </c>
      <c r="J46" s="1">
        <v>-44</v>
      </c>
      <c r="K46" s="4">
        <v>-44</v>
      </c>
      <c r="M46" s="3">
        <f t="shared" si="40"/>
        <v>-57</v>
      </c>
      <c r="N46" s="1">
        <f t="shared" si="41"/>
        <v>-57</v>
      </c>
      <c r="O46" s="1">
        <f t="shared" si="42"/>
        <v>-56</v>
      </c>
      <c r="P46" s="1">
        <f t="shared" si="43"/>
        <v>-51</v>
      </c>
      <c r="Q46" s="1">
        <f t="shared" si="44"/>
        <v>-48</v>
      </c>
      <c r="R46" s="1">
        <f t="shared" si="45"/>
        <v>-45</v>
      </c>
      <c r="S46" s="1">
        <f t="shared" si="46"/>
        <v>-48</v>
      </c>
      <c r="T46" s="4">
        <f t="shared" si="47"/>
        <v>-47</v>
      </c>
      <c r="V46" s="3">
        <f t="shared" si="48"/>
        <v>-63</v>
      </c>
      <c r="W46" s="1">
        <f t="shared" si="49"/>
        <v>-63</v>
      </c>
      <c r="X46" s="1">
        <f t="shared" si="50"/>
        <v>-65</v>
      </c>
      <c r="Y46" s="1">
        <f t="shared" si="51"/>
        <v>-61</v>
      </c>
      <c r="Z46" s="1">
        <f t="shared" si="52"/>
        <v>-58</v>
      </c>
      <c r="AA46" s="1">
        <f t="shared" si="53"/>
        <v>-55</v>
      </c>
      <c r="AB46" s="1">
        <f t="shared" si="54"/>
        <v>-55</v>
      </c>
      <c r="AC46" s="4">
        <f t="shared" si="55"/>
        <v>-53</v>
      </c>
      <c r="AE46" s="3">
        <f t="shared" si="56"/>
        <v>-60</v>
      </c>
      <c r="AF46" s="1">
        <f t="shared" si="57"/>
        <v>-60</v>
      </c>
      <c r="AG46" s="1">
        <f t="shared" si="58"/>
        <v>-56</v>
      </c>
      <c r="AH46" s="1">
        <f t="shared" si="59"/>
        <v>-51</v>
      </c>
      <c r="AI46" s="1">
        <f t="shared" si="60"/>
        <v>-48</v>
      </c>
      <c r="AJ46" s="1">
        <f t="shared" si="61"/>
        <v>-47</v>
      </c>
      <c r="AK46" s="1">
        <f t="shared" si="62"/>
        <v>-53</v>
      </c>
      <c r="AL46" s="4">
        <f t="shared" si="63"/>
        <v>-54</v>
      </c>
      <c r="AN46" s="3">
        <f t="shared" si="64"/>
        <v>-63</v>
      </c>
      <c r="AO46" s="1">
        <f t="shared" si="65"/>
        <v>-63</v>
      </c>
      <c r="AP46" s="1">
        <f t="shared" si="66"/>
        <v>-59</v>
      </c>
      <c r="AQ46" s="1">
        <f t="shared" si="67"/>
        <v>-55</v>
      </c>
      <c r="AR46" s="1">
        <f t="shared" si="68"/>
        <v>-53</v>
      </c>
      <c r="AS46" s="1">
        <f t="shared" si="69"/>
        <v>-50</v>
      </c>
      <c r="AT46" s="1">
        <f t="shared" si="70"/>
        <v>-55</v>
      </c>
      <c r="AU46" s="4">
        <f t="shared" si="71"/>
        <v>-56</v>
      </c>
      <c r="AW46" s="3">
        <f t="shared" si="72"/>
        <v>-65</v>
      </c>
      <c r="AX46" s="1">
        <f t="shared" si="73"/>
        <v>-65</v>
      </c>
      <c r="AY46" s="1">
        <f t="shared" si="74"/>
        <v>-63</v>
      </c>
      <c r="AZ46" s="1">
        <f t="shared" si="75"/>
        <v>-59</v>
      </c>
      <c r="BA46" s="1">
        <f t="shared" si="76"/>
        <v>-57</v>
      </c>
      <c r="BB46" s="1">
        <f t="shared" si="77"/>
        <v>-55</v>
      </c>
      <c r="BC46" s="1">
        <f t="shared" si="78"/>
        <v>-57</v>
      </c>
      <c r="BD46" s="4">
        <f t="shared" si="79"/>
        <v>-58</v>
      </c>
      <c r="BF46" s="3">
        <v>-3</v>
      </c>
      <c r="BG46" s="1">
        <v>-3</v>
      </c>
      <c r="BH46" s="1">
        <v>-7</v>
      </c>
      <c r="BI46" s="1">
        <v>-8</v>
      </c>
      <c r="BJ46" s="1">
        <v>-7</v>
      </c>
      <c r="BK46" s="1">
        <v>-7</v>
      </c>
      <c r="BL46" s="1">
        <v>-4</v>
      </c>
      <c r="BM46" s="4">
        <v>-3</v>
      </c>
      <c r="BO46" s="3">
        <v>-6</v>
      </c>
      <c r="BP46" s="1">
        <v>-6</v>
      </c>
      <c r="BQ46" s="1">
        <v>-9</v>
      </c>
      <c r="BR46" s="1">
        <v>-10</v>
      </c>
      <c r="BS46" s="1">
        <v>-10</v>
      </c>
      <c r="BT46" s="1">
        <v>-10</v>
      </c>
      <c r="BU46" s="1">
        <v>-7</v>
      </c>
      <c r="BV46" s="4">
        <v>-6</v>
      </c>
      <c r="BX46" s="3">
        <v>-6</v>
      </c>
      <c r="BY46" s="1">
        <v>-6</v>
      </c>
      <c r="BZ46" s="1">
        <v>-7</v>
      </c>
      <c r="CA46" s="1">
        <v>-8</v>
      </c>
      <c r="CB46" s="1">
        <v>-7</v>
      </c>
      <c r="CC46" s="1">
        <v>-9</v>
      </c>
      <c r="CD46" s="1">
        <v>-9</v>
      </c>
      <c r="CE46" s="4">
        <v>-10</v>
      </c>
      <c r="CG46" s="3">
        <v>-3</v>
      </c>
      <c r="CH46" s="1">
        <v>-3</v>
      </c>
      <c r="CI46" s="1">
        <v>-3</v>
      </c>
      <c r="CJ46" s="1">
        <v>-4</v>
      </c>
      <c r="CK46" s="1">
        <v>-5</v>
      </c>
      <c r="CL46" s="1">
        <v>-3</v>
      </c>
      <c r="CM46" s="1">
        <v>-2</v>
      </c>
      <c r="CN46" s="4">
        <v>-2</v>
      </c>
      <c r="CP46" s="3">
        <v>-5</v>
      </c>
      <c r="CQ46" s="1">
        <v>-5</v>
      </c>
      <c r="CR46" s="1">
        <v>-7</v>
      </c>
      <c r="CS46" s="1">
        <v>-8</v>
      </c>
      <c r="CT46" s="1">
        <v>-9</v>
      </c>
      <c r="CU46" s="1">
        <v>-8</v>
      </c>
      <c r="CV46" s="1">
        <v>-4</v>
      </c>
      <c r="CW46" s="4">
        <v>-4</v>
      </c>
    </row>
    <row r="47" spans="1:101">
      <c r="A47" s="8" t="str">
        <f>VLOOKUP(B47,List!W:X,2,1)</f>
        <v>0.30 - 0.34</v>
      </c>
      <c r="B47" s="8">
        <v>0.3</v>
      </c>
      <c r="C47" s="8" t="s">
        <v>12</v>
      </c>
      <c r="D47" s="3">
        <v>-47</v>
      </c>
      <c r="E47" s="1">
        <v>-47</v>
      </c>
      <c r="F47" s="1">
        <v>-44</v>
      </c>
      <c r="G47" s="1">
        <v>-44</v>
      </c>
      <c r="H47" s="1">
        <v>-41</v>
      </c>
      <c r="I47" s="1">
        <v>-37</v>
      </c>
      <c r="J47" s="1">
        <v>-40</v>
      </c>
      <c r="K47" s="4">
        <v>-40</v>
      </c>
      <c r="M47" s="3">
        <f t="shared" si="40"/>
        <v>-54</v>
      </c>
      <c r="N47" s="1">
        <f t="shared" si="41"/>
        <v>-54</v>
      </c>
      <c r="O47" s="1">
        <f t="shared" si="42"/>
        <v>-52</v>
      </c>
      <c r="P47" s="1">
        <f t="shared" si="43"/>
        <v>-50</v>
      </c>
      <c r="Q47" s="1">
        <f t="shared" si="44"/>
        <v>-47</v>
      </c>
      <c r="R47" s="1">
        <f t="shared" si="45"/>
        <v>-44</v>
      </c>
      <c r="S47" s="1">
        <f t="shared" si="46"/>
        <v>-45</v>
      </c>
      <c r="T47" s="4">
        <f t="shared" si="47"/>
        <v>-47</v>
      </c>
      <c r="V47" s="3">
        <f t="shared" si="48"/>
        <v>-64</v>
      </c>
      <c r="W47" s="1">
        <f t="shared" si="49"/>
        <v>-64</v>
      </c>
      <c r="X47" s="1">
        <f t="shared" si="50"/>
        <v>-64</v>
      </c>
      <c r="Y47" s="1">
        <f t="shared" si="51"/>
        <v>-60</v>
      </c>
      <c r="Z47" s="1">
        <f t="shared" si="52"/>
        <v>-57</v>
      </c>
      <c r="AA47" s="1">
        <f t="shared" si="53"/>
        <v>-55</v>
      </c>
      <c r="AB47" s="1">
        <f t="shared" si="54"/>
        <v>-54</v>
      </c>
      <c r="AC47" s="4">
        <f t="shared" si="55"/>
        <v>-56</v>
      </c>
      <c r="AE47" s="3">
        <f t="shared" si="56"/>
        <v>-56</v>
      </c>
      <c r="AF47" s="1">
        <f t="shared" si="57"/>
        <v>-56</v>
      </c>
      <c r="AG47" s="1">
        <f t="shared" si="58"/>
        <v>-54</v>
      </c>
      <c r="AH47" s="1">
        <f t="shared" si="59"/>
        <v>-52</v>
      </c>
      <c r="AI47" s="1">
        <f t="shared" si="60"/>
        <v>-48</v>
      </c>
      <c r="AJ47" s="1">
        <f t="shared" si="61"/>
        <v>-46</v>
      </c>
      <c r="AK47" s="1">
        <f t="shared" si="62"/>
        <v>-50</v>
      </c>
      <c r="AL47" s="4">
        <f t="shared" si="63"/>
        <v>-51</v>
      </c>
      <c r="AN47" s="3">
        <f t="shared" si="64"/>
        <v>-58</v>
      </c>
      <c r="AO47" s="1">
        <f t="shared" si="65"/>
        <v>-58</v>
      </c>
      <c r="AP47" s="1">
        <f t="shared" si="66"/>
        <v>-57</v>
      </c>
      <c r="AQ47" s="1">
        <f t="shared" si="67"/>
        <v>-55</v>
      </c>
      <c r="AR47" s="1">
        <f t="shared" si="68"/>
        <v>-53</v>
      </c>
      <c r="AS47" s="1">
        <f t="shared" si="69"/>
        <v>-50</v>
      </c>
      <c r="AT47" s="1">
        <f t="shared" si="70"/>
        <v>-53</v>
      </c>
      <c r="AU47" s="4">
        <f t="shared" si="71"/>
        <v>-54</v>
      </c>
      <c r="AW47" s="3">
        <f t="shared" si="72"/>
        <v>-62</v>
      </c>
      <c r="AX47" s="1">
        <f t="shared" si="73"/>
        <v>-62</v>
      </c>
      <c r="AY47" s="1">
        <f t="shared" si="74"/>
        <v>-60</v>
      </c>
      <c r="AZ47" s="1">
        <f t="shared" si="75"/>
        <v>-58</v>
      </c>
      <c r="BA47" s="1">
        <f t="shared" si="76"/>
        <v>-56</v>
      </c>
      <c r="BB47" s="1">
        <f t="shared" si="77"/>
        <v>-53</v>
      </c>
      <c r="BC47" s="1">
        <f t="shared" si="78"/>
        <v>-55</v>
      </c>
      <c r="BD47" s="4">
        <f t="shared" si="79"/>
        <v>-56</v>
      </c>
      <c r="BF47" s="3">
        <v>-7</v>
      </c>
      <c r="BG47" s="1">
        <v>-7</v>
      </c>
      <c r="BH47" s="1">
        <v>-8</v>
      </c>
      <c r="BI47" s="1">
        <v>-6</v>
      </c>
      <c r="BJ47" s="1">
        <v>-6</v>
      </c>
      <c r="BK47" s="1">
        <v>-7</v>
      </c>
      <c r="BL47" s="1">
        <v>-5</v>
      </c>
      <c r="BM47" s="4">
        <v>-7</v>
      </c>
      <c r="BO47" s="3">
        <v>-10</v>
      </c>
      <c r="BP47" s="1">
        <v>-10</v>
      </c>
      <c r="BQ47" s="1">
        <v>-12</v>
      </c>
      <c r="BR47" s="1">
        <v>-10</v>
      </c>
      <c r="BS47" s="1">
        <v>-10</v>
      </c>
      <c r="BT47" s="1">
        <v>-11</v>
      </c>
      <c r="BU47" s="1">
        <v>-9</v>
      </c>
      <c r="BV47" s="4">
        <v>-9</v>
      </c>
      <c r="BX47" s="3">
        <v>-9</v>
      </c>
      <c r="BY47" s="1">
        <v>-9</v>
      </c>
      <c r="BZ47" s="1">
        <v>-10</v>
      </c>
      <c r="CA47" s="1">
        <v>-8</v>
      </c>
      <c r="CB47" s="1">
        <v>-7</v>
      </c>
      <c r="CC47" s="1">
        <v>-9</v>
      </c>
      <c r="CD47" s="1">
        <v>-10</v>
      </c>
      <c r="CE47" s="4">
        <v>-11</v>
      </c>
      <c r="CG47" s="3">
        <v>-2</v>
      </c>
      <c r="CH47" s="1">
        <v>-2</v>
      </c>
      <c r="CI47" s="1">
        <v>-3</v>
      </c>
      <c r="CJ47" s="1">
        <v>-3</v>
      </c>
      <c r="CK47" s="1">
        <v>-5</v>
      </c>
      <c r="CL47" s="1">
        <v>-4</v>
      </c>
      <c r="CM47" s="1">
        <v>-3</v>
      </c>
      <c r="CN47" s="4">
        <v>-3</v>
      </c>
      <c r="CP47" s="3">
        <v>-6</v>
      </c>
      <c r="CQ47" s="1">
        <v>-6</v>
      </c>
      <c r="CR47" s="1">
        <v>-6</v>
      </c>
      <c r="CS47" s="1">
        <v>-6</v>
      </c>
      <c r="CT47" s="1">
        <v>-8</v>
      </c>
      <c r="CU47" s="1">
        <v>-7</v>
      </c>
      <c r="CV47" s="1">
        <v>-5</v>
      </c>
      <c r="CW47" s="4">
        <v>-5</v>
      </c>
    </row>
    <row r="48" spans="1:101">
      <c r="A48" s="8" t="str">
        <f>VLOOKUP(B48,List!W:X,2,1)</f>
        <v>0.30 - 0.34</v>
      </c>
      <c r="B48" s="8">
        <v>0.3</v>
      </c>
      <c r="C48" s="8" t="s">
        <v>13</v>
      </c>
      <c r="D48" s="3">
        <v>-40</v>
      </c>
      <c r="E48" s="1">
        <v>-40</v>
      </c>
      <c r="F48" s="1">
        <v>-37</v>
      </c>
      <c r="G48" s="1">
        <v>-36</v>
      </c>
      <c r="H48" s="1">
        <v>-40</v>
      </c>
      <c r="I48" s="1">
        <v>-40</v>
      </c>
      <c r="J48" s="1">
        <v>-42</v>
      </c>
      <c r="K48" s="4">
        <v>-40</v>
      </c>
      <c r="M48" s="3">
        <f t="shared" si="40"/>
        <v>-48</v>
      </c>
      <c r="N48" s="1">
        <f t="shared" si="41"/>
        <v>-48</v>
      </c>
      <c r="O48" s="1">
        <f t="shared" si="42"/>
        <v>-46</v>
      </c>
      <c r="P48" s="1">
        <f t="shared" si="43"/>
        <v>-44</v>
      </c>
      <c r="Q48" s="1">
        <f t="shared" si="44"/>
        <v>-45</v>
      </c>
      <c r="R48" s="1">
        <f t="shared" si="45"/>
        <v>-44</v>
      </c>
      <c r="S48" s="1">
        <f t="shared" si="46"/>
        <v>-49</v>
      </c>
      <c r="T48" s="4">
        <f t="shared" si="47"/>
        <v>-47</v>
      </c>
      <c r="V48" s="3">
        <f t="shared" si="48"/>
        <v>-60</v>
      </c>
      <c r="W48" s="1">
        <f t="shared" si="49"/>
        <v>-60</v>
      </c>
      <c r="X48" s="1">
        <f t="shared" si="50"/>
        <v>-59</v>
      </c>
      <c r="Y48" s="1">
        <f t="shared" si="51"/>
        <v>-56</v>
      </c>
      <c r="Z48" s="1">
        <f t="shared" si="52"/>
        <v>-54</v>
      </c>
      <c r="AA48" s="1">
        <f t="shared" si="53"/>
        <v>-52</v>
      </c>
      <c r="AB48" s="1">
        <f t="shared" si="54"/>
        <v>-59</v>
      </c>
      <c r="AC48" s="4">
        <f t="shared" si="55"/>
        <v>-57</v>
      </c>
      <c r="AE48" s="3">
        <f t="shared" si="56"/>
        <v>-52</v>
      </c>
      <c r="AF48" s="1">
        <f t="shared" si="57"/>
        <v>-52</v>
      </c>
      <c r="AG48" s="1">
        <f t="shared" si="58"/>
        <v>-49</v>
      </c>
      <c r="AH48" s="1">
        <f t="shared" si="59"/>
        <v>-47</v>
      </c>
      <c r="AI48" s="1">
        <f t="shared" si="60"/>
        <v>-48</v>
      </c>
      <c r="AJ48" s="1">
        <f t="shared" si="61"/>
        <v>-48</v>
      </c>
      <c r="AK48" s="1">
        <f t="shared" si="62"/>
        <v>-52</v>
      </c>
      <c r="AL48" s="4">
        <f t="shared" si="63"/>
        <v>-51</v>
      </c>
      <c r="AN48" s="3">
        <f t="shared" si="64"/>
        <v>-55</v>
      </c>
      <c r="AO48" s="1">
        <f t="shared" si="65"/>
        <v>-55</v>
      </c>
      <c r="AP48" s="1">
        <f t="shared" si="66"/>
        <v>-53</v>
      </c>
      <c r="AQ48" s="1">
        <f t="shared" si="67"/>
        <v>-51</v>
      </c>
      <c r="AR48" s="1">
        <f t="shared" si="68"/>
        <v>-52</v>
      </c>
      <c r="AS48" s="1">
        <f t="shared" si="69"/>
        <v>-52</v>
      </c>
      <c r="AT48" s="1">
        <f t="shared" si="70"/>
        <v>-54</v>
      </c>
      <c r="AU48" s="4">
        <f t="shared" si="71"/>
        <v>-54</v>
      </c>
      <c r="AW48" s="3">
        <f t="shared" si="72"/>
        <v>-58</v>
      </c>
      <c r="AX48" s="1">
        <f t="shared" si="73"/>
        <v>-58</v>
      </c>
      <c r="AY48" s="1">
        <f t="shared" si="74"/>
        <v>-56</v>
      </c>
      <c r="AZ48" s="1">
        <f t="shared" si="75"/>
        <v>-54</v>
      </c>
      <c r="BA48" s="1">
        <f t="shared" si="76"/>
        <v>-55</v>
      </c>
      <c r="BB48" s="1">
        <f t="shared" si="77"/>
        <v>-54</v>
      </c>
      <c r="BC48" s="1">
        <f t="shared" si="78"/>
        <v>-56</v>
      </c>
      <c r="BD48" s="4">
        <f t="shared" si="79"/>
        <v>-56</v>
      </c>
      <c r="BF48" s="3">
        <v>-8</v>
      </c>
      <c r="BG48" s="1">
        <v>-8</v>
      </c>
      <c r="BH48" s="1">
        <v>-9</v>
      </c>
      <c r="BI48" s="1">
        <v>-8</v>
      </c>
      <c r="BJ48" s="1">
        <v>-5</v>
      </c>
      <c r="BK48" s="1">
        <v>-4</v>
      </c>
      <c r="BL48" s="1">
        <v>-7</v>
      </c>
      <c r="BM48" s="4">
        <v>-7</v>
      </c>
      <c r="BO48" s="3">
        <v>-12</v>
      </c>
      <c r="BP48" s="1">
        <v>-12</v>
      </c>
      <c r="BQ48" s="1">
        <v>-13</v>
      </c>
      <c r="BR48" s="1">
        <v>-12</v>
      </c>
      <c r="BS48" s="1">
        <v>-9</v>
      </c>
      <c r="BT48" s="1">
        <v>-8</v>
      </c>
      <c r="BU48" s="1">
        <v>-10</v>
      </c>
      <c r="BV48" s="4">
        <v>-10</v>
      </c>
      <c r="BX48" s="3">
        <v>-12</v>
      </c>
      <c r="BY48" s="1">
        <v>-12</v>
      </c>
      <c r="BZ48" s="1">
        <v>-12</v>
      </c>
      <c r="CA48" s="1">
        <v>-11</v>
      </c>
      <c r="CB48" s="1">
        <v>-8</v>
      </c>
      <c r="CC48" s="1">
        <v>-8</v>
      </c>
      <c r="CD48" s="1">
        <v>-10</v>
      </c>
      <c r="CE48" s="4">
        <v>-11</v>
      </c>
      <c r="CG48" s="3">
        <v>-3</v>
      </c>
      <c r="CH48" s="1">
        <v>-3</v>
      </c>
      <c r="CI48" s="1">
        <v>-4</v>
      </c>
      <c r="CJ48" s="1">
        <v>-4</v>
      </c>
      <c r="CK48" s="1">
        <v>-4</v>
      </c>
      <c r="CL48" s="1">
        <v>-4</v>
      </c>
      <c r="CM48" s="1">
        <v>-2</v>
      </c>
      <c r="CN48" s="4">
        <v>-3</v>
      </c>
      <c r="CP48" s="3">
        <v>-6</v>
      </c>
      <c r="CQ48" s="1">
        <v>-6</v>
      </c>
      <c r="CR48" s="1">
        <v>-7</v>
      </c>
      <c r="CS48" s="1">
        <v>-7</v>
      </c>
      <c r="CT48" s="1">
        <v>-7</v>
      </c>
      <c r="CU48" s="1">
        <v>-6</v>
      </c>
      <c r="CV48" s="1">
        <v>-4</v>
      </c>
      <c r="CW48" s="4">
        <v>-5</v>
      </c>
    </row>
    <row r="49" spans="1:101">
      <c r="A49" s="8" t="str">
        <f>VLOOKUP(B49,List!W:X,2,1)</f>
        <v>0.30 - 0.34</v>
      </c>
      <c r="B49" s="8">
        <v>0.3</v>
      </c>
      <c r="C49" s="8" t="s">
        <v>14</v>
      </c>
      <c r="D49" s="3">
        <v>-42</v>
      </c>
      <c r="E49" s="1">
        <v>-42</v>
      </c>
      <c r="F49" s="1">
        <v>-40</v>
      </c>
      <c r="G49" s="1">
        <v>-39</v>
      </c>
      <c r="H49" s="1">
        <v>-40</v>
      </c>
      <c r="I49" s="1">
        <v>-38</v>
      </c>
      <c r="J49" s="1">
        <v>-40</v>
      </c>
      <c r="K49" s="4">
        <v>-35</v>
      </c>
      <c r="M49" s="3">
        <f t="shared" si="40"/>
        <v>-47</v>
      </c>
      <c r="N49" s="1">
        <f t="shared" si="41"/>
        <v>-47</v>
      </c>
      <c r="O49" s="1">
        <f t="shared" si="42"/>
        <v>-46</v>
      </c>
      <c r="P49" s="1">
        <f t="shared" si="43"/>
        <v>-46</v>
      </c>
      <c r="Q49" s="1">
        <f t="shared" si="44"/>
        <v>-46</v>
      </c>
      <c r="R49" s="1">
        <f t="shared" si="45"/>
        <v>-44</v>
      </c>
      <c r="S49" s="1">
        <f t="shared" si="46"/>
        <v>-46</v>
      </c>
      <c r="T49" s="4">
        <f t="shared" si="47"/>
        <v>-42</v>
      </c>
      <c r="V49" s="3">
        <f t="shared" si="48"/>
        <v>-55</v>
      </c>
      <c r="W49" s="1">
        <f t="shared" si="49"/>
        <v>-55</v>
      </c>
      <c r="X49" s="1">
        <f t="shared" si="50"/>
        <v>-56</v>
      </c>
      <c r="Y49" s="1">
        <f t="shared" si="51"/>
        <v>-56</v>
      </c>
      <c r="Z49" s="1">
        <f t="shared" si="52"/>
        <v>-55</v>
      </c>
      <c r="AA49" s="1">
        <f t="shared" si="53"/>
        <v>-54</v>
      </c>
      <c r="AB49" s="1">
        <f t="shared" si="54"/>
        <v>-56</v>
      </c>
      <c r="AC49" s="4">
        <f t="shared" si="55"/>
        <v>-52</v>
      </c>
      <c r="AE49" s="3">
        <f t="shared" si="56"/>
        <v>-51</v>
      </c>
      <c r="AF49" s="1">
        <f t="shared" si="57"/>
        <v>-51</v>
      </c>
      <c r="AG49" s="1">
        <f t="shared" si="58"/>
        <v>-50</v>
      </c>
      <c r="AH49" s="1">
        <f t="shared" si="59"/>
        <v>-48</v>
      </c>
      <c r="AI49" s="1">
        <f t="shared" si="60"/>
        <v>-49</v>
      </c>
      <c r="AJ49" s="1">
        <f t="shared" si="61"/>
        <v>-46</v>
      </c>
      <c r="AK49" s="1">
        <f t="shared" si="62"/>
        <v>-50</v>
      </c>
      <c r="AL49" s="4">
        <f t="shared" si="63"/>
        <v>-48</v>
      </c>
      <c r="AN49" s="3">
        <f t="shared" si="64"/>
        <v>-55</v>
      </c>
      <c r="AO49" s="1">
        <f t="shared" si="65"/>
        <v>-55</v>
      </c>
      <c r="AP49" s="1">
        <f t="shared" si="66"/>
        <v>-54</v>
      </c>
      <c r="AQ49" s="1">
        <f t="shared" si="67"/>
        <v>-52</v>
      </c>
      <c r="AR49" s="1">
        <f t="shared" si="68"/>
        <v>-52</v>
      </c>
      <c r="AS49" s="1">
        <f t="shared" si="69"/>
        <v>-50</v>
      </c>
      <c r="AT49" s="1">
        <f t="shared" si="70"/>
        <v>-52</v>
      </c>
      <c r="AU49" s="4">
        <f t="shared" si="71"/>
        <v>-50</v>
      </c>
      <c r="AW49" s="3">
        <f t="shared" si="72"/>
        <v>-58</v>
      </c>
      <c r="AX49" s="1">
        <f t="shared" si="73"/>
        <v>-58</v>
      </c>
      <c r="AY49" s="1">
        <f t="shared" si="74"/>
        <v>-56</v>
      </c>
      <c r="AZ49" s="1">
        <f t="shared" si="75"/>
        <v>-54</v>
      </c>
      <c r="BA49" s="1">
        <f t="shared" si="76"/>
        <v>-54</v>
      </c>
      <c r="BB49" s="1">
        <f t="shared" si="77"/>
        <v>-53</v>
      </c>
      <c r="BC49" s="1">
        <f t="shared" si="78"/>
        <v>-55</v>
      </c>
      <c r="BD49" s="4">
        <f t="shared" si="79"/>
        <v>-52</v>
      </c>
      <c r="BF49" s="3">
        <v>-5</v>
      </c>
      <c r="BG49" s="1">
        <v>-5</v>
      </c>
      <c r="BH49" s="1">
        <v>-6</v>
      </c>
      <c r="BI49" s="1">
        <v>-7</v>
      </c>
      <c r="BJ49" s="1">
        <v>-6</v>
      </c>
      <c r="BK49" s="1">
        <v>-6</v>
      </c>
      <c r="BL49" s="1">
        <v>-6</v>
      </c>
      <c r="BM49" s="4">
        <v>-7</v>
      </c>
      <c r="BO49" s="3">
        <v>-8</v>
      </c>
      <c r="BP49" s="1">
        <v>-8</v>
      </c>
      <c r="BQ49" s="1">
        <v>-10</v>
      </c>
      <c r="BR49" s="1">
        <v>-10</v>
      </c>
      <c r="BS49" s="1">
        <v>-9</v>
      </c>
      <c r="BT49" s="1">
        <v>-10</v>
      </c>
      <c r="BU49" s="1">
        <v>-10</v>
      </c>
      <c r="BV49" s="4">
        <v>-10</v>
      </c>
      <c r="BX49" s="3">
        <v>-9</v>
      </c>
      <c r="BY49" s="1">
        <v>-9</v>
      </c>
      <c r="BZ49" s="1">
        <v>-10</v>
      </c>
      <c r="CA49" s="1">
        <v>-9</v>
      </c>
      <c r="CB49" s="1">
        <v>-9</v>
      </c>
      <c r="CC49" s="1">
        <v>-8</v>
      </c>
      <c r="CD49" s="1">
        <v>-10</v>
      </c>
      <c r="CE49" s="4">
        <v>-13</v>
      </c>
      <c r="CG49" s="3">
        <v>-4</v>
      </c>
      <c r="CH49" s="1">
        <v>-4</v>
      </c>
      <c r="CI49" s="1">
        <v>-4</v>
      </c>
      <c r="CJ49" s="1">
        <v>-4</v>
      </c>
      <c r="CK49" s="1">
        <v>-3</v>
      </c>
      <c r="CL49" s="1">
        <v>-4</v>
      </c>
      <c r="CM49" s="1">
        <v>-2</v>
      </c>
      <c r="CN49" s="4">
        <v>-2</v>
      </c>
      <c r="CP49" s="3">
        <v>-7</v>
      </c>
      <c r="CQ49" s="1">
        <v>-7</v>
      </c>
      <c r="CR49" s="1">
        <v>-6</v>
      </c>
      <c r="CS49" s="1">
        <v>-6</v>
      </c>
      <c r="CT49" s="1">
        <v>-5</v>
      </c>
      <c r="CU49" s="1">
        <v>-7</v>
      </c>
      <c r="CV49" s="1">
        <v>-5</v>
      </c>
      <c r="CW49" s="4">
        <v>-4</v>
      </c>
    </row>
    <row r="50" spans="1:101">
      <c r="A50" s="8" t="str">
        <f>VLOOKUP(B50,List!W:X,2,1)</f>
        <v>0.30 - 0.34</v>
      </c>
      <c r="B50" s="8">
        <v>0.3</v>
      </c>
      <c r="C50" s="8" t="s">
        <v>15</v>
      </c>
      <c r="D50" s="3">
        <v>-40</v>
      </c>
      <c r="E50" s="1">
        <v>-40</v>
      </c>
      <c r="F50" s="1">
        <v>-40</v>
      </c>
      <c r="G50" s="1">
        <v>-39</v>
      </c>
      <c r="H50" s="1">
        <v>-37</v>
      </c>
      <c r="I50" s="1">
        <v>-39</v>
      </c>
      <c r="J50" s="1">
        <v>-41</v>
      </c>
      <c r="K50" s="4">
        <v>-43</v>
      </c>
      <c r="M50" s="3">
        <f t="shared" si="40"/>
        <v>-43</v>
      </c>
      <c r="N50" s="1">
        <f t="shared" si="41"/>
        <v>-43</v>
      </c>
      <c r="O50" s="1">
        <f t="shared" si="42"/>
        <v>-44</v>
      </c>
      <c r="P50" s="1">
        <f t="shared" si="43"/>
        <v>-44</v>
      </c>
      <c r="Q50" s="1">
        <f t="shared" si="44"/>
        <v>-41</v>
      </c>
      <c r="R50" s="1">
        <f t="shared" si="45"/>
        <v>-43</v>
      </c>
      <c r="S50" s="1">
        <f t="shared" si="46"/>
        <v>-45</v>
      </c>
      <c r="T50" s="4">
        <f t="shared" si="47"/>
        <v>-47</v>
      </c>
      <c r="V50" s="3">
        <f t="shared" si="48"/>
        <v>-52</v>
      </c>
      <c r="W50" s="1">
        <f t="shared" si="49"/>
        <v>-52</v>
      </c>
      <c r="X50" s="1">
        <f t="shared" si="50"/>
        <v>-55</v>
      </c>
      <c r="Y50" s="1">
        <f t="shared" si="51"/>
        <v>-56</v>
      </c>
      <c r="Z50" s="1">
        <f t="shared" si="52"/>
        <v>-54</v>
      </c>
      <c r="AA50" s="1">
        <f t="shared" si="53"/>
        <v>-54</v>
      </c>
      <c r="AB50" s="1">
        <f t="shared" si="54"/>
        <v>-54</v>
      </c>
      <c r="AC50" s="4">
        <f t="shared" si="55"/>
        <v>-54</v>
      </c>
      <c r="AE50" s="3">
        <f t="shared" si="56"/>
        <v>-50</v>
      </c>
      <c r="AF50" s="1">
        <f t="shared" si="57"/>
        <v>-50</v>
      </c>
      <c r="AG50" s="1">
        <f t="shared" si="58"/>
        <v>-49</v>
      </c>
      <c r="AH50" s="1">
        <f t="shared" si="59"/>
        <v>-46</v>
      </c>
      <c r="AI50" s="1">
        <f t="shared" si="60"/>
        <v>-43</v>
      </c>
      <c r="AJ50" s="1">
        <f t="shared" si="61"/>
        <v>-45</v>
      </c>
      <c r="AK50" s="1">
        <f t="shared" si="62"/>
        <v>-47</v>
      </c>
      <c r="AL50" s="4">
        <f t="shared" si="63"/>
        <v>-49</v>
      </c>
      <c r="AN50" s="3">
        <f t="shared" si="64"/>
        <v>-54</v>
      </c>
      <c r="AO50" s="1">
        <f t="shared" si="65"/>
        <v>-54</v>
      </c>
      <c r="AP50" s="1">
        <f t="shared" si="66"/>
        <v>-52</v>
      </c>
      <c r="AQ50" s="1">
        <f t="shared" si="67"/>
        <v>-49</v>
      </c>
      <c r="AR50" s="1">
        <f t="shared" si="68"/>
        <v>-46</v>
      </c>
      <c r="AS50" s="1">
        <f t="shared" si="69"/>
        <v>-49</v>
      </c>
      <c r="AT50" s="1">
        <f t="shared" si="70"/>
        <v>-51</v>
      </c>
      <c r="AU50" s="4">
        <f t="shared" si="71"/>
        <v>-53</v>
      </c>
      <c r="AW50" s="3">
        <f t="shared" si="72"/>
        <v>-59</v>
      </c>
      <c r="AX50" s="1">
        <f t="shared" si="73"/>
        <v>-59</v>
      </c>
      <c r="AY50" s="1">
        <f t="shared" si="74"/>
        <v>-57</v>
      </c>
      <c r="AZ50" s="1">
        <f t="shared" si="75"/>
        <v>-55</v>
      </c>
      <c r="BA50" s="1">
        <f t="shared" si="76"/>
        <v>-54</v>
      </c>
      <c r="BB50" s="1">
        <f t="shared" si="77"/>
        <v>-54</v>
      </c>
      <c r="BC50" s="1">
        <f t="shared" si="78"/>
        <v>-56</v>
      </c>
      <c r="BD50" s="4">
        <f t="shared" si="79"/>
        <v>-57</v>
      </c>
      <c r="BF50" s="3">
        <v>-3</v>
      </c>
      <c r="BG50" s="1">
        <v>-3</v>
      </c>
      <c r="BH50" s="1">
        <v>-4</v>
      </c>
      <c r="BI50" s="1">
        <v>-5</v>
      </c>
      <c r="BJ50" s="1">
        <v>-4</v>
      </c>
      <c r="BK50" s="1">
        <v>-4</v>
      </c>
      <c r="BL50" s="1">
        <v>-4</v>
      </c>
      <c r="BM50" s="4">
        <v>-4</v>
      </c>
      <c r="BO50" s="3">
        <v>-9</v>
      </c>
      <c r="BP50" s="1">
        <v>-9</v>
      </c>
      <c r="BQ50" s="1">
        <v>-11</v>
      </c>
      <c r="BR50" s="1">
        <v>-12</v>
      </c>
      <c r="BS50" s="1">
        <v>-13</v>
      </c>
      <c r="BT50" s="1">
        <v>-11</v>
      </c>
      <c r="BU50" s="1">
        <v>-9</v>
      </c>
      <c r="BV50" s="4">
        <v>-7</v>
      </c>
      <c r="BX50" s="3">
        <v>-10</v>
      </c>
      <c r="BY50" s="1">
        <v>-10</v>
      </c>
      <c r="BZ50" s="1">
        <v>-9</v>
      </c>
      <c r="CA50" s="1">
        <v>-7</v>
      </c>
      <c r="CB50" s="1">
        <v>-6</v>
      </c>
      <c r="CC50" s="1">
        <v>-6</v>
      </c>
      <c r="CD50" s="1">
        <v>-6</v>
      </c>
      <c r="CE50" s="4">
        <v>-6</v>
      </c>
      <c r="CG50" s="3">
        <v>-4</v>
      </c>
      <c r="CH50" s="1">
        <v>-4</v>
      </c>
      <c r="CI50" s="1">
        <v>-3</v>
      </c>
      <c r="CJ50" s="1">
        <v>-3</v>
      </c>
      <c r="CK50" s="1">
        <v>-3</v>
      </c>
      <c r="CL50" s="1">
        <v>-4</v>
      </c>
      <c r="CM50" s="1">
        <v>-4</v>
      </c>
      <c r="CN50" s="4">
        <v>-4</v>
      </c>
      <c r="CP50" s="3">
        <v>-9</v>
      </c>
      <c r="CQ50" s="1">
        <v>-9</v>
      </c>
      <c r="CR50" s="1">
        <v>-8</v>
      </c>
      <c r="CS50" s="1">
        <v>-9</v>
      </c>
      <c r="CT50" s="1">
        <v>-11</v>
      </c>
      <c r="CU50" s="1">
        <v>-9</v>
      </c>
      <c r="CV50" s="1">
        <v>-9</v>
      </c>
      <c r="CW50" s="4">
        <v>-8</v>
      </c>
    </row>
    <row r="51" spans="1:101">
      <c r="A51" s="8" t="str">
        <f>VLOOKUP(B51,List!W:X,2,1)</f>
        <v>0.35 - 0.37</v>
      </c>
      <c r="B51" s="8">
        <v>0.35</v>
      </c>
      <c r="C51" s="8" t="s">
        <v>8</v>
      </c>
      <c r="D51" s="3">
        <v>-43</v>
      </c>
      <c r="E51" s="1">
        <v>-43</v>
      </c>
      <c r="F51" s="1">
        <v>-45</v>
      </c>
      <c r="G51" s="1">
        <v>-46</v>
      </c>
      <c r="H51" s="1">
        <v>-46</v>
      </c>
      <c r="I51" s="1">
        <v>-42</v>
      </c>
      <c r="J51" s="1">
        <v>-47</v>
      </c>
      <c r="K51" s="4">
        <v>-46</v>
      </c>
      <c r="M51" s="3">
        <f t="shared" si="40"/>
        <v>-52</v>
      </c>
      <c r="N51" s="1">
        <f t="shared" si="41"/>
        <v>-52</v>
      </c>
      <c r="O51" s="1">
        <f t="shared" si="42"/>
        <v>-50</v>
      </c>
      <c r="P51" s="1">
        <f t="shared" si="43"/>
        <v>-51</v>
      </c>
      <c r="Q51" s="1">
        <f t="shared" si="44"/>
        <v>-51</v>
      </c>
      <c r="R51" s="1">
        <f t="shared" si="45"/>
        <v>-47</v>
      </c>
      <c r="S51" s="1">
        <f t="shared" si="46"/>
        <v>-50</v>
      </c>
      <c r="T51" s="4">
        <f t="shared" si="47"/>
        <v>-50</v>
      </c>
      <c r="V51" s="3">
        <f t="shared" si="48"/>
        <v>-64</v>
      </c>
      <c r="W51" s="1">
        <f t="shared" si="49"/>
        <v>-64</v>
      </c>
      <c r="X51" s="1">
        <f t="shared" si="50"/>
        <v>-59</v>
      </c>
      <c r="Y51" s="1">
        <f t="shared" si="51"/>
        <v>-60</v>
      </c>
      <c r="Z51" s="1">
        <f t="shared" si="52"/>
        <v>-59</v>
      </c>
      <c r="AA51" s="1">
        <f t="shared" si="53"/>
        <v>-54</v>
      </c>
      <c r="AB51" s="1">
        <f t="shared" si="54"/>
        <v>-55</v>
      </c>
      <c r="AC51" s="4">
        <f t="shared" si="55"/>
        <v>-56</v>
      </c>
      <c r="AE51" s="3">
        <f t="shared" si="56"/>
        <v>-68</v>
      </c>
      <c r="AF51" s="1">
        <f t="shared" si="57"/>
        <v>-68</v>
      </c>
      <c r="AG51" s="1">
        <f t="shared" si="58"/>
        <v>-71</v>
      </c>
      <c r="AH51" s="1">
        <f t="shared" si="59"/>
        <v>-70</v>
      </c>
      <c r="AI51" s="1">
        <f t="shared" si="60"/>
        <v>-69</v>
      </c>
      <c r="AJ51" s="1">
        <f t="shared" si="61"/>
        <v>-64</v>
      </c>
      <c r="AK51" s="1">
        <f t="shared" si="62"/>
        <v>-69</v>
      </c>
      <c r="AL51" s="4">
        <f t="shared" si="63"/>
        <v>-69</v>
      </c>
      <c r="AN51" s="3">
        <f t="shared" si="64"/>
        <v>-72</v>
      </c>
      <c r="AO51" s="1">
        <f t="shared" si="65"/>
        <v>-72</v>
      </c>
      <c r="AP51" s="1">
        <f t="shared" si="66"/>
        <v>-73</v>
      </c>
      <c r="AQ51" s="1">
        <f t="shared" si="67"/>
        <v>-72</v>
      </c>
      <c r="AR51" s="1">
        <f t="shared" si="68"/>
        <v>-71</v>
      </c>
      <c r="AS51" s="1">
        <f t="shared" si="69"/>
        <v>-67</v>
      </c>
      <c r="AT51" s="1">
        <f t="shared" si="70"/>
        <v>-72</v>
      </c>
      <c r="AU51" s="4">
        <f t="shared" si="71"/>
        <v>-71</v>
      </c>
      <c r="AW51" s="3">
        <f t="shared" si="72"/>
        <v>-75</v>
      </c>
      <c r="AX51" s="1">
        <f t="shared" si="73"/>
        <v>-75</v>
      </c>
      <c r="AY51" s="1">
        <f t="shared" si="74"/>
        <v>-76</v>
      </c>
      <c r="AZ51" s="1">
        <f t="shared" si="75"/>
        <v>-74</v>
      </c>
      <c r="BA51" s="1">
        <f t="shared" si="76"/>
        <v>-74</v>
      </c>
      <c r="BB51" s="1">
        <f t="shared" si="77"/>
        <v>-69</v>
      </c>
      <c r="BC51" s="1">
        <f t="shared" si="78"/>
        <v>-75</v>
      </c>
      <c r="BD51" s="4">
        <f t="shared" si="79"/>
        <v>-74</v>
      </c>
      <c r="BF51" s="3">
        <v>-9</v>
      </c>
      <c r="BG51" s="1">
        <v>-9</v>
      </c>
      <c r="BH51" s="1">
        <v>-5</v>
      </c>
      <c r="BI51" s="1">
        <v>-5</v>
      </c>
      <c r="BJ51" s="1">
        <v>-5</v>
      </c>
      <c r="BK51" s="1">
        <v>-5</v>
      </c>
      <c r="BL51" s="1">
        <v>-3</v>
      </c>
      <c r="BM51" s="4">
        <v>-4</v>
      </c>
      <c r="BO51" s="3">
        <v>-12</v>
      </c>
      <c r="BP51" s="1">
        <v>-12</v>
      </c>
      <c r="BQ51" s="1">
        <v>-9</v>
      </c>
      <c r="BR51" s="1">
        <v>-9</v>
      </c>
      <c r="BS51" s="1">
        <v>-8</v>
      </c>
      <c r="BT51" s="1">
        <v>-7</v>
      </c>
      <c r="BU51" s="1">
        <v>-5</v>
      </c>
      <c r="BV51" s="4">
        <v>-6</v>
      </c>
      <c r="BX51" s="3">
        <v>-25</v>
      </c>
      <c r="BY51" s="1">
        <v>-25</v>
      </c>
      <c r="BZ51" s="1">
        <v>-26</v>
      </c>
      <c r="CA51" s="1">
        <v>-24</v>
      </c>
      <c r="CB51" s="1">
        <v>-23</v>
      </c>
      <c r="CC51" s="1">
        <v>-22</v>
      </c>
      <c r="CD51" s="1">
        <v>-22</v>
      </c>
      <c r="CE51" s="4">
        <v>-23</v>
      </c>
      <c r="CG51" s="3">
        <v>-4</v>
      </c>
      <c r="CH51" s="1">
        <v>-4</v>
      </c>
      <c r="CI51" s="1">
        <v>-2</v>
      </c>
      <c r="CJ51" s="1">
        <v>-2</v>
      </c>
      <c r="CK51" s="1">
        <v>-2</v>
      </c>
      <c r="CL51" s="1">
        <v>-3</v>
      </c>
      <c r="CM51" s="1">
        <v>-3</v>
      </c>
      <c r="CN51" s="4">
        <v>-2</v>
      </c>
      <c r="CP51" s="3">
        <v>-7</v>
      </c>
      <c r="CQ51" s="1">
        <v>-7</v>
      </c>
      <c r="CR51" s="1">
        <v>-5</v>
      </c>
      <c r="CS51" s="1">
        <v>-4</v>
      </c>
      <c r="CT51" s="1">
        <v>-5</v>
      </c>
      <c r="CU51" s="1">
        <v>-5</v>
      </c>
      <c r="CV51" s="1">
        <v>-6</v>
      </c>
      <c r="CW51" s="4">
        <v>-5</v>
      </c>
    </row>
    <row r="52" spans="1:101">
      <c r="A52" s="8" t="str">
        <f>VLOOKUP(B52,List!W:X,2,1)</f>
        <v>0.35 - 0.37</v>
      </c>
      <c r="B52" s="8">
        <v>0.35</v>
      </c>
      <c r="C52" s="8" t="s">
        <v>9</v>
      </c>
      <c r="D52" s="3">
        <v>-48</v>
      </c>
      <c r="E52" s="1">
        <v>-48</v>
      </c>
      <c r="F52" s="1">
        <v>-46</v>
      </c>
      <c r="G52" s="1">
        <v>-49</v>
      </c>
      <c r="H52" s="1">
        <v>-48</v>
      </c>
      <c r="I52" s="1">
        <v>-47</v>
      </c>
      <c r="J52" s="1">
        <v>-51</v>
      </c>
      <c r="K52" s="4">
        <v>-50</v>
      </c>
      <c r="M52" s="3">
        <f t="shared" si="40"/>
        <v>-56</v>
      </c>
      <c r="N52" s="1">
        <f t="shared" si="41"/>
        <v>-56</v>
      </c>
      <c r="O52" s="1">
        <f t="shared" si="42"/>
        <v>-55</v>
      </c>
      <c r="P52" s="1">
        <f t="shared" si="43"/>
        <v>-54</v>
      </c>
      <c r="Q52" s="1">
        <f t="shared" si="44"/>
        <v>-52</v>
      </c>
      <c r="R52" s="1">
        <f t="shared" si="45"/>
        <v>-50</v>
      </c>
      <c r="S52" s="1">
        <f t="shared" si="46"/>
        <v>-55</v>
      </c>
      <c r="T52" s="4">
        <f t="shared" si="47"/>
        <v>-55</v>
      </c>
      <c r="V52" s="3">
        <f t="shared" si="48"/>
        <v>-68</v>
      </c>
      <c r="W52" s="1">
        <f t="shared" si="49"/>
        <v>-68</v>
      </c>
      <c r="X52" s="1">
        <f t="shared" si="50"/>
        <v>-68</v>
      </c>
      <c r="Y52" s="1">
        <f t="shared" si="51"/>
        <v>-61</v>
      </c>
      <c r="Z52" s="1">
        <f t="shared" si="52"/>
        <v>-58</v>
      </c>
      <c r="AA52" s="1">
        <f t="shared" si="53"/>
        <v>-56</v>
      </c>
      <c r="AB52" s="1">
        <f t="shared" si="54"/>
        <v>-62</v>
      </c>
      <c r="AC52" s="4">
        <f t="shared" si="55"/>
        <v>-63</v>
      </c>
      <c r="AE52" s="3">
        <f t="shared" si="56"/>
        <v>-72</v>
      </c>
      <c r="AF52" s="1">
        <f t="shared" si="57"/>
        <v>-72</v>
      </c>
      <c r="AG52" s="1">
        <f t="shared" si="58"/>
        <v>-71</v>
      </c>
      <c r="AH52" s="1">
        <f t="shared" si="59"/>
        <v>-71</v>
      </c>
      <c r="AI52" s="1">
        <f t="shared" si="60"/>
        <v>-66</v>
      </c>
      <c r="AJ52" s="1">
        <f t="shared" si="61"/>
        <v>-67</v>
      </c>
      <c r="AK52" s="1">
        <f t="shared" si="62"/>
        <v>-75</v>
      </c>
      <c r="AL52" s="4">
        <f t="shared" si="63"/>
        <v>-74</v>
      </c>
      <c r="AN52" s="3">
        <f t="shared" si="64"/>
        <v>-74</v>
      </c>
      <c r="AO52" s="1">
        <f t="shared" si="65"/>
        <v>-74</v>
      </c>
      <c r="AP52" s="1">
        <f t="shared" si="66"/>
        <v>-73</v>
      </c>
      <c r="AQ52" s="1">
        <f t="shared" si="67"/>
        <v>-73</v>
      </c>
      <c r="AR52" s="1">
        <f t="shared" si="68"/>
        <v>-70</v>
      </c>
      <c r="AS52" s="1">
        <f t="shared" si="69"/>
        <v>-69</v>
      </c>
      <c r="AT52" s="1">
        <f t="shared" si="70"/>
        <v>-79</v>
      </c>
      <c r="AU52" s="4">
        <f t="shared" si="71"/>
        <v>-76</v>
      </c>
      <c r="AW52" s="3">
        <f t="shared" si="72"/>
        <v>-76</v>
      </c>
      <c r="AX52" s="1">
        <f t="shared" si="73"/>
        <v>-76</v>
      </c>
      <c r="AY52" s="1">
        <f t="shared" si="74"/>
        <v>-76</v>
      </c>
      <c r="AZ52" s="1">
        <f t="shared" si="75"/>
        <v>-75</v>
      </c>
      <c r="BA52" s="1">
        <f t="shared" si="76"/>
        <v>-72</v>
      </c>
      <c r="BB52" s="1">
        <f t="shared" si="77"/>
        <v>-72</v>
      </c>
      <c r="BC52" s="1">
        <f t="shared" si="78"/>
        <v>-81</v>
      </c>
      <c r="BD52" s="4">
        <f t="shared" si="79"/>
        <v>-79</v>
      </c>
      <c r="BF52" s="3">
        <v>-8</v>
      </c>
      <c r="BG52" s="1">
        <v>-8</v>
      </c>
      <c r="BH52" s="1">
        <v>-9</v>
      </c>
      <c r="BI52" s="1">
        <v>-5</v>
      </c>
      <c r="BJ52" s="1">
        <v>-4</v>
      </c>
      <c r="BK52" s="1">
        <v>-3</v>
      </c>
      <c r="BL52" s="1">
        <v>-4</v>
      </c>
      <c r="BM52" s="4">
        <v>-5</v>
      </c>
      <c r="BO52" s="3">
        <v>-12</v>
      </c>
      <c r="BP52" s="1">
        <v>-12</v>
      </c>
      <c r="BQ52" s="1">
        <v>-13</v>
      </c>
      <c r="BR52" s="1">
        <v>-7</v>
      </c>
      <c r="BS52" s="1">
        <v>-6</v>
      </c>
      <c r="BT52" s="1">
        <v>-6</v>
      </c>
      <c r="BU52" s="1">
        <v>-7</v>
      </c>
      <c r="BV52" s="4">
        <v>-8</v>
      </c>
      <c r="BX52" s="3">
        <v>-24</v>
      </c>
      <c r="BY52" s="1">
        <v>-24</v>
      </c>
      <c r="BZ52" s="1">
        <v>-25</v>
      </c>
      <c r="CA52" s="1">
        <v>-22</v>
      </c>
      <c r="CB52" s="1">
        <v>-18</v>
      </c>
      <c r="CC52" s="1">
        <v>-20</v>
      </c>
      <c r="CD52" s="1">
        <v>-24</v>
      </c>
      <c r="CE52" s="4">
        <v>-24</v>
      </c>
      <c r="CG52" s="3">
        <v>-2</v>
      </c>
      <c r="CH52" s="1">
        <v>-2</v>
      </c>
      <c r="CI52" s="1">
        <v>-2</v>
      </c>
      <c r="CJ52" s="1">
        <v>-2</v>
      </c>
      <c r="CK52" s="1">
        <v>-4</v>
      </c>
      <c r="CL52" s="1">
        <v>-2</v>
      </c>
      <c r="CM52" s="1">
        <v>-4</v>
      </c>
      <c r="CN52" s="4">
        <v>-2</v>
      </c>
      <c r="CP52" s="3">
        <v>-4</v>
      </c>
      <c r="CQ52" s="1">
        <v>-4</v>
      </c>
      <c r="CR52" s="1">
        <v>-5</v>
      </c>
      <c r="CS52" s="1">
        <v>-4</v>
      </c>
      <c r="CT52" s="1">
        <v>-6</v>
      </c>
      <c r="CU52" s="1">
        <v>-5</v>
      </c>
      <c r="CV52" s="1">
        <v>-6</v>
      </c>
      <c r="CW52" s="4">
        <v>-5</v>
      </c>
    </row>
    <row r="53" spans="1:101">
      <c r="A53" s="8" t="str">
        <f>VLOOKUP(B53,List!W:X,2,1)</f>
        <v>0.35 - 0.37</v>
      </c>
      <c r="B53" s="8">
        <v>0.35</v>
      </c>
      <c r="C53" s="8" t="s">
        <v>10</v>
      </c>
      <c r="D53" s="3">
        <v>-48</v>
      </c>
      <c r="E53" s="1">
        <v>-48</v>
      </c>
      <c r="F53" s="1">
        <v>-47</v>
      </c>
      <c r="G53" s="1">
        <v>-50</v>
      </c>
      <c r="H53" s="1">
        <v>-46</v>
      </c>
      <c r="I53" s="1">
        <v>-44</v>
      </c>
      <c r="J53" s="1">
        <v>-48</v>
      </c>
      <c r="K53" s="4">
        <v>-47</v>
      </c>
      <c r="M53" s="3">
        <f t="shared" si="40"/>
        <v>-55</v>
      </c>
      <c r="N53" s="1">
        <f t="shared" si="41"/>
        <v>-55</v>
      </c>
      <c r="O53" s="1">
        <f t="shared" si="42"/>
        <v>-55</v>
      </c>
      <c r="P53" s="1">
        <f t="shared" si="43"/>
        <v>-54</v>
      </c>
      <c r="Q53" s="1">
        <f t="shared" si="44"/>
        <v>-50</v>
      </c>
      <c r="R53" s="1">
        <f t="shared" si="45"/>
        <v>-48</v>
      </c>
      <c r="S53" s="1">
        <f t="shared" si="46"/>
        <v>-53</v>
      </c>
      <c r="T53" s="4">
        <f t="shared" si="47"/>
        <v>-52</v>
      </c>
      <c r="V53" s="3">
        <f t="shared" si="48"/>
        <v>-66</v>
      </c>
      <c r="W53" s="1">
        <f t="shared" si="49"/>
        <v>-66</v>
      </c>
      <c r="X53" s="1">
        <f t="shared" si="50"/>
        <v>-66</v>
      </c>
      <c r="Y53" s="1">
        <f t="shared" si="51"/>
        <v>-60</v>
      </c>
      <c r="Z53" s="1">
        <f t="shared" si="52"/>
        <v>-56</v>
      </c>
      <c r="AA53" s="1">
        <f t="shared" si="53"/>
        <v>-54</v>
      </c>
      <c r="AB53" s="1">
        <f t="shared" si="54"/>
        <v>-62</v>
      </c>
      <c r="AC53" s="4">
        <f t="shared" si="55"/>
        <v>-60</v>
      </c>
      <c r="AE53" s="3">
        <f t="shared" si="56"/>
        <v>-69</v>
      </c>
      <c r="AF53" s="1">
        <f t="shared" si="57"/>
        <v>-69</v>
      </c>
      <c r="AG53" s="1">
        <f t="shared" si="58"/>
        <v>-72</v>
      </c>
      <c r="AH53" s="1">
        <f t="shared" si="59"/>
        <v>-73</v>
      </c>
      <c r="AI53" s="1">
        <f t="shared" si="60"/>
        <v>-64</v>
      </c>
      <c r="AJ53" s="1">
        <f t="shared" si="61"/>
        <v>-64</v>
      </c>
      <c r="AK53" s="1">
        <f t="shared" si="62"/>
        <v>-71</v>
      </c>
      <c r="AL53" s="4">
        <f t="shared" si="63"/>
        <v>-70</v>
      </c>
      <c r="AN53" s="3">
        <f t="shared" si="64"/>
        <v>-72</v>
      </c>
      <c r="AO53" s="1">
        <f t="shared" si="65"/>
        <v>-72</v>
      </c>
      <c r="AP53" s="1">
        <f t="shared" si="66"/>
        <v>-75</v>
      </c>
      <c r="AQ53" s="1">
        <f t="shared" si="67"/>
        <v>-75</v>
      </c>
      <c r="AR53" s="1">
        <f t="shared" si="68"/>
        <v>-68</v>
      </c>
      <c r="AS53" s="1">
        <f t="shared" si="69"/>
        <v>-66</v>
      </c>
      <c r="AT53" s="1">
        <f t="shared" si="70"/>
        <v>-75</v>
      </c>
      <c r="AU53" s="4">
        <f t="shared" si="71"/>
        <v>-72</v>
      </c>
      <c r="AW53" s="3">
        <f t="shared" si="72"/>
        <v>-74</v>
      </c>
      <c r="AX53" s="1">
        <f t="shared" si="73"/>
        <v>-74</v>
      </c>
      <c r="AY53" s="1">
        <f t="shared" si="74"/>
        <v>-77</v>
      </c>
      <c r="AZ53" s="1">
        <f t="shared" si="75"/>
        <v>-78</v>
      </c>
      <c r="BA53" s="1">
        <f t="shared" si="76"/>
        <v>-71</v>
      </c>
      <c r="BB53" s="1">
        <f t="shared" si="77"/>
        <v>-69</v>
      </c>
      <c r="BC53" s="1">
        <f t="shared" si="78"/>
        <v>-77</v>
      </c>
      <c r="BD53" s="4">
        <f t="shared" si="79"/>
        <v>-76</v>
      </c>
      <c r="BF53" s="3">
        <v>-7</v>
      </c>
      <c r="BG53" s="1">
        <v>-7</v>
      </c>
      <c r="BH53" s="1">
        <v>-8</v>
      </c>
      <c r="BI53" s="1">
        <v>-4</v>
      </c>
      <c r="BJ53" s="1">
        <v>-4</v>
      </c>
      <c r="BK53" s="1">
        <v>-4</v>
      </c>
      <c r="BL53" s="1">
        <v>-5</v>
      </c>
      <c r="BM53" s="4">
        <v>-5</v>
      </c>
      <c r="BO53" s="3">
        <v>-11</v>
      </c>
      <c r="BP53" s="1">
        <v>-11</v>
      </c>
      <c r="BQ53" s="1">
        <v>-11</v>
      </c>
      <c r="BR53" s="1">
        <v>-6</v>
      </c>
      <c r="BS53" s="1">
        <v>-6</v>
      </c>
      <c r="BT53" s="1">
        <v>-6</v>
      </c>
      <c r="BU53" s="1">
        <v>-9</v>
      </c>
      <c r="BV53" s="4">
        <v>-8</v>
      </c>
      <c r="BX53" s="3">
        <v>-21</v>
      </c>
      <c r="BY53" s="1">
        <v>-21</v>
      </c>
      <c r="BZ53" s="1">
        <v>-25</v>
      </c>
      <c r="CA53" s="1">
        <v>-23</v>
      </c>
      <c r="CB53" s="1">
        <v>-18</v>
      </c>
      <c r="CC53" s="1">
        <v>-20</v>
      </c>
      <c r="CD53" s="1">
        <v>-23</v>
      </c>
      <c r="CE53" s="4">
        <v>-23</v>
      </c>
      <c r="CG53" s="3">
        <v>-3</v>
      </c>
      <c r="CH53" s="1">
        <v>-3</v>
      </c>
      <c r="CI53" s="1">
        <v>-3</v>
      </c>
      <c r="CJ53" s="1">
        <v>-2</v>
      </c>
      <c r="CK53" s="1">
        <v>-4</v>
      </c>
      <c r="CL53" s="1">
        <v>-2</v>
      </c>
      <c r="CM53" s="1">
        <v>-4</v>
      </c>
      <c r="CN53" s="4">
        <v>-2</v>
      </c>
      <c r="CP53" s="3">
        <v>-5</v>
      </c>
      <c r="CQ53" s="1">
        <v>-5</v>
      </c>
      <c r="CR53" s="1">
        <v>-5</v>
      </c>
      <c r="CS53" s="1">
        <v>-5</v>
      </c>
      <c r="CT53" s="1">
        <v>-7</v>
      </c>
      <c r="CU53" s="1">
        <v>-5</v>
      </c>
      <c r="CV53" s="1">
        <v>-6</v>
      </c>
      <c r="CW53" s="4">
        <v>-6</v>
      </c>
    </row>
    <row r="54" spans="1:101">
      <c r="A54" s="8" t="str">
        <f>VLOOKUP(B54,List!W:X,2,1)</f>
        <v>0.35 - 0.37</v>
      </c>
      <c r="B54" s="8">
        <v>0.35</v>
      </c>
      <c r="C54" s="8" t="s">
        <v>11</v>
      </c>
      <c r="D54" s="3">
        <v>-54</v>
      </c>
      <c r="E54" s="1">
        <v>-54</v>
      </c>
      <c r="F54" s="1">
        <v>-51</v>
      </c>
      <c r="G54" s="1">
        <v>-48</v>
      </c>
      <c r="H54" s="1">
        <v>-46</v>
      </c>
      <c r="I54" s="1">
        <v>-43</v>
      </c>
      <c r="J54" s="1">
        <v>-48</v>
      </c>
      <c r="K54" s="4">
        <v>-47</v>
      </c>
      <c r="M54" s="3">
        <f t="shared" si="40"/>
        <v>-57</v>
      </c>
      <c r="N54" s="1">
        <f t="shared" si="41"/>
        <v>-57</v>
      </c>
      <c r="O54" s="1">
        <f t="shared" si="42"/>
        <v>-55</v>
      </c>
      <c r="P54" s="1">
        <f t="shared" si="43"/>
        <v>-51</v>
      </c>
      <c r="Q54" s="1">
        <f t="shared" si="44"/>
        <v>-48</v>
      </c>
      <c r="R54" s="1">
        <f t="shared" si="45"/>
        <v>-47</v>
      </c>
      <c r="S54" s="1">
        <f t="shared" si="46"/>
        <v>-53</v>
      </c>
      <c r="T54" s="4">
        <f t="shared" si="47"/>
        <v>-52</v>
      </c>
      <c r="V54" s="3">
        <f t="shared" si="48"/>
        <v>-63</v>
      </c>
      <c r="W54" s="1">
        <f t="shared" si="49"/>
        <v>-63</v>
      </c>
      <c r="X54" s="1">
        <f t="shared" si="50"/>
        <v>-63</v>
      </c>
      <c r="Y54" s="1">
        <f t="shared" si="51"/>
        <v>-58</v>
      </c>
      <c r="Z54" s="1">
        <f t="shared" si="52"/>
        <v>-55</v>
      </c>
      <c r="AA54" s="1">
        <f t="shared" si="53"/>
        <v>-54</v>
      </c>
      <c r="AB54" s="1">
        <f t="shared" si="54"/>
        <v>-62</v>
      </c>
      <c r="AC54" s="4">
        <f t="shared" si="55"/>
        <v>-60</v>
      </c>
      <c r="AE54" s="3">
        <f t="shared" si="56"/>
        <v>-74</v>
      </c>
      <c r="AF54" s="1">
        <f t="shared" si="57"/>
        <v>-74</v>
      </c>
      <c r="AG54" s="1">
        <f t="shared" si="58"/>
        <v>-70</v>
      </c>
      <c r="AH54" s="1">
        <f t="shared" si="59"/>
        <v>-68</v>
      </c>
      <c r="AI54" s="1">
        <f t="shared" si="60"/>
        <v>-64</v>
      </c>
      <c r="AJ54" s="1">
        <f t="shared" si="61"/>
        <v>-63</v>
      </c>
      <c r="AK54" s="1">
        <f t="shared" si="62"/>
        <v>-68</v>
      </c>
      <c r="AL54" s="4">
        <f t="shared" si="63"/>
        <v>-70</v>
      </c>
      <c r="AN54" s="3">
        <f t="shared" si="64"/>
        <v>-78</v>
      </c>
      <c r="AO54" s="1">
        <f t="shared" si="65"/>
        <v>-78</v>
      </c>
      <c r="AP54" s="1">
        <f t="shared" si="66"/>
        <v>-74</v>
      </c>
      <c r="AQ54" s="1">
        <f t="shared" si="67"/>
        <v>-72</v>
      </c>
      <c r="AR54" s="1">
        <f t="shared" si="68"/>
        <v>-67</v>
      </c>
      <c r="AS54" s="1">
        <f t="shared" si="69"/>
        <v>-65</v>
      </c>
      <c r="AT54" s="1">
        <f t="shared" si="70"/>
        <v>-73</v>
      </c>
      <c r="AU54" s="4">
        <f t="shared" si="71"/>
        <v>-72</v>
      </c>
      <c r="AW54" s="3">
        <f t="shared" si="72"/>
        <v>-80</v>
      </c>
      <c r="AX54" s="1">
        <f t="shared" si="73"/>
        <v>-80</v>
      </c>
      <c r="AY54" s="1">
        <f t="shared" si="74"/>
        <v>-77</v>
      </c>
      <c r="AZ54" s="1">
        <f t="shared" si="75"/>
        <v>-75</v>
      </c>
      <c r="BA54" s="1">
        <f t="shared" si="76"/>
        <v>-71</v>
      </c>
      <c r="BB54" s="1">
        <f t="shared" si="77"/>
        <v>-68</v>
      </c>
      <c r="BC54" s="1">
        <f t="shared" si="78"/>
        <v>-75</v>
      </c>
      <c r="BD54" s="4">
        <f t="shared" si="79"/>
        <v>-75</v>
      </c>
      <c r="BF54" s="3">
        <v>-3</v>
      </c>
      <c r="BG54" s="1">
        <v>-3</v>
      </c>
      <c r="BH54" s="1">
        <v>-4</v>
      </c>
      <c r="BI54" s="1">
        <v>-3</v>
      </c>
      <c r="BJ54" s="1">
        <v>-2</v>
      </c>
      <c r="BK54" s="1">
        <v>-4</v>
      </c>
      <c r="BL54" s="1">
        <v>-5</v>
      </c>
      <c r="BM54" s="4">
        <v>-5</v>
      </c>
      <c r="BO54" s="3">
        <v>-6</v>
      </c>
      <c r="BP54" s="1">
        <v>-6</v>
      </c>
      <c r="BQ54" s="1">
        <v>-8</v>
      </c>
      <c r="BR54" s="1">
        <v>-7</v>
      </c>
      <c r="BS54" s="1">
        <v>-7</v>
      </c>
      <c r="BT54" s="1">
        <v>-7</v>
      </c>
      <c r="BU54" s="1">
        <v>-9</v>
      </c>
      <c r="BV54" s="4">
        <v>-8</v>
      </c>
      <c r="BX54" s="3">
        <v>-20</v>
      </c>
      <c r="BY54" s="1">
        <v>-20</v>
      </c>
      <c r="BZ54" s="1">
        <v>-19</v>
      </c>
      <c r="CA54" s="1">
        <v>-20</v>
      </c>
      <c r="CB54" s="1">
        <v>-18</v>
      </c>
      <c r="CC54" s="1">
        <v>-20</v>
      </c>
      <c r="CD54" s="1">
        <v>-20</v>
      </c>
      <c r="CE54" s="4">
        <v>-23</v>
      </c>
      <c r="CG54" s="3">
        <v>-4</v>
      </c>
      <c r="CH54" s="1">
        <v>-4</v>
      </c>
      <c r="CI54" s="1">
        <v>-4</v>
      </c>
      <c r="CJ54" s="1">
        <v>-4</v>
      </c>
      <c r="CK54" s="1">
        <v>-3</v>
      </c>
      <c r="CL54" s="1">
        <v>-2</v>
      </c>
      <c r="CM54" s="1">
        <v>-5</v>
      </c>
      <c r="CN54" s="4">
        <v>-2</v>
      </c>
      <c r="CP54" s="3">
        <v>-6</v>
      </c>
      <c r="CQ54" s="1">
        <v>-6</v>
      </c>
      <c r="CR54" s="1">
        <v>-7</v>
      </c>
      <c r="CS54" s="1">
        <v>-7</v>
      </c>
      <c r="CT54" s="1">
        <v>-7</v>
      </c>
      <c r="CU54" s="1">
        <v>-5</v>
      </c>
      <c r="CV54" s="1">
        <v>-7</v>
      </c>
      <c r="CW54" s="4">
        <v>-5</v>
      </c>
    </row>
    <row r="55" spans="1:101">
      <c r="A55" s="8" t="str">
        <f>VLOOKUP(B55,List!W:X,2,1)</f>
        <v>0.35 - 0.37</v>
      </c>
      <c r="B55" s="8">
        <v>0.35</v>
      </c>
      <c r="C55" s="8" t="s">
        <v>12</v>
      </c>
      <c r="D55" s="3">
        <v>-48</v>
      </c>
      <c r="E55" s="1">
        <v>-48</v>
      </c>
      <c r="F55" s="1">
        <v>-48</v>
      </c>
      <c r="G55" s="1">
        <v>-47</v>
      </c>
      <c r="H55" s="1">
        <v>-46</v>
      </c>
      <c r="I55" s="1">
        <v>-43</v>
      </c>
      <c r="J55" s="1">
        <v>-45</v>
      </c>
      <c r="K55" s="4">
        <v>-44</v>
      </c>
      <c r="M55" s="3">
        <f t="shared" si="40"/>
        <v>-52</v>
      </c>
      <c r="N55" s="1">
        <f t="shared" si="41"/>
        <v>-52</v>
      </c>
      <c r="O55" s="1">
        <f t="shared" si="42"/>
        <v>-53</v>
      </c>
      <c r="P55" s="1">
        <f t="shared" si="43"/>
        <v>-50</v>
      </c>
      <c r="Q55" s="1">
        <f t="shared" si="44"/>
        <v>-48</v>
      </c>
      <c r="R55" s="1">
        <f t="shared" si="45"/>
        <v>-46</v>
      </c>
      <c r="S55" s="1">
        <f t="shared" si="46"/>
        <v>-50</v>
      </c>
      <c r="T55" s="4">
        <f t="shared" si="47"/>
        <v>-49</v>
      </c>
      <c r="V55" s="3">
        <f t="shared" si="48"/>
        <v>-59</v>
      </c>
      <c r="W55" s="1">
        <f t="shared" si="49"/>
        <v>-59</v>
      </c>
      <c r="X55" s="1">
        <f t="shared" si="50"/>
        <v>-60</v>
      </c>
      <c r="Y55" s="1">
        <f t="shared" si="51"/>
        <v>-57</v>
      </c>
      <c r="Z55" s="1">
        <f t="shared" si="52"/>
        <v>-53</v>
      </c>
      <c r="AA55" s="1">
        <f t="shared" si="53"/>
        <v>-52</v>
      </c>
      <c r="AB55" s="1">
        <f t="shared" si="54"/>
        <v>-59</v>
      </c>
      <c r="AC55" s="4">
        <f t="shared" si="55"/>
        <v>-57</v>
      </c>
      <c r="AE55" s="3">
        <f t="shared" si="56"/>
        <v>-69</v>
      </c>
      <c r="AF55" s="1">
        <f t="shared" si="57"/>
        <v>-69</v>
      </c>
      <c r="AG55" s="1">
        <f t="shared" si="58"/>
        <v>-69</v>
      </c>
      <c r="AH55" s="1">
        <f t="shared" si="59"/>
        <v>-67</v>
      </c>
      <c r="AI55" s="1">
        <f t="shared" si="60"/>
        <v>-64</v>
      </c>
      <c r="AJ55" s="1">
        <f t="shared" si="61"/>
        <v>-64</v>
      </c>
      <c r="AK55" s="1">
        <f t="shared" si="62"/>
        <v>-67</v>
      </c>
      <c r="AL55" s="4">
        <f t="shared" si="63"/>
        <v>-68</v>
      </c>
      <c r="AN55" s="3">
        <f t="shared" si="64"/>
        <v>-72</v>
      </c>
      <c r="AO55" s="1">
        <f t="shared" si="65"/>
        <v>-72</v>
      </c>
      <c r="AP55" s="1">
        <f t="shared" si="66"/>
        <v>-72</v>
      </c>
      <c r="AQ55" s="1">
        <f t="shared" si="67"/>
        <v>-70</v>
      </c>
      <c r="AR55" s="1">
        <f t="shared" si="68"/>
        <v>-67</v>
      </c>
      <c r="AS55" s="1">
        <f t="shared" si="69"/>
        <v>-67</v>
      </c>
      <c r="AT55" s="1">
        <f t="shared" si="70"/>
        <v>-71</v>
      </c>
      <c r="AU55" s="4">
        <f t="shared" si="71"/>
        <v>-70</v>
      </c>
      <c r="AW55" s="3">
        <f t="shared" si="72"/>
        <v>-75</v>
      </c>
      <c r="AX55" s="1">
        <f t="shared" si="73"/>
        <v>-75</v>
      </c>
      <c r="AY55" s="1">
        <f t="shared" si="74"/>
        <v>-74</v>
      </c>
      <c r="AZ55" s="1">
        <f t="shared" si="75"/>
        <v>-73</v>
      </c>
      <c r="BA55" s="1">
        <f t="shared" si="76"/>
        <v>-69</v>
      </c>
      <c r="BB55" s="1">
        <f t="shared" si="77"/>
        <v>-69</v>
      </c>
      <c r="BC55" s="1">
        <f t="shared" si="78"/>
        <v>-75</v>
      </c>
      <c r="BD55" s="4">
        <f t="shared" si="79"/>
        <v>-74</v>
      </c>
      <c r="BF55" s="3">
        <v>-4</v>
      </c>
      <c r="BG55" s="1">
        <v>-4</v>
      </c>
      <c r="BH55" s="1">
        <v>-5</v>
      </c>
      <c r="BI55" s="1">
        <v>-3</v>
      </c>
      <c r="BJ55" s="1">
        <v>-2</v>
      </c>
      <c r="BK55" s="1">
        <v>-3</v>
      </c>
      <c r="BL55" s="1">
        <v>-5</v>
      </c>
      <c r="BM55" s="4">
        <v>-5</v>
      </c>
      <c r="BO55" s="3">
        <v>-7</v>
      </c>
      <c r="BP55" s="1">
        <v>-7</v>
      </c>
      <c r="BQ55" s="1">
        <v>-7</v>
      </c>
      <c r="BR55" s="1">
        <v>-7</v>
      </c>
      <c r="BS55" s="1">
        <v>-5</v>
      </c>
      <c r="BT55" s="1">
        <v>-6</v>
      </c>
      <c r="BU55" s="1">
        <v>-9</v>
      </c>
      <c r="BV55" s="4">
        <v>-8</v>
      </c>
      <c r="BX55" s="3">
        <v>-21</v>
      </c>
      <c r="BY55" s="1">
        <v>-21</v>
      </c>
      <c r="BZ55" s="1">
        <v>-21</v>
      </c>
      <c r="CA55" s="1">
        <v>-20</v>
      </c>
      <c r="CB55" s="1">
        <v>-18</v>
      </c>
      <c r="CC55" s="1">
        <v>-21</v>
      </c>
      <c r="CD55" s="1">
        <v>-22</v>
      </c>
      <c r="CE55" s="4">
        <v>-24</v>
      </c>
      <c r="CG55" s="3">
        <v>-3</v>
      </c>
      <c r="CH55" s="1">
        <v>-3</v>
      </c>
      <c r="CI55" s="1">
        <v>-3</v>
      </c>
      <c r="CJ55" s="1">
        <v>-3</v>
      </c>
      <c r="CK55" s="1">
        <v>-3</v>
      </c>
      <c r="CL55" s="1">
        <v>-3</v>
      </c>
      <c r="CM55" s="1">
        <v>-4</v>
      </c>
      <c r="CN55" s="4">
        <v>-2</v>
      </c>
      <c r="CP55" s="3">
        <v>-6</v>
      </c>
      <c r="CQ55" s="1">
        <v>-6</v>
      </c>
      <c r="CR55" s="1">
        <v>-5</v>
      </c>
      <c r="CS55" s="1">
        <v>-6</v>
      </c>
      <c r="CT55" s="1">
        <v>-5</v>
      </c>
      <c r="CU55" s="1">
        <v>-5</v>
      </c>
      <c r="CV55" s="1">
        <v>-8</v>
      </c>
      <c r="CW55" s="4">
        <v>-6</v>
      </c>
    </row>
    <row r="56" spans="1:101">
      <c r="A56" s="8" t="str">
        <f>VLOOKUP(B56,List!W:X,2,1)</f>
        <v>0.35 - 0.37</v>
      </c>
      <c r="B56" s="8">
        <v>0.35</v>
      </c>
      <c r="C56" s="8" t="s">
        <v>13</v>
      </c>
      <c r="D56" s="3">
        <v>-41</v>
      </c>
      <c r="E56" s="1">
        <v>-41</v>
      </c>
      <c r="F56" s="1">
        <v>-40</v>
      </c>
      <c r="G56" s="1">
        <v>-39</v>
      </c>
      <c r="H56" s="1">
        <v>-42</v>
      </c>
      <c r="I56" s="1">
        <v>-41</v>
      </c>
      <c r="J56" s="1">
        <v>-44</v>
      </c>
      <c r="K56" s="4">
        <v>-42</v>
      </c>
      <c r="M56" s="3">
        <f t="shared" si="40"/>
        <v>-46</v>
      </c>
      <c r="N56" s="1">
        <f t="shared" si="41"/>
        <v>-46</v>
      </c>
      <c r="O56" s="1">
        <f t="shared" si="42"/>
        <v>-46</v>
      </c>
      <c r="P56" s="1">
        <f t="shared" si="43"/>
        <v>-44</v>
      </c>
      <c r="Q56" s="1">
        <f t="shared" si="44"/>
        <v>-46</v>
      </c>
      <c r="R56" s="1">
        <f t="shared" si="45"/>
        <v>-44</v>
      </c>
      <c r="S56" s="1">
        <f t="shared" si="46"/>
        <v>-47</v>
      </c>
      <c r="T56" s="4">
        <f t="shared" si="47"/>
        <v>-45</v>
      </c>
      <c r="V56" s="3">
        <f t="shared" si="48"/>
        <v>-55</v>
      </c>
      <c r="W56" s="1">
        <f t="shared" si="49"/>
        <v>-55</v>
      </c>
      <c r="X56" s="1">
        <f t="shared" si="50"/>
        <v>-55</v>
      </c>
      <c r="Y56" s="1">
        <f t="shared" si="51"/>
        <v>-54</v>
      </c>
      <c r="Z56" s="1">
        <f t="shared" si="52"/>
        <v>-54</v>
      </c>
      <c r="AA56" s="1">
        <f t="shared" si="53"/>
        <v>-51</v>
      </c>
      <c r="AB56" s="1">
        <f t="shared" si="54"/>
        <v>-54</v>
      </c>
      <c r="AC56" s="4">
        <f t="shared" si="55"/>
        <v>-53</v>
      </c>
      <c r="AE56" s="3">
        <f t="shared" si="56"/>
        <v>-62</v>
      </c>
      <c r="AF56" s="1">
        <f t="shared" si="57"/>
        <v>-62</v>
      </c>
      <c r="AG56" s="1">
        <f t="shared" si="58"/>
        <v>-61</v>
      </c>
      <c r="AH56" s="1">
        <f t="shared" si="59"/>
        <v>-61</v>
      </c>
      <c r="AI56" s="1">
        <f t="shared" si="60"/>
        <v>-65</v>
      </c>
      <c r="AJ56" s="1">
        <f t="shared" si="61"/>
        <v>-63</v>
      </c>
      <c r="AK56" s="1">
        <f t="shared" si="62"/>
        <v>-67</v>
      </c>
      <c r="AL56" s="4">
        <f t="shared" si="63"/>
        <v>-65</v>
      </c>
      <c r="AN56" s="3">
        <f t="shared" si="64"/>
        <v>-66</v>
      </c>
      <c r="AO56" s="1">
        <f t="shared" si="65"/>
        <v>-66</v>
      </c>
      <c r="AP56" s="1">
        <f t="shared" si="66"/>
        <v>-64</v>
      </c>
      <c r="AQ56" s="1">
        <f t="shared" si="67"/>
        <v>-64</v>
      </c>
      <c r="AR56" s="1">
        <f t="shared" si="68"/>
        <v>-68</v>
      </c>
      <c r="AS56" s="1">
        <f t="shared" si="69"/>
        <v>-65</v>
      </c>
      <c r="AT56" s="1">
        <f t="shared" si="70"/>
        <v>-69</v>
      </c>
      <c r="AU56" s="4">
        <f t="shared" si="71"/>
        <v>-68</v>
      </c>
      <c r="AW56" s="3">
        <f t="shared" si="72"/>
        <v>-68</v>
      </c>
      <c r="AX56" s="1">
        <f t="shared" si="73"/>
        <v>-68</v>
      </c>
      <c r="AY56" s="1">
        <f t="shared" si="74"/>
        <v>-66</v>
      </c>
      <c r="AZ56" s="1">
        <f t="shared" si="75"/>
        <v>-66</v>
      </c>
      <c r="BA56" s="1">
        <f t="shared" si="76"/>
        <v>-70</v>
      </c>
      <c r="BB56" s="1">
        <f t="shared" si="77"/>
        <v>-68</v>
      </c>
      <c r="BC56" s="1">
        <f t="shared" si="78"/>
        <v>-72</v>
      </c>
      <c r="BD56" s="4">
        <f t="shared" si="79"/>
        <v>-72</v>
      </c>
      <c r="BF56" s="3">
        <v>-5</v>
      </c>
      <c r="BG56" s="1">
        <v>-5</v>
      </c>
      <c r="BH56" s="1">
        <v>-6</v>
      </c>
      <c r="BI56" s="1">
        <v>-5</v>
      </c>
      <c r="BJ56" s="1">
        <v>-4</v>
      </c>
      <c r="BK56" s="1">
        <v>-3</v>
      </c>
      <c r="BL56" s="1">
        <v>-3</v>
      </c>
      <c r="BM56" s="4">
        <v>-3</v>
      </c>
      <c r="BO56" s="3">
        <v>-9</v>
      </c>
      <c r="BP56" s="1">
        <v>-9</v>
      </c>
      <c r="BQ56" s="1">
        <v>-9</v>
      </c>
      <c r="BR56" s="1">
        <v>-10</v>
      </c>
      <c r="BS56" s="1">
        <v>-8</v>
      </c>
      <c r="BT56" s="1">
        <v>-7</v>
      </c>
      <c r="BU56" s="1">
        <v>-7</v>
      </c>
      <c r="BV56" s="4">
        <v>-8</v>
      </c>
      <c r="BX56" s="3">
        <v>-21</v>
      </c>
      <c r="BY56" s="1">
        <v>-21</v>
      </c>
      <c r="BZ56" s="1">
        <v>-21</v>
      </c>
      <c r="CA56" s="1">
        <v>-22</v>
      </c>
      <c r="CB56" s="1">
        <v>-23</v>
      </c>
      <c r="CC56" s="1">
        <v>-22</v>
      </c>
      <c r="CD56" s="1">
        <v>-23</v>
      </c>
      <c r="CE56" s="4">
        <v>-23</v>
      </c>
      <c r="CG56" s="3">
        <v>-4</v>
      </c>
      <c r="CH56" s="1">
        <v>-4</v>
      </c>
      <c r="CI56" s="1">
        <v>-3</v>
      </c>
      <c r="CJ56" s="1">
        <v>-3</v>
      </c>
      <c r="CK56" s="1">
        <v>-3</v>
      </c>
      <c r="CL56" s="1">
        <v>-2</v>
      </c>
      <c r="CM56" s="1">
        <v>-2</v>
      </c>
      <c r="CN56" s="4">
        <v>-3</v>
      </c>
      <c r="CP56" s="3">
        <v>-6</v>
      </c>
      <c r="CQ56" s="1">
        <v>-6</v>
      </c>
      <c r="CR56" s="1">
        <v>-5</v>
      </c>
      <c r="CS56" s="1">
        <v>-5</v>
      </c>
      <c r="CT56" s="1">
        <v>-5</v>
      </c>
      <c r="CU56" s="1">
        <v>-5</v>
      </c>
      <c r="CV56" s="1">
        <v>-5</v>
      </c>
      <c r="CW56" s="4">
        <v>-7</v>
      </c>
    </row>
    <row r="57" spans="1:101">
      <c r="A57" s="8" t="str">
        <f>VLOOKUP(B57,List!W:X,2,1)</f>
        <v>0.35 - 0.37</v>
      </c>
      <c r="B57" s="8">
        <v>0.35</v>
      </c>
      <c r="C57" s="8" t="s">
        <v>14</v>
      </c>
      <c r="D57" s="3">
        <v>-42</v>
      </c>
      <c r="E57" s="1">
        <v>-42</v>
      </c>
      <c r="F57" s="1">
        <v>-42</v>
      </c>
      <c r="G57" s="1">
        <v>-41</v>
      </c>
      <c r="H57" s="1">
        <v>-41</v>
      </c>
      <c r="I57" s="1">
        <v>-37</v>
      </c>
      <c r="J57" s="1">
        <v>-41</v>
      </c>
      <c r="K57" s="4">
        <v>-39</v>
      </c>
      <c r="M57" s="3">
        <f t="shared" si="40"/>
        <v>-45</v>
      </c>
      <c r="N57" s="1">
        <f t="shared" si="41"/>
        <v>-45</v>
      </c>
      <c r="O57" s="1">
        <f t="shared" si="42"/>
        <v>-45</v>
      </c>
      <c r="P57" s="1">
        <f t="shared" si="43"/>
        <v>-44</v>
      </c>
      <c r="Q57" s="1">
        <f t="shared" si="44"/>
        <v>-44</v>
      </c>
      <c r="R57" s="1">
        <f t="shared" si="45"/>
        <v>-40</v>
      </c>
      <c r="S57" s="1">
        <f t="shared" si="46"/>
        <v>-44</v>
      </c>
      <c r="T57" s="4">
        <f t="shared" si="47"/>
        <v>-42</v>
      </c>
      <c r="V57" s="3">
        <f t="shared" si="48"/>
        <v>-53</v>
      </c>
      <c r="W57" s="1">
        <f t="shared" si="49"/>
        <v>-53</v>
      </c>
      <c r="X57" s="1">
        <f t="shared" si="50"/>
        <v>-52</v>
      </c>
      <c r="Y57" s="1">
        <f t="shared" si="51"/>
        <v>-51</v>
      </c>
      <c r="Z57" s="1">
        <f t="shared" si="52"/>
        <v>-51</v>
      </c>
      <c r="AA57" s="1">
        <f t="shared" si="53"/>
        <v>-48</v>
      </c>
      <c r="AB57" s="1">
        <f t="shared" si="54"/>
        <v>-51</v>
      </c>
      <c r="AC57" s="4">
        <f t="shared" si="55"/>
        <v>-50</v>
      </c>
      <c r="AE57" s="3">
        <f t="shared" si="56"/>
        <v>-65</v>
      </c>
      <c r="AF57" s="1">
        <f t="shared" si="57"/>
        <v>-65</v>
      </c>
      <c r="AG57" s="1">
        <f t="shared" si="58"/>
        <v>-64</v>
      </c>
      <c r="AH57" s="1">
        <f t="shared" si="59"/>
        <v>-62</v>
      </c>
      <c r="AI57" s="1">
        <f t="shared" si="60"/>
        <v>-62</v>
      </c>
      <c r="AJ57" s="1">
        <f t="shared" si="61"/>
        <v>-60</v>
      </c>
      <c r="AK57" s="1">
        <f t="shared" si="62"/>
        <v>-66</v>
      </c>
      <c r="AL57" s="4">
        <f t="shared" si="63"/>
        <v>-64</v>
      </c>
      <c r="AN57" s="3">
        <f t="shared" si="64"/>
        <v>-68</v>
      </c>
      <c r="AO57" s="1">
        <f t="shared" si="65"/>
        <v>-68</v>
      </c>
      <c r="AP57" s="1">
        <f t="shared" si="66"/>
        <v>-67</v>
      </c>
      <c r="AQ57" s="1">
        <f t="shared" si="67"/>
        <v>-65</v>
      </c>
      <c r="AR57" s="1">
        <f t="shared" si="68"/>
        <v>-65</v>
      </c>
      <c r="AS57" s="1">
        <f t="shared" si="69"/>
        <v>-65</v>
      </c>
      <c r="AT57" s="1">
        <f t="shared" si="70"/>
        <v>-69</v>
      </c>
      <c r="AU57" s="4">
        <f t="shared" si="71"/>
        <v>-67</v>
      </c>
      <c r="AW57" s="3">
        <f t="shared" si="72"/>
        <v>-70</v>
      </c>
      <c r="AX57" s="1">
        <f t="shared" si="73"/>
        <v>-70</v>
      </c>
      <c r="AY57" s="1">
        <f t="shared" si="74"/>
        <v>-69</v>
      </c>
      <c r="AZ57" s="1">
        <f t="shared" si="75"/>
        <v>-67</v>
      </c>
      <c r="BA57" s="1">
        <f t="shared" si="76"/>
        <v>-67</v>
      </c>
      <c r="BB57" s="1">
        <f t="shared" si="77"/>
        <v>-67</v>
      </c>
      <c r="BC57" s="1">
        <f t="shared" si="78"/>
        <v>-74</v>
      </c>
      <c r="BD57" s="4">
        <f t="shared" si="79"/>
        <v>-72</v>
      </c>
      <c r="BF57" s="3">
        <v>-3</v>
      </c>
      <c r="BG57" s="1">
        <v>-3</v>
      </c>
      <c r="BH57" s="1">
        <v>-3</v>
      </c>
      <c r="BI57" s="1">
        <v>-3</v>
      </c>
      <c r="BJ57" s="1">
        <v>-3</v>
      </c>
      <c r="BK57" s="1">
        <v>-3</v>
      </c>
      <c r="BL57" s="1">
        <v>-3</v>
      </c>
      <c r="BM57" s="4">
        <v>-3</v>
      </c>
      <c r="BO57" s="3">
        <v>-8</v>
      </c>
      <c r="BP57" s="1">
        <v>-8</v>
      </c>
      <c r="BQ57" s="1">
        <v>-7</v>
      </c>
      <c r="BR57" s="1">
        <v>-7</v>
      </c>
      <c r="BS57" s="1">
        <v>-7</v>
      </c>
      <c r="BT57" s="1">
        <v>-8</v>
      </c>
      <c r="BU57" s="1">
        <v>-7</v>
      </c>
      <c r="BV57" s="4">
        <v>-8</v>
      </c>
      <c r="BX57" s="3">
        <v>-23</v>
      </c>
      <c r="BY57" s="1">
        <v>-23</v>
      </c>
      <c r="BZ57" s="1">
        <v>-22</v>
      </c>
      <c r="CA57" s="1">
        <v>-21</v>
      </c>
      <c r="CB57" s="1">
        <v>-21</v>
      </c>
      <c r="CC57" s="1">
        <v>-23</v>
      </c>
      <c r="CD57" s="1">
        <v>-25</v>
      </c>
      <c r="CE57" s="4">
        <v>-25</v>
      </c>
      <c r="CG57" s="3">
        <v>-3</v>
      </c>
      <c r="CH57" s="1">
        <v>-3</v>
      </c>
      <c r="CI57" s="1">
        <v>-3</v>
      </c>
      <c r="CJ57" s="1">
        <v>-3</v>
      </c>
      <c r="CK57" s="1">
        <v>-3</v>
      </c>
      <c r="CL57" s="1">
        <v>-5</v>
      </c>
      <c r="CM57" s="1">
        <v>-3</v>
      </c>
      <c r="CN57" s="4">
        <v>-3</v>
      </c>
      <c r="CP57" s="3">
        <v>-5</v>
      </c>
      <c r="CQ57" s="1">
        <v>-5</v>
      </c>
      <c r="CR57" s="1">
        <v>-5</v>
      </c>
      <c r="CS57" s="1">
        <v>-5</v>
      </c>
      <c r="CT57" s="1">
        <v>-5</v>
      </c>
      <c r="CU57" s="1">
        <v>-7</v>
      </c>
      <c r="CV57" s="1">
        <v>-8</v>
      </c>
      <c r="CW57" s="4">
        <v>-8</v>
      </c>
    </row>
    <row r="58" spans="1:101">
      <c r="A58" s="8" t="str">
        <f>VLOOKUP(B58,List!W:X,2,1)</f>
        <v>0.35 - 0.37</v>
      </c>
      <c r="B58" s="8">
        <v>0.35</v>
      </c>
      <c r="C58" s="8" t="s">
        <v>15</v>
      </c>
      <c r="D58" s="3">
        <v>-38</v>
      </c>
      <c r="E58" s="1">
        <v>-38</v>
      </c>
      <c r="F58" s="1">
        <v>-38</v>
      </c>
      <c r="G58" s="1">
        <v>-37</v>
      </c>
      <c r="H58" s="1">
        <v>-35</v>
      </c>
      <c r="I58" s="1">
        <v>-37</v>
      </c>
      <c r="J58" s="1">
        <v>-39</v>
      </c>
      <c r="K58" s="4">
        <v>-41</v>
      </c>
      <c r="M58" s="3">
        <f t="shared" si="40"/>
        <v>-41</v>
      </c>
      <c r="N58" s="1">
        <f t="shared" si="41"/>
        <v>-41</v>
      </c>
      <c r="O58" s="1">
        <f t="shared" si="42"/>
        <v>-42</v>
      </c>
      <c r="P58" s="1">
        <f t="shared" si="43"/>
        <v>-42</v>
      </c>
      <c r="Q58" s="1">
        <f t="shared" si="44"/>
        <v>-39</v>
      </c>
      <c r="R58" s="1">
        <f t="shared" si="45"/>
        <v>-41</v>
      </c>
      <c r="S58" s="1">
        <f t="shared" si="46"/>
        <v>-43</v>
      </c>
      <c r="T58" s="4">
        <f t="shared" si="47"/>
        <v>-45</v>
      </c>
      <c r="V58" s="3">
        <f t="shared" si="48"/>
        <v>-50</v>
      </c>
      <c r="W58" s="1">
        <f t="shared" si="49"/>
        <v>-50</v>
      </c>
      <c r="X58" s="1">
        <f t="shared" si="50"/>
        <v>-53</v>
      </c>
      <c r="Y58" s="1">
        <f t="shared" si="51"/>
        <v>-54</v>
      </c>
      <c r="Z58" s="1">
        <f t="shared" si="52"/>
        <v>-52</v>
      </c>
      <c r="AA58" s="1">
        <f t="shared" si="53"/>
        <v>-52</v>
      </c>
      <c r="AB58" s="1">
        <f t="shared" si="54"/>
        <v>-52</v>
      </c>
      <c r="AC58" s="4">
        <f t="shared" si="55"/>
        <v>-52</v>
      </c>
      <c r="AE58" s="3">
        <f t="shared" si="56"/>
        <v>-60</v>
      </c>
      <c r="AF58" s="1">
        <f t="shared" si="57"/>
        <v>-60</v>
      </c>
      <c r="AG58" s="1">
        <f t="shared" si="58"/>
        <v>-60</v>
      </c>
      <c r="AH58" s="1">
        <f t="shared" si="59"/>
        <v>-61</v>
      </c>
      <c r="AI58" s="1">
        <f t="shared" si="60"/>
        <v>-56</v>
      </c>
      <c r="AJ58" s="1">
        <f t="shared" si="61"/>
        <v>-59</v>
      </c>
      <c r="AK58" s="1">
        <f t="shared" si="62"/>
        <v>-62</v>
      </c>
      <c r="AL58" s="4">
        <f t="shared" si="63"/>
        <v>-62</v>
      </c>
      <c r="AN58" s="3">
        <f t="shared" si="64"/>
        <v>-64</v>
      </c>
      <c r="AO58" s="1">
        <f t="shared" si="65"/>
        <v>-64</v>
      </c>
      <c r="AP58" s="1">
        <f t="shared" si="66"/>
        <v>-66</v>
      </c>
      <c r="AQ58" s="1">
        <f t="shared" si="67"/>
        <v>-65</v>
      </c>
      <c r="AR58" s="1">
        <f t="shared" si="68"/>
        <v>-59</v>
      </c>
      <c r="AS58" s="1">
        <f t="shared" si="69"/>
        <v>-62</v>
      </c>
      <c r="AT58" s="1">
        <f t="shared" si="70"/>
        <v>-66</v>
      </c>
      <c r="AU58" s="4">
        <f t="shared" si="71"/>
        <v>-66</v>
      </c>
      <c r="AW58" s="3">
        <f t="shared" si="72"/>
        <v>-69</v>
      </c>
      <c r="AX58" s="1">
        <f t="shared" si="73"/>
        <v>-69</v>
      </c>
      <c r="AY58" s="1">
        <f t="shared" si="74"/>
        <v>-68</v>
      </c>
      <c r="AZ58" s="1">
        <f t="shared" si="75"/>
        <v>-70</v>
      </c>
      <c r="BA58" s="1">
        <f t="shared" si="76"/>
        <v>-64</v>
      </c>
      <c r="BB58" s="1">
        <f t="shared" si="77"/>
        <v>-67</v>
      </c>
      <c r="BC58" s="1">
        <f t="shared" si="78"/>
        <v>-70</v>
      </c>
      <c r="BD58" s="4">
        <f t="shared" si="79"/>
        <v>-70</v>
      </c>
      <c r="BF58" s="3">
        <v>-3</v>
      </c>
      <c r="BG58" s="1">
        <v>-3</v>
      </c>
      <c r="BH58" s="1">
        <v>-4</v>
      </c>
      <c r="BI58" s="1">
        <v>-5</v>
      </c>
      <c r="BJ58" s="1">
        <v>-4</v>
      </c>
      <c r="BK58" s="1">
        <v>-4</v>
      </c>
      <c r="BL58" s="1">
        <v>-4</v>
      </c>
      <c r="BM58" s="4">
        <v>-4</v>
      </c>
      <c r="BO58" s="3">
        <v>-9</v>
      </c>
      <c r="BP58" s="1">
        <v>-9</v>
      </c>
      <c r="BQ58" s="1">
        <v>-11</v>
      </c>
      <c r="BR58" s="1">
        <v>-12</v>
      </c>
      <c r="BS58" s="1">
        <v>-13</v>
      </c>
      <c r="BT58" s="1">
        <v>-11</v>
      </c>
      <c r="BU58" s="1">
        <v>-9</v>
      </c>
      <c r="BV58" s="4">
        <v>-7</v>
      </c>
      <c r="BX58" s="3">
        <v>-22</v>
      </c>
      <c r="BY58" s="1">
        <v>-22</v>
      </c>
      <c r="BZ58" s="1">
        <v>-22</v>
      </c>
      <c r="CA58" s="1">
        <v>-24</v>
      </c>
      <c r="CB58" s="1">
        <v>-21</v>
      </c>
      <c r="CC58" s="1">
        <v>-22</v>
      </c>
      <c r="CD58" s="1">
        <v>-23</v>
      </c>
      <c r="CE58" s="4">
        <v>-21</v>
      </c>
      <c r="CG58" s="3">
        <v>-4</v>
      </c>
      <c r="CH58" s="1">
        <v>-4</v>
      </c>
      <c r="CI58" s="1">
        <v>-6</v>
      </c>
      <c r="CJ58" s="1">
        <v>-4</v>
      </c>
      <c r="CK58" s="1">
        <v>-3</v>
      </c>
      <c r="CL58" s="1">
        <v>-3</v>
      </c>
      <c r="CM58" s="1">
        <v>-4</v>
      </c>
      <c r="CN58" s="4">
        <v>-4</v>
      </c>
      <c r="CP58" s="3">
        <v>-9</v>
      </c>
      <c r="CQ58" s="1">
        <v>-9</v>
      </c>
      <c r="CR58" s="1">
        <v>-8</v>
      </c>
      <c r="CS58" s="1">
        <v>-9</v>
      </c>
      <c r="CT58" s="1">
        <v>-8</v>
      </c>
      <c r="CU58" s="1">
        <v>-8</v>
      </c>
      <c r="CV58" s="1">
        <v>-8</v>
      </c>
      <c r="CW58" s="4">
        <v>-8</v>
      </c>
    </row>
    <row r="59" spans="1:101">
      <c r="A59" s="8" t="str">
        <f>VLOOKUP(B59,List!W:X,2,1)</f>
        <v>0.38 - 0.39</v>
      </c>
      <c r="B59" s="8">
        <v>0.38</v>
      </c>
      <c r="C59" s="8" t="s">
        <v>8</v>
      </c>
      <c r="D59" s="3">
        <v>-43</v>
      </c>
      <c r="E59" s="1">
        <v>-43</v>
      </c>
      <c r="F59" s="1">
        <v>-45</v>
      </c>
      <c r="G59" s="1">
        <v>-46</v>
      </c>
      <c r="H59" s="1">
        <v>-46</v>
      </c>
      <c r="I59" s="1">
        <v>-42</v>
      </c>
      <c r="J59" s="1">
        <v>-47</v>
      </c>
      <c r="K59" s="4">
        <v>-46</v>
      </c>
      <c r="M59" s="3">
        <f t="shared" si="40"/>
        <v>-52</v>
      </c>
      <c r="N59" s="1">
        <f t="shared" si="41"/>
        <v>-52</v>
      </c>
      <c r="O59" s="1">
        <f t="shared" si="42"/>
        <v>-50</v>
      </c>
      <c r="P59" s="1">
        <f t="shared" si="43"/>
        <v>-51</v>
      </c>
      <c r="Q59" s="1">
        <f t="shared" si="44"/>
        <v>-51</v>
      </c>
      <c r="R59" s="1">
        <f t="shared" si="45"/>
        <v>-47</v>
      </c>
      <c r="S59" s="1">
        <f t="shared" si="46"/>
        <v>-50</v>
      </c>
      <c r="T59" s="4">
        <f t="shared" si="47"/>
        <v>-50</v>
      </c>
      <c r="V59" s="3">
        <f t="shared" si="48"/>
        <v>-64</v>
      </c>
      <c r="W59" s="1">
        <f t="shared" si="49"/>
        <v>-64</v>
      </c>
      <c r="X59" s="1">
        <f t="shared" si="50"/>
        <v>-59</v>
      </c>
      <c r="Y59" s="1">
        <f t="shared" si="51"/>
        <v>-60</v>
      </c>
      <c r="Z59" s="1">
        <f t="shared" si="52"/>
        <v>-59</v>
      </c>
      <c r="AA59" s="1">
        <f t="shared" si="53"/>
        <v>-54</v>
      </c>
      <c r="AB59" s="1">
        <f t="shared" si="54"/>
        <v>-55</v>
      </c>
      <c r="AC59" s="4">
        <f t="shared" si="55"/>
        <v>-56</v>
      </c>
      <c r="AE59" s="3">
        <f t="shared" si="56"/>
        <v>-77</v>
      </c>
      <c r="AF59" s="1">
        <f t="shared" si="57"/>
        <v>-77</v>
      </c>
      <c r="AG59" s="1">
        <f t="shared" si="58"/>
        <v>-75</v>
      </c>
      <c r="AH59" s="1">
        <f t="shared" si="59"/>
        <v>-76</v>
      </c>
      <c r="AI59" s="1">
        <f t="shared" si="60"/>
        <v>-74</v>
      </c>
      <c r="AJ59" s="1">
        <f t="shared" si="61"/>
        <v>-70</v>
      </c>
      <c r="AK59" s="1">
        <f t="shared" si="62"/>
        <v>-75</v>
      </c>
      <c r="AL59" s="4">
        <f t="shared" si="63"/>
        <v>-75</v>
      </c>
      <c r="AN59" s="3">
        <f t="shared" si="64"/>
        <v>-79</v>
      </c>
      <c r="AO59" s="1">
        <f t="shared" si="65"/>
        <v>-79</v>
      </c>
      <c r="AP59" s="1">
        <f t="shared" si="66"/>
        <v>-79</v>
      </c>
      <c r="AQ59" s="1">
        <f t="shared" si="67"/>
        <v>-80</v>
      </c>
      <c r="AR59" s="1">
        <f t="shared" si="68"/>
        <v>-76</v>
      </c>
      <c r="AS59" s="1">
        <f t="shared" si="69"/>
        <v>-74</v>
      </c>
      <c r="AT59" s="1">
        <f t="shared" si="70"/>
        <v>-80</v>
      </c>
      <c r="AU59" s="4">
        <f t="shared" si="71"/>
        <v>-79</v>
      </c>
      <c r="AW59" s="3">
        <f t="shared" si="72"/>
        <v>-83</v>
      </c>
      <c r="AX59" s="1">
        <f t="shared" si="73"/>
        <v>-83</v>
      </c>
      <c r="AY59" s="1">
        <f t="shared" si="74"/>
        <v>-83</v>
      </c>
      <c r="AZ59" s="1">
        <f t="shared" si="75"/>
        <v>-83</v>
      </c>
      <c r="BA59" s="1">
        <f t="shared" si="76"/>
        <v>-78</v>
      </c>
      <c r="BB59" s="1">
        <f t="shared" si="77"/>
        <v>-77</v>
      </c>
      <c r="BC59" s="1">
        <f t="shared" si="78"/>
        <v>-84</v>
      </c>
      <c r="BD59" s="4">
        <f t="shared" si="79"/>
        <v>-81</v>
      </c>
      <c r="BF59" s="3">
        <v>-9</v>
      </c>
      <c r="BG59" s="1">
        <v>-9</v>
      </c>
      <c r="BH59" s="1">
        <v>-5</v>
      </c>
      <c r="BI59" s="1">
        <v>-5</v>
      </c>
      <c r="BJ59" s="1">
        <v>-5</v>
      </c>
      <c r="BK59" s="1">
        <v>-5</v>
      </c>
      <c r="BL59" s="1">
        <v>-3</v>
      </c>
      <c r="BM59" s="4">
        <v>-4</v>
      </c>
      <c r="BO59" s="3">
        <v>-12</v>
      </c>
      <c r="BP59" s="1">
        <v>-12</v>
      </c>
      <c r="BQ59" s="1">
        <v>-9</v>
      </c>
      <c r="BR59" s="1">
        <v>-9</v>
      </c>
      <c r="BS59" s="1">
        <v>-8</v>
      </c>
      <c r="BT59" s="1">
        <v>-7</v>
      </c>
      <c r="BU59" s="1">
        <v>-5</v>
      </c>
      <c r="BV59" s="4">
        <v>-6</v>
      </c>
      <c r="BX59" s="3">
        <v>-34</v>
      </c>
      <c r="BY59" s="1">
        <v>-34</v>
      </c>
      <c r="BZ59" s="1">
        <v>-30</v>
      </c>
      <c r="CA59" s="1">
        <v>-30</v>
      </c>
      <c r="CB59" s="1">
        <v>-28</v>
      </c>
      <c r="CC59" s="1">
        <v>-28</v>
      </c>
      <c r="CD59" s="1">
        <v>-28</v>
      </c>
      <c r="CE59" s="4">
        <v>-29</v>
      </c>
      <c r="CG59" s="3">
        <v>-2</v>
      </c>
      <c r="CH59" s="1">
        <v>-2</v>
      </c>
      <c r="CI59" s="1">
        <v>-4</v>
      </c>
      <c r="CJ59" s="1">
        <v>-4</v>
      </c>
      <c r="CK59" s="1">
        <v>-2</v>
      </c>
      <c r="CL59" s="1">
        <v>-4</v>
      </c>
      <c r="CM59" s="1">
        <v>-5</v>
      </c>
      <c r="CN59" s="4">
        <v>-4</v>
      </c>
      <c r="CP59" s="3">
        <v>-6</v>
      </c>
      <c r="CQ59" s="1">
        <v>-6</v>
      </c>
      <c r="CR59" s="1">
        <v>-8</v>
      </c>
      <c r="CS59" s="1">
        <v>-7</v>
      </c>
      <c r="CT59" s="1">
        <v>-4</v>
      </c>
      <c r="CU59" s="1">
        <v>-7</v>
      </c>
      <c r="CV59" s="1">
        <v>-9</v>
      </c>
      <c r="CW59" s="4">
        <v>-6</v>
      </c>
    </row>
    <row r="60" spans="1:101">
      <c r="A60" s="8" t="str">
        <f>VLOOKUP(B60,List!W:X,2,1)</f>
        <v>0.38 - 0.39</v>
      </c>
      <c r="B60" s="8">
        <v>0.38</v>
      </c>
      <c r="C60" s="8" t="s">
        <v>9</v>
      </c>
      <c r="D60" s="3">
        <v>-48</v>
      </c>
      <c r="E60" s="1">
        <v>-48</v>
      </c>
      <c r="F60" s="1">
        <v>-46</v>
      </c>
      <c r="G60" s="1">
        <v>-49</v>
      </c>
      <c r="H60" s="1">
        <v>-48</v>
      </c>
      <c r="I60" s="1">
        <v>-47</v>
      </c>
      <c r="J60" s="1">
        <v>-51</v>
      </c>
      <c r="K60" s="4">
        <v>-50</v>
      </c>
      <c r="M60" s="3">
        <f t="shared" si="40"/>
        <v>-56</v>
      </c>
      <c r="N60" s="1">
        <f t="shared" si="41"/>
        <v>-56</v>
      </c>
      <c r="O60" s="1">
        <f t="shared" si="42"/>
        <v>-55</v>
      </c>
      <c r="P60" s="1">
        <f t="shared" si="43"/>
        <v>-54</v>
      </c>
      <c r="Q60" s="1">
        <f t="shared" si="44"/>
        <v>-52</v>
      </c>
      <c r="R60" s="1">
        <f t="shared" si="45"/>
        <v>-50</v>
      </c>
      <c r="S60" s="1">
        <f t="shared" si="46"/>
        <v>-55</v>
      </c>
      <c r="T60" s="4">
        <f t="shared" si="47"/>
        <v>-55</v>
      </c>
      <c r="V60" s="3">
        <f t="shared" si="48"/>
        <v>-68</v>
      </c>
      <c r="W60" s="1">
        <f t="shared" si="49"/>
        <v>-68</v>
      </c>
      <c r="X60" s="1">
        <f t="shared" si="50"/>
        <v>-68</v>
      </c>
      <c r="Y60" s="1">
        <f t="shared" si="51"/>
        <v>-61</v>
      </c>
      <c r="Z60" s="1">
        <f t="shared" si="52"/>
        <v>-58</v>
      </c>
      <c r="AA60" s="1">
        <f t="shared" si="53"/>
        <v>-56</v>
      </c>
      <c r="AB60" s="1">
        <f t="shared" si="54"/>
        <v>-62</v>
      </c>
      <c r="AC60" s="4">
        <f t="shared" si="55"/>
        <v>-63</v>
      </c>
      <c r="AE60" s="3">
        <f t="shared" si="56"/>
        <v>-80</v>
      </c>
      <c r="AF60" s="1">
        <f t="shared" si="57"/>
        <v>-80</v>
      </c>
      <c r="AG60" s="1">
        <f t="shared" si="58"/>
        <v>-75</v>
      </c>
      <c r="AH60" s="1">
        <f t="shared" si="59"/>
        <v>-77</v>
      </c>
      <c r="AI60" s="1">
        <f t="shared" si="60"/>
        <v>-74</v>
      </c>
      <c r="AJ60" s="1">
        <f t="shared" si="61"/>
        <v>-75</v>
      </c>
      <c r="AK60" s="1">
        <f t="shared" si="62"/>
        <v>-80</v>
      </c>
      <c r="AL60" s="4">
        <f t="shared" si="63"/>
        <v>-79</v>
      </c>
      <c r="AN60" s="3">
        <f t="shared" si="64"/>
        <v>-83</v>
      </c>
      <c r="AO60" s="1">
        <f t="shared" si="65"/>
        <v>-83</v>
      </c>
      <c r="AP60" s="1">
        <f t="shared" si="66"/>
        <v>-78</v>
      </c>
      <c r="AQ60" s="1">
        <f t="shared" si="67"/>
        <v>-79</v>
      </c>
      <c r="AR60" s="1">
        <f t="shared" si="68"/>
        <v>-77</v>
      </c>
      <c r="AS60" s="1">
        <f t="shared" si="69"/>
        <v>-78</v>
      </c>
      <c r="AT60" s="1">
        <f t="shared" si="70"/>
        <v>-83</v>
      </c>
      <c r="AU60" s="4">
        <f t="shared" si="71"/>
        <v>-82</v>
      </c>
      <c r="AW60" s="3">
        <f t="shared" si="72"/>
        <v>-86</v>
      </c>
      <c r="AX60" s="1">
        <f t="shared" si="73"/>
        <v>-86</v>
      </c>
      <c r="AY60" s="1">
        <f t="shared" si="74"/>
        <v>-82</v>
      </c>
      <c r="AZ60" s="1">
        <f t="shared" si="75"/>
        <v>-83</v>
      </c>
      <c r="BA60" s="1">
        <f t="shared" si="76"/>
        <v>-80</v>
      </c>
      <c r="BB60" s="1">
        <f t="shared" si="77"/>
        <v>-82</v>
      </c>
      <c r="BC60" s="1">
        <f t="shared" si="78"/>
        <v>-87</v>
      </c>
      <c r="BD60" s="4">
        <f t="shared" si="79"/>
        <v>-87</v>
      </c>
      <c r="BF60" s="3">
        <v>-8</v>
      </c>
      <c r="BG60" s="1">
        <v>-8</v>
      </c>
      <c r="BH60" s="1">
        <v>-9</v>
      </c>
      <c r="BI60" s="1">
        <v>-5</v>
      </c>
      <c r="BJ60" s="1">
        <v>-4</v>
      </c>
      <c r="BK60" s="1">
        <v>-3</v>
      </c>
      <c r="BL60" s="1">
        <v>-4</v>
      </c>
      <c r="BM60" s="4">
        <v>-5</v>
      </c>
      <c r="BO60" s="3">
        <v>-12</v>
      </c>
      <c r="BP60" s="1">
        <v>-12</v>
      </c>
      <c r="BQ60" s="1">
        <v>-13</v>
      </c>
      <c r="BR60" s="1">
        <v>-7</v>
      </c>
      <c r="BS60" s="1">
        <v>-6</v>
      </c>
      <c r="BT60" s="1">
        <v>-6</v>
      </c>
      <c r="BU60" s="1">
        <v>-7</v>
      </c>
      <c r="BV60" s="4">
        <v>-8</v>
      </c>
      <c r="BX60" s="3">
        <v>-32</v>
      </c>
      <c r="BY60" s="1">
        <v>-32</v>
      </c>
      <c r="BZ60" s="1">
        <v>-29</v>
      </c>
      <c r="CA60" s="1">
        <v>-28</v>
      </c>
      <c r="CB60" s="1">
        <v>-26</v>
      </c>
      <c r="CC60" s="1">
        <v>-28</v>
      </c>
      <c r="CD60" s="1">
        <v>-29</v>
      </c>
      <c r="CE60" s="4">
        <v>-29</v>
      </c>
      <c r="CG60" s="3">
        <v>-3</v>
      </c>
      <c r="CH60" s="1">
        <v>-3</v>
      </c>
      <c r="CI60" s="1">
        <v>-3</v>
      </c>
      <c r="CJ60" s="1">
        <v>-2</v>
      </c>
      <c r="CK60" s="1">
        <v>-3</v>
      </c>
      <c r="CL60" s="1">
        <v>-3</v>
      </c>
      <c r="CM60" s="1">
        <v>-3</v>
      </c>
      <c r="CN60" s="4">
        <v>-3</v>
      </c>
      <c r="CP60" s="3">
        <v>-6</v>
      </c>
      <c r="CQ60" s="1">
        <v>-6</v>
      </c>
      <c r="CR60" s="1">
        <v>-7</v>
      </c>
      <c r="CS60" s="1">
        <v>-6</v>
      </c>
      <c r="CT60" s="1">
        <v>-6</v>
      </c>
      <c r="CU60" s="1">
        <v>-7</v>
      </c>
      <c r="CV60" s="1">
        <v>-7</v>
      </c>
      <c r="CW60" s="4">
        <v>-8</v>
      </c>
    </row>
    <row r="61" spans="1:101">
      <c r="A61" s="8" t="str">
        <f>VLOOKUP(B61,List!W:X,2,1)</f>
        <v>0.38 - 0.39</v>
      </c>
      <c r="B61" s="8">
        <v>0.38</v>
      </c>
      <c r="C61" s="8" t="s">
        <v>10</v>
      </c>
      <c r="D61" s="3">
        <v>-48</v>
      </c>
      <c r="E61" s="1">
        <v>-48</v>
      </c>
      <c r="F61" s="1">
        <v>-47</v>
      </c>
      <c r="G61" s="1">
        <v>-50</v>
      </c>
      <c r="H61" s="1">
        <v>-46</v>
      </c>
      <c r="I61" s="1">
        <v>-44</v>
      </c>
      <c r="J61" s="1">
        <v>-48</v>
      </c>
      <c r="K61" s="4">
        <v>-47</v>
      </c>
      <c r="M61" s="3">
        <f t="shared" si="40"/>
        <v>-55</v>
      </c>
      <c r="N61" s="1">
        <f t="shared" si="41"/>
        <v>-55</v>
      </c>
      <c r="O61" s="1">
        <f t="shared" si="42"/>
        <v>-55</v>
      </c>
      <c r="P61" s="1">
        <f t="shared" si="43"/>
        <v>-54</v>
      </c>
      <c r="Q61" s="1">
        <f t="shared" si="44"/>
        <v>-50</v>
      </c>
      <c r="R61" s="1">
        <f t="shared" si="45"/>
        <v>-48</v>
      </c>
      <c r="S61" s="1">
        <f t="shared" si="46"/>
        <v>-53</v>
      </c>
      <c r="T61" s="4">
        <f t="shared" si="47"/>
        <v>-52</v>
      </c>
      <c r="V61" s="3">
        <f t="shared" si="48"/>
        <v>-66</v>
      </c>
      <c r="W61" s="1">
        <f t="shared" si="49"/>
        <v>-66</v>
      </c>
      <c r="X61" s="1">
        <f t="shared" si="50"/>
        <v>-66</v>
      </c>
      <c r="Y61" s="1">
        <f t="shared" si="51"/>
        <v>-60</v>
      </c>
      <c r="Z61" s="1">
        <f t="shared" si="52"/>
        <v>-56</v>
      </c>
      <c r="AA61" s="1">
        <f t="shared" si="53"/>
        <v>-54</v>
      </c>
      <c r="AB61" s="1">
        <f t="shared" si="54"/>
        <v>-62</v>
      </c>
      <c r="AC61" s="4">
        <f t="shared" si="55"/>
        <v>-60</v>
      </c>
      <c r="AE61" s="3">
        <f t="shared" si="56"/>
        <v>-78</v>
      </c>
      <c r="AF61" s="1">
        <f t="shared" si="57"/>
        <v>-78</v>
      </c>
      <c r="AG61" s="1">
        <f t="shared" si="58"/>
        <v>-73</v>
      </c>
      <c r="AH61" s="1">
        <f t="shared" si="59"/>
        <v>-75</v>
      </c>
      <c r="AI61" s="1">
        <f t="shared" si="60"/>
        <v>-71</v>
      </c>
      <c r="AJ61" s="1">
        <f t="shared" si="61"/>
        <v>-69</v>
      </c>
      <c r="AK61" s="1">
        <f t="shared" si="62"/>
        <v>-77</v>
      </c>
      <c r="AL61" s="4">
        <f t="shared" si="63"/>
        <v>-76</v>
      </c>
      <c r="AN61" s="3">
        <f t="shared" si="64"/>
        <v>-81</v>
      </c>
      <c r="AO61" s="1">
        <f t="shared" si="65"/>
        <v>-81</v>
      </c>
      <c r="AP61" s="1">
        <f t="shared" si="66"/>
        <v>-75</v>
      </c>
      <c r="AQ61" s="1">
        <f t="shared" si="67"/>
        <v>-77</v>
      </c>
      <c r="AR61" s="1">
        <f t="shared" si="68"/>
        <v>-74</v>
      </c>
      <c r="AS61" s="1">
        <f t="shared" si="69"/>
        <v>-71</v>
      </c>
      <c r="AT61" s="1">
        <f t="shared" si="70"/>
        <v>-80</v>
      </c>
      <c r="AU61" s="4">
        <f t="shared" si="71"/>
        <v>-79</v>
      </c>
      <c r="AW61" s="3">
        <f t="shared" si="72"/>
        <v>-84</v>
      </c>
      <c r="AX61" s="1">
        <f t="shared" si="73"/>
        <v>-84</v>
      </c>
      <c r="AY61" s="1">
        <f t="shared" si="74"/>
        <v>-78</v>
      </c>
      <c r="AZ61" s="1">
        <f t="shared" si="75"/>
        <v>-80</v>
      </c>
      <c r="BA61" s="1">
        <f t="shared" si="76"/>
        <v>-77</v>
      </c>
      <c r="BB61" s="1">
        <f t="shared" si="77"/>
        <v>-74</v>
      </c>
      <c r="BC61" s="1">
        <f t="shared" si="78"/>
        <v>-86</v>
      </c>
      <c r="BD61" s="4">
        <f t="shared" si="79"/>
        <v>-83</v>
      </c>
      <c r="BF61" s="3">
        <v>-7</v>
      </c>
      <c r="BG61" s="1">
        <v>-7</v>
      </c>
      <c r="BH61" s="1">
        <v>-8</v>
      </c>
      <c r="BI61" s="1">
        <v>-4</v>
      </c>
      <c r="BJ61" s="1">
        <v>-4</v>
      </c>
      <c r="BK61" s="1">
        <v>-4</v>
      </c>
      <c r="BL61" s="1">
        <v>-5</v>
      </c>
      <c r="BM61" s="4">
        <v>-5</v>
      </c>
      <c r="BO61" s="3">
        <v>-11</v>
      </c>
      <c r="BP61" s="1">
        <v>-11</v>
      </c>
      <c r="BQ61" s="1">
        <v>-11</v>
      </c>
      <c r="BR61" s="1">
        <v>-6</v>
      </c>
      <c r="BS61" s="1">
        <v>-6</v>
      </c>
      <c r="BT61" s="1">
        <v>-6</v>
      </c>
      <c r="BU61" s="1">
        <v>-9</v>
      </c>
      <c r="BV61" s="4">
        <v>-8</v>
      </c>
      <c r="BX61" s="3">
        <v>-30</v>
      </c>
      <c r="BY61" s="1">
        <v>-30</v>
      </c>
      <c r="BZ61" s="1">
        <v>-26</v>
      </c>
      <c r="CA61" s="1">
        <v>-25</v>
      </c>
      <c r="CB61" s="1">
        <v>-25</v>
      </c>
      <c r="CC61" s="1">
        <v>-25</v>
      </c>
      <c r="CD61" s="1">
        <v>-29</v>
      </c>
      <c r="CE61" s="4">
        <v>-29</v>
      </c>
      <c r="CG61" s="3">
        <v>-3</v>
      </c>
      <c r="CH61" s="1">
        <v>-3</v>
      </c>
      <c r="CI61" s="1">
        <v>-2</v>
      </c>
      <c r="CJ61" s="1">
        <v>-2</v>
      </c>
      <c r="CK61" s="1">
        <v>-3</v>
      </c>
      <c r="CL61" s="1">
        <v>-2</v>
      </c>
      <c r="CM61" s="1">
        <v>-3</v>
      </c>
      <c r="CN61" s="4">
        <v>-3</v>
      </c>
      <c r="CP61" s="3">
        <v>-6</v>
      </c>
      <c r="CQ61" s="1">
        <v>-6</v>
      </c>
      <c r="CR61" s="1">
        <v>-5</v>
      </c>
      <c r="CS61" s="1">
        <v>-5</v>
      </c>
      <c r="CT61" s="1">
        <v>-6</v>
      </c>
      <c r="CU61" s="1">
        <v>-5</v>
      </c>
      <c r="CV61" s="1">
        <v>-9</v>
      </c>
      <c r="CW61" s="4">
        <v>-7</v>
      </c>
    </row>
    <row r="62" spans="1:101">
      <c r="A62" s="8" t="str">
        <f>VLOOKUP(B62,List!W:X,2,1)</f>
        <v>0.38 - 0.39</v>
      </c>
      <c r="B62" s="8">
        <v>0.38</v>
      </c>
      <c r="C62" s="8" t="s">
        <v>11</v>
      </c>
      <c r="D62" s="3">
        <v>-54</v>
      </c>
      <c r="E62" s="1">
        <v>-54</v>
      </c>
      <c r="F62" s="1">
        <v>-51</v>
      </c>
      <c r="G62" s="1">
        <v>-48</v>
      </c>
      <c r="H62" s="1">
        <v>-46</v>
      </c>
      <c r="I62" s="1">
        <v>-43</v>
      </c>
      <c r="J62" s="1">
        <v>-48</v>
      </c>
      <c r="K62" s="4">
        <v>-47</v>
      </c>
      <c r="M62" s="3">
        <f t="shared" si="40"/>
        <v>-57</v>
      </c>
      <c r="N62" s="1">
        <f t="shared" si="41"/>
        <v>-57</v>
      </c>
      <c r="O62" s="1">
        <f t="shared" si="42"/>
        <v>-55</v>
      </c>
      <c r="P62" s="1">
        <f t="shared" si="43"/>
        <v>-51</v>
      </c>
      <c r="Q62" s="1">
        <f t="shared" si="44"/>
        <v>-48</v>
      </c>
      <c r="R62" s="1">
        <f t="shared" si="45"/>
        <v>-47</v>
      </c>
      <c r="S62" s="1">
        <f t="shared" si="46"/>
        <v>-53</v>
      </c>
      <c r="T62" s="4">
        <f t="shared" si="47"/>
        <v>-52</v>
      </c>
      <c r="V62" s="3">
        <f t="shared" si="48"/>
        <v>-63</v>
      </c>
      <c r="W62" s="1">
        <f t="shared" si="49"/>
        <v>-63</v>
      </c>
      <c r="X62" s="1">
        <f t="shared" si="50"/>
        <v>-63</v>
      </c>
      <c r="Y62" s="1">
        <f t="shared" si="51"/>
        <v>-58</v>
      </c>
      <c r="Z62" s="1">
        <f t="shared" si="52"/>
        <v>-55</v>
      </c>
      <c r="AA62" s="1">
        <f t="shared" si="53"/>
        <v>-54</v>
      </c>
      <c r="AB62" s="1">
        <f t="shared" si="54"/>
        <v>-62</v>
      </c>
      <c r="AC62" s="4">
        <f t="shared" si="55"/>
        <v>-60</v>
      </c>
      <c r="AE62" s="3">
        <f t="shared" si="56"/>
        <v>-83</v>
      </c>
      <c r="AF62" s="1">
        <f t="shared" si="57"/>
        <v>-83</v>
      </c>
      <c r="AG62" s="1">
        <f t="shared" si="58"/>
        <v>-80</v>
      </c>
      <c r="AH62" s="1">
        <f t="shared" si="59"/>
        <v>-75</v>
      </c>
      <c r="AI62" s="1">
        <f t="shared" si="60"/>
        <v>-72</v>
      </c>
      <c r="AJ62" s="1">
        <f t="shared" si="61"/>
        <v>-67</v>
      </c>
      <c r="AK62" s="1">
        <f t="shared" si="62"/>
        <v>-75</v>
      </c>
      <c r="AL62" s="4">
        <f t="shared" si="63"/>
        <v>-75</v>
      </c>
      <c r="AN62" s="3">
        <f t="shared" si="64"/>
        <v>-87</v>
      </c>
      <c r="AO62" s="1">
        <f t="shared" si="65"/>
        <v>-87</v>
      </c>
      <c r="AP62" s="1">
        <f t="shared" si="66"/>
        <v>-84</v>
      </c>
      <c r="AQ62" s="1">
        <f t="shared" si="67"/>
        <v>-78</v>
      </c>
      <c r="AR62" s="1">
        <f t="shared" si="68"/>
        <v>-75</v>
      </c>
      <c r="AS62" s="1">
        <f t="shared" si="69"/>
        <v>-69</v>
      </c>
      <c r="AT62" s="1">
        <f t="shared" si="70"/>
        <v>-78</v>
      </c>
      <c r="AU62" s="4">
        <f t="shared" si="71"/>
        <v>-79</v>
      </c>
      <c r="AW62" s="3">
        <f t="shared" si="72"/>
        <v>-90</v>
      </c>
      <c r="AX62" s="1">
        <f t="shared" si="73"/>
        <v>-90</v>
      </c>
      <c r="AY62" s="1">
        <f t="shared" si="74"/>
        <v>-87</v>
      </c>
      <c r="AZ62" s="1">
        <f t="shared" si="75"/>
        <v>-82</v>
      </c>
      <c r="BA62" s="1">
        <f t="shared" si="76"/>
        <v>-77</v>
      </c>
      <c r="BB62" s="1">
        <f t="shared" si="77"/>
        <v>-74</v>
      </c>
      <c r="BC62" s="1">
        <f t="shared" si="78"/>
        <v>-84</v>
      </c>
      <c r="BD62" s="4">
        <f t="shared" si="79"/>
        <v>-83</v>
      </c>
      <c r="BF62" s="3">
        <v>-3</v>
      </c>
      <c r="BG62" s="1">
        <v>-3</v>
      </c>
      <c r="BH62" s="1">
        <v>-4</v>
      </c>
      <c r="BI62" s="1">
        <v>-3</v>
      </c>
      <c r="BJ62" s="1">
        <v>-2</v>
      </c>
      <c r="BK62" s="1">
        <v>-4</v>
      </c>
      <c r="BL62" s="1">
        <v>-5</v>
      </c>
      <c r="BM62" s="4">
        <v>-5</v>
      </c>
      <c r="BO62" s="3">
        <v>-6</v>
      </c>
      <c r="BP62" s="1">
        <v>-6</v>
      </c>
      <c r="BQ62" s="1">
        <v>-8</v>
      </c>
      <c r="BR62" s="1">
        <v>-7</v>
      </c>
      <c r="BS62" s="1">
        <v>-7</v>
      </c>
      <c r="BT62" s="1">
        <v>-7</v>
      </c>
      <c r="BU62" s="1">
        <v>-9</v>
      </c>
      <c r="BV62" s="4">
        <v>-8</v>
      </c>
      <c r="BX62" s="3">
        <v>-29</v>
      </c>
      <c r="BY62" s="1">
        <v>-29</v>
      </c>
      <c r="BZ62" s="1">
        <v>-29</v>
      </c>
      <c r="CA62" s="1">
        <v>-27</v>
      </c>
      <c r="CB62" s="1">
        <v>-26</v>
      </c>
      <c r="CC62" s="1">
        <v>-24</v>
      </c>
      <c r="CD62" s="1">
        <v>-27</v>
      </c>
      <c r="CE62" s="4">
        <v>-28</v>
      </c>
      <c r="CG62" s="3">
        <v>-4</v>
      </c>
      <c r="CH62" s="1">
        <v>-4</v>
      </c>
      <c r="CI62" s="1">
        <v>-4</v>
      </c>
      <c r="CJ62" s="1">
        <v>-3</v>
      </c>
      <c r="CK62" s="1">
        <v>-3</v>
      </c>
      <c r="CL62" s="1">
        <v>-2</v>
      </c>
      <c r="CM62" s="1">
        <v>-3</v>
      </c>
      <c r="CN62" s="4">
        <v>-4</v>
      </c>
      <c r="CP62" s="3">
        <v>-7</v>
      </c>
      <c r="CQ62" s="1">
        <v>-7</v>
      </c>
      <c r="CR62" s="1">
        <v>-7</v>
      </c>
      <c r="CS62" s="1">
        <v>-7</v>
      </c>
      <c r="CT62" s="1">
        <v>-5</v>
      </c>
      <c r="CU62" s="1">
        <v>-7</v>
      </c>
      <c r="CV62" s="1">
        <v>-9</v>
      </c>
      <c r="CW62" s="4">
        <v>-8</v>
      </c>
    </row>
    <row r="63" spans="1:101">
      <c r="A63" s="8" t="str">
        <f>VLOOKUP(B63,List!W:X,2,1)</f>
        <v>0.38 - 0.39</v>
      </c>
      <c r="B63" s="8">
        <v>0.38</v>
      </c>
      <c r="C63" s="8" t="s">
        <v>12</v>
      </c>
      <c r="D63" s="3">
        <v>-48</v>
      </c>
      <c r="E63" s="1">
        <v>-48</v>
      </c>
      <c r="F63" s="1">
        <v>-48</v>
      </c>
      <c r="G63" s="1">
        <v>-47</v>
      </c>
      <c r="H63" s="1">
        <v>-46</v>
      </c>
      <c r="I63" s="1">
        <v>-43</v>
      </c>
      <c r="J63" s="1">
        <v>-45</v>
      </c>
      <c r="K63" s="4">
        <v>-44</v>
      </c>
      <c r="M63" s="3">
        <f t="shared" si="40"/>
        <v>-52</v>
      </c>
      <c r="N63" s="1">
        <f t="shared" si="41"/>
        <v>-52</v>
      </c>
      <c r="O63" s="1">
        <f t="shared" si="42"/>
        <v>-53</v>
      </c>
      <c r="P63" s="1">
        <f t="shared" si="43"/>
        <v>-50</v>
      </c>
      <c r="Q63" s="1">
        <f t="shared" si="44"/>
        <v>-48</v>
      </c>
      <c r="R63" s="1">
        <f t="shared" si="45"/>
        <v>-46</v>
      </c>
      <c r="S63" s="1">
        <f t="shared" si="46"/>
        <v>-50</v>
      </c>
      <c r="T63" s="4">
        <f t="shared" si="47"/>
        <v>-49</v>
      </c>
      <c r="V63" s="3">
        <f t="shared" si="48"/>
        <v>-59</v>
      </c>
      <c r="W63" s="1">
        <f t="shared" si="49"/>
        <v>-59</v>
      </c>
      <c r="X63" s="1">
        <f t="shared" si="50"/>
        <v>-60</v>
      </c>
      <c r="Y63" s="1">
        <f t="shared" si="51"/>
        <v>-57</v>
      </c>
      <c r="Z63" s="1">
        <f t="shared" si="52"/>
        <v>-53</v>
      </c>
      <c r="AA63" s="1">
        <f t="shared" si="53"/>
        <v>-52</v>
      </c>
      <c r="AB63" s="1">
        <f t="shared" si="54"/>
        <v>-59</v>
      </c>
      <c r="AC63" s="4">
        <f t="shared" si="55"/>
        <v>-57</v>
      </c>
      <c r="AE63" s="3">
        <f t="shared" si="56"/>
        <v>-77</v>
      </c>
      <c r="AF63" s="1">
        <f t="shared" si="57"/>
        <v>-77</v>
      </c>
      <c r="AG63" s="1">
        <f t="shared" si="58"/>
        <v>-77</v>
      </c>
      <c r="AH63" s="1">
        <f t="shared" si="59"/>
        <v>-77</v>
      </c>
      <c r="AI63" s="1">
        <f t="shared" si="60"/>
        <v>-75</v>
      </c>
      <c r="AJ63" s="1">
        <f t="shared" si="61"/>
        <v>-72</v>
      </c>
      <c r="AK63" s="1">
        <f t="shared" si="62"/>
        <v>-72</v>
      </c>
      <c r="AL63" s="4">
        <f t="shared" si="63"/>
        <v>-71</v>
      </c>
      <c r="AN63" s="3">
        <f t="shared" si="64"/>
        <v>-80</v>
      </c>
      <c r="AO63" s="1">
        <f t="shared" si="65"/>
        <v>-80</v>
      </c>
      <c r="AP63" s="1">
        <f t="shared" si="66"/>
        <v>-81</v>
      </c>
      <c r="AQ63" s="1">
        <f t="shared" si="67"/>
        <v>-81</v>
      </c>
      <c r="AR63" s="1">
        <f t="shared" si="68"/>
        <v>-78</v>
      </c>
      <c r="AS63" s="1">
        <f t="shared" si="69"/>
        <v>-77</v>
      </c>
      <c r="AT63" s="1">
        <f t="shared" si="70"/>
        <v>-76</v>
      </c>
      <c r="AU63" s="4">
        <f t="shared" si="71"/>
        <v>-75</v>
      </c>
      <c r="AW63" s="3">
        <f t="shared" si="72"/>
        <v>-84</v>
      </c>
      <c r="AX63" s="1">
        <f t="shared" si="73"/>
        <v>-84</v>
      </c>
      <c r="AY63" s="1">
        <f t="shared" si="74"/>
        <v>-87</v>
      </c>
      <c r="AZ63" s="1">
        <f t="shared" si="75"/>
        <v>-87</v>
      </c>
      <c r="BA63" s="1">
        <f t="shared" si="76"/>
        <v>-83</v>
      </c>
      <c r="BB63" s="1">
        <f t="shared" si="77"/>
        <v>-83</v>
      </c>
      <c r="BC63" s="1">
        <f t="shared" si="78"/>
        <v>-80</v>
      </c>
      <c r="BD63" s="4">
        <f t="shared" si="79"/>
        <v>-77</v>
      </c>
      <c r="BF63" s="3">
        <v>-4</v>
      </c>
      <c r="BG63" s="1">
        <v>-4</v>
      </c>
      <c r="BH63" s="1">
        <v>-5</v>
      </c>
      <c r="BI63" s="1">
        <v>-3</v>
      </c>
      <c r="BJ63" s="1">
        <v>-2</v>
      </c>
      <c r="BK63" s="1">
        <v>-3</v>
      </c>
      <c r="BL63" s="1">
        <v>-5</v>
      </c>
      <c r="BM63" s="4">
        <v>-5</v>
      </c>
      <c r="BO63" s="3">
        <v>-7</v>
      </c>
      <c r="BP63" s="1">
        <v>-7</v>
      </c>
      <c r="BQ63" s="1">
        <v>-7</v>
      </c>
      <c r="BR63" s="1">
        <v>-7</v>
      </c>
      <c r="BS63" s="1">
        <v>-5</v>
      </c>
      <c r="BT63" s="1">
        <v>-6</v>
      </c>
      <c r="BU63" s="1">
        <v>-9</v>
      </c>
      <c r="BV63" s="4">
        <v>-8</v>
      </c>
      <c r="BX63" s="3">
        <v>-29</v>
      </c>
      <c r="BY63" s="1">
        <v>-29</v>
      </c>
      <c r="BZ63" s="1">
        <v>-29</v>
      </c>
      <c r="CA63" s="1">
        <v>-30</v>
      </c>
      <c r="CB63" s="1">
        <v>-29</v>
      </c>
      <c r="CC63" s="1">
        <v>-29</v>
      </c>
      <c r="CD63" s="1">
        <v>-27</v>
      </c>
      <c r="CE63" s="4">
        <v>-27</v>
      </c>
      <c r="CG63" s="3">
        <v>-3</v>
      </c>
      <c r="CH63" s="1">
        <v>-3</v>
      </c>
      <c r="CI63" s="1">
        <v>-4</v>
      </c>
      <c r="CJ63" s="1">
        <v>-4</v>
      </c>
      <c r="CK63" s="1">
        <v>-3</v>
      </c>
      <c r="CL63" s="1">
        <v>-5</v>
      </c>
      <c r="CM63" s="1">
        <v>-4</v>
      </c>
      <c r="CN63" s="4">
        <v>-4</v>
      </c>
      <c r="CP63" s="3">
        <v>-7</v>
      </c>
      <c r="CQ63" s="1">
        <v>-7</v>
      </c>
      <c r="CR63" s="1">
        <v>-10</v>
      </c>
      <c r="CS63" s="1">
        <v>-10</v>
      </c>
      <c r="CT63" s="1">
        <v>-8</v>
      </c>
      <c r="CU63" s="1">
        <v>-11</v>
      </c>
      <c r="CV63" s="1">
        <v>-8</v>
      </c>
      <c r="CW63" s="4">
        <v>-6</v>
      </c>
    </row>
    <row r="64" spans="1:101">
      <c r="A64" s="8" t="str">
        <f>VLOOKUP(B64,List!W:X,2,1)</f>
        <v>0.38 - 0.39</v>
      </c>
      <c r="B64" s="8">
        <v>0.38</v>
      </c>
      <c r="C64" s="8" t="s">
        <v>13</v>
      </c>
      <c r="D64" s="3">
        <v>-41</v>
      </c>
      <c r="E64" s="1">
        <v>-41</v>
      </c>
      <c r="F64" s="1">
        <v>-40</v>
      </c>
      <c r="G64" s="1">
        <v>-39</v>
      </c>
      <c r="H64" s="1">
        <v>-42</v>
      </c>
      <c r="I64" s="1">
        <v>-41</v>
      </c>
      <c r="J64" s="1">
        <v>-44</v>
      </c>
      <c r="K64" s="4">
        <v>-42</v>
      </c>
      <c r="M64" s="3">
        <f t="shared" si="40"/>
        <v>-46</v>
      </c>
      <c r="N64" s="1">
        <f t="shared" si="41"/>
        <v>-46</v>
      </c>
      <c r="O64" s="1">
        <f t="shared" si="42"/>
        <v>-46</v>
      </c>
      <c r="P64" s="1">
        <f t="shared" si="43"/>
        <v>-44</v>
      </c>
      <c r="Q64" s="1">
        <f t="shared" si="44"/>
        <v>-46</v>
      </c>
      <c r="R64" s="1">
        <f t="shared" si="45"/>
        <v>-44</v>
      </c>
      <c r="S64" s="1">
        <f t="shared" si="46"/>
        <v>-47</v>
      </c>
      <c r="T64" s="4">
        <f t="shared" si="47"/>
        <v>-45</v>
      </c>
      <c r="V64" s="3">
        <f t="shared" si="48"/>
        <v>-55</v>
      </c>
      <c r="W64" s="1">
        <f t="shared" si="49"/>
        <v>-55</v>
      </c>
      <c r="X64" s="1">
        <f t="shared" si="50"/>
        <v>-55</v>
      </c>
      <c r="Y64" s="1">
        <f t="shared" si="51"/>
        <v>-54</v>
      </c>
      <c r="Z64" s="1">
        <f t="shared" si="52"/>
        <v>-54</v>
      </c>
      <c r="AA64" s="1">
        <f t="shared" si="53"/>
        <v>-51</v>
      </c>
      <c r="AB64" s="1">
        <f t="shared" si="54"/>
        <v>-54</v>
      </c>
      <c r="AC64" s="4">
        <f t="shared" si="55"/>
        <v>-53</v>
      </c>
      <c r="AE64" s="3">
        <f t="shared" si="56"/>
        <v>-71</v>
      </c>
      <c r="AF64" s="1">
        <f t="shared" si="57"/>
        <v>-71</v>
      </c>
      <c r="AG64" s="1">
        <f t="shared" si="58"/>
        <v>-70</v>
      </c>
      <c r="AH64" s="1">
        <f t="shared" si="59"/>
        <v>-68</v>
      </c>
      <c r="AI64" s="1">
        <f t="shared" si="60"/>
        <v>-71</v>
      </c>
      <c r="AJ64" s="1">
        <f t="shared" si="61"/>
        <v>-69</v>
      </c>
      <c r="AK64" s="1">
        <f t="shared" si="62"/>
        <v>-72</v>
      </c>
      <c r="AL64" s="4">
        <f t="shared" si="63"/>
        <v>-70</v>
      </c>
      <c r="AN64" s="3">
        <f t="shared" si="64"/>
        <v>-73</v>
      </c>
      <c r="AO64" s="1">
        <f t="shared" si="65"/>
        <v>-73</v>
      </c>
      <c r="AP64" s="1">
        <f t="shared" si="66"/>
        <v>-73</v>
      </c>
      <c r="AQ64" s="1">
        <f t="shared" si="67"/>
        <v>-72</v>
      </c>
      <c r="AR64" s="1">
        <f t="shared" si="68"/>
        <v>-75</v>
      </c>
      <c r="AS64" s="1">
        <f t="shared" si="69"/>
        <v>-73</v>
      </c>
      <c r="AT64" s="1">
        <f t="shared" si="70"/>
        <v>-76</v>
      </c>
      <c r="AU64" s="4">
        <f t="shared" si="71"/>
        <v>-75</v>
      </c>
      <c r="AW64" s="3">
        <f t="shared" si="72"/>
        <v>-75</v>
      </c>
      <c r="AX64" s="1">
        <f t="shared" si="73"/>
        <v>-75</v>
      </c>
      <c r="AY64" s="1">
        <f t="shared" si="74"/>
        <v>-75</v>
      </c>
      <c r="AZ64" s="1">
        <f t="shared" si="75"/>
        <v>-75</v>
      </c>
      <c r="BA64" s="1">
        <f t="shared" si="76"/>
        <v>-78</v>
      </c>
      <c r="BB64" s="1">
        <f t="shared" si="77"/>
        <v>-78</v>
      </c>
      <c r="BC64" s="1">
        <f t="shared" si="78"/>
        <v>-79</v>
      </c>
      <c r="BD64" s="4">
        <f t="shared" si="79"/>
        <v>-77</v>
      </c>
      <c r="BF64" s="3">
        <v>-5</v>
      </c>
      <c r="BG64" s="1">
        <v>-5</v>
      </c>
      <c r="BH64" s="1">
        <v>-6</v>
      </c>
      <c r="BI64" s="1">
        <v>-5</v>
      </c>
      <c r="BJ64" s="1">
        <v>-4</v>
      </c>
      <c r="BK64" s="1">
        <v>-3</v>
      </c>
      <c r="BL64" s="1">
        <v>-3</v>
      </c>
      <c r="BM64" s="4">
        <v>-3</v>
      </c>
      <c r="BO64" s="3">
        <v>-9</v>
      </c>
      <c r="BP64" s="1">
        <v>-9</v>
      </c>
      <c r="BQ64" s="1">
        <v>-9</v>
      </c>
      <c r="BR64" s="1">
        <v>-10</v>
      </c>
      <c r="BS64" s="1">
        <v>-8</v>
      </c>
      <c r="BT64" s="1">
        <v>-7</v>
      </c>
      <c r="BU64" s="1">
        <v>-7</v>
      </c>
      <c r="BV64" s="4">
        <v>-8</v>
      </c>
      <c r="BX64" s="3">
        <v>-30</v>
      </c>
      <c r="BY64" s="1">
        <v>-30</v>
      </c>
      <c r="BZ64" s="1">
        <v>-30</v>
      </c>
      <c r="CA64" s="1">
        <v>-29</v>
      </c>
      <c r="CB64" s="1">
        <v>-29</v>
      </c>
      <c r="CC64" s="1">
        <v>-28</v>
      </c>
      <c r="CD64" s="1">
        <v>-28</v>
      </c>
      <c r="CE64" s="4">
        <v>-28</v>
      </c>
      <c r="CG64" s="3">
        <v>-2</v>
      </c>
      <c r="CH64" s="1">
        <v>-2</v>
      </c>
      <c r="CI64" s="1">
        <v>-3</v>
      </c>
      <c r="CJ64" s="1">
        <v>-4</v>
      </c>
      <c r="CK64" s="1">
        <v>-4</v>
      </c>
      <c r="CL64" s="1">
        <v>-4</v>
      </c>
      <c r="CM64" s="1">
        <v>-4</v>
      </c>
      <c r="CN64" s="4">
        <v>-5</v>
      </c>
      <c r="CP64" s="3">
        <v>-4</v>
      </c>
      <c r="CQ64" s="1">
        <v>-4</v>
      </c>
      <c r="CR64" s="1">
        <v>-5</v>
      </c>
      <c r="CS64" s="1">
        <v>-7</v>
      </c>
      <c r="CT64" s="1">
        <v>-7</v>
      </c>
      <c r="CU64" s="1">
        <v>-9</v>
      </c>
      <c r="CV64" s="1">
        <v>-7</v>
      </c>
      <c r="CW64" s="4">
        <v>-7</v>
      </c>
    </row>
    <row r="65" spans="1:101">
      <c r="A65" s="8" t="str">
        <f>VLOOKUP(B65,List!W:X,2,1)</f>
        <v>0.38 - 0.39</v>
      </c>
      <c r="B65" s="8">
        <v>0.38</v>
      </c>
      <c r="C65" s="8" t="s">
        <v>14</v>
      </c>
      <c r="D65" s="3">
        <v>-42</v>
      </c>
      <c r="E65" s="1">
        <v>-42</v>
      </c>
      <c r="F65" s="1">
        <v>-42</v>
      </c>
      <c r="G65" s="1">
        <v>-41</v>
      </c>
      <c r="H65" s="1">
        <v>-41</v>
      </c>
      <c r="I65" s="1">
        <v>-37</v>
      </c>
      <c r="J65" s="1">
        <v>-41</v>
      </c>
      <c r="K65" s="4">
        <v>-39</v>
      </c>
      <c r="M65" s="3">
        <f t="shared" si="40"/>
        <v>-45</v>
      </c>
      <c r="N65" s="1">
        <f t="shared" si="41"/>
        <v>-45</v>
      </c>
      <c r="O65" s="1">
        <f t="shared" si="42"/>
        <v>-45</v>
      </c>
      <c r="P65" s="1">
        <f t="shared" si="43"/>
        <v>-44</v>
      </c>
      <c r="Q65" s="1">
        <f t="shared" si="44"/>
        <v>-44</v>
      </c>
      <c r="R65" s="1">
        <f t="shared" si="45"/>
        <v>-40</v>
      </c>
      <c r="S65" s="1">
        <f t="shared" si="46"/>
        <v>-44</v>
      </c>
      <c r="T65" s="4">
        <f t="shared" si="47"/>
        <v>-42</v>
      </c>
      <c r="V65" s="3">
        <f t="shared" si="48"/>
        <v>-53</v>
      </c>
      <c r="W65" s="1">
        <f t="shared" si="49"/>
        <v>-53</v>
      </c>
      <c r="X65" s="1">
        <f t="shared" si="50"/>
        <v>-52</v>
      </c>
      <c r="Y65" s="1">
        <f t="shared" si="51"/>
        <v>-51</v>
      </c>
      <c r="Z65" s="1">
        <f t="shared" si="52"/>
        <v>-51</v>
      </c>
      <c r="AA65" s="1">
        <f t="shared" si="53"/>
        <v>-48</v>
      </c>
      <c r="AB65" s="1">
        <f t="shared" si="54"/>
        <v>-51</v>
      </c>
      <c r="AC65" s="4">
        <f t="shared" si="55"/>
        <v>-50</v>
      </c>
      <c r="AE65" s="3" t="str">
        <f t="shared" si="56"/>
        <v/>
      </c>
      <c r="AF65" s="1" t="str">
        <f t="shared" si="57"/>
        <v/>
      </c>
      <c r="AG65" s="1" t="str">
        <f t="shared" si="58"/>
        <v/>
      </c>
      <c r="AH65" s="1" t="str">
        <f t="shared" si="59"/>
        <v/>
      </c>
      <c r="AI65" s="1" t="str">
        <f t="shared" si="60"/>
        <v/>
      </c>
      <c r="AJ65" s="1" t="str">
        <f t="shared" si="61"/>
        <v/>
      </c>
      <c r="AK65" s="1" t="str">
        <f t="shared" si="62"/>
        <v/>
      </c>
      <c r="AL65" s="4" t="str">
        <f t="shared" si="63"/>
        <v/>
      </c>
      <c r="AN65" s="3" t="str">
        <f t="shared" si="64"/>
        <v/>
      </c>
      <c r="AO65" s="1" t="str">
        <f t="shared" si="65"/>
        <v/>
      </c>
      <c r="AP65" s="1" t="str">
        <f t="shared" si="66"/>
        <v/>
      </c>
      <c r="AQ65" s="1" t="str">
        <f t="shared" si="67"/>
        <v/>
      </c>
      <c r="AR65" s="1" t="str">
        <f t="shared" si="68"/>
        <v/>
      </c>
      <c r="AS65" s="1" t="str">
        <f t="shared" si="69"/>
        <v/>
      </c>
      <c r="AT65" s="1" t="str">
        <f t="shared" si="70"/>
        <v/>
      </c>
      <c r="AU65" s="4" t="str">
        <f t="shared" si="71"/>
        <v/>
      </c>
      <c r="AW65" s="3" t="str">
        <f t="shared" si="72"/>
        <v/>
      </c>
      <c r="AX65" s="1" t="str">
        <f t="shared" si="73"/>
        <v/>
      </c>
      <c r="AY65" s="1" t="str">
        <f t="shared" si="74"/>
        <v/>
      </c>
      <c r="AZ65" s="1" t="str">
        <f t="shared" si="75"/>
        <v/>
      </c>
      <c r="BA65" s="1" t="str">
        <f t="shared" si="76"/>
        <v/>
      </c>
      <c r="BB65" s="1" t="str">
        <f t="shared" si="77"/>
        <v/>
      </c>
      <c r="BC65" s="1" t="str">
        <f t="shared" si="78"/>
        <v/>
      </c>
      <c r="BD65" s="4" t="str">
        <f t="shared" si="79"/>
        <v/>
      </c>
      <c r="BF65" s="3">
        <v>-3</v>
      </c>
      <c r="BG65" s="1">
        <v>-3</v>
      </c>
      <c r="BH65" s="1">
        <v>-3</v>
      </c>
      <c r="BI65" s="1">
        <v>-3</v>
      </c>
      <c r="BJ65" s="1">
        <v>-3</v>
      </c>
      <c r="BK65" s="1">
        <v>-3</v>
      </c>
      <c r="BL65" s="1">
        <v>-3</v>
      </c>
      <c r="BM65" s="4">
        <v>-3</v>
      </c>
      <c r="BO65" s="3">
        <v>-8</v>
      </c>
      <c r="BP65" s="1">
        <v>-8</v>
      </c>
      <c r="BQ65" s="1">
        <v>-7</v>
      </c>
      <c r="BR65" s="1">
        <v>-7</v>
      </c>
      <c r="BS65" s="1">
        <v>-7</v>
      </c>
      <c r="BT65" s="1">
        <v>-8</v>
      </c>
      <c r="BU65" s="1">
        <v>-7</v>
      </c>
      <c r="BV65" s="4">
        <v>-8</v>
      </c>
      <c r="BX65" s="3" t="s">
        <v>22</v>
      </c>
      <c r="BY65" s="1" t="s">
        <v>22</v>
      </c>
      <c r="BZ65" s="1" t="s">
        <v>22</v>
      </c>
      <c r="CA65" s="1" t="s">
        <v>22</v>
      </c>
      <c r="CB65" s="1" t="s">
        <v>22</v>
      </c>
      <c r="CC65" s="1" t="s">
        <v>22</v>
      </c>
      <c r="CD65" s="1" t="s">
        <v>22</v>
      </c>
      <c r="CE65" s="4" t="s">
        <v>22</v>
      </c>
      <c r="CG65" s="3">
        <v>-2</v>
      </c>
      <c r="CH65" s="1">
        <v>-2</v>
      </c>
      <c r="CI65" s="1">
        <v>-2</v>
      </c>
      <c r="CJ65" s="1">
        <v>-2</v>
      </c>
      <c r="CK65" s="1">
        <v>-2</v>
      </c>
      <c r="CL65" s="1">
        <v>-2</v>
      </c>
      <c r="CM65" s="1">
        <v>-2</v>
      </c>
      <c r="CN65" s="4">
        <v>-2</v>
      </c>
      <c r="CP65" s="3">
        <v>-3.5</v>
      </c>
      <c r="CQ65" s="1">
        <v>-3.5</v>
      </c>
      <c r="CR65" s="1">
        <v>-3.5</v>
      </c>
      <c r="CS65" s="1">
        <v>-3.5</v>
      </c>
      <c r="CT65" s="1">
        <v>-3.5</v>
      </c>
      <c r="CU65" s="1">
        <v>-3.5</v>
      </c>
      <c r="CV65" s="1">
        <v>-3.5</v>
      </c>
      <c r="CW65" s="4">
        <v>-3.5</v>
      </c>
    </row>
    <row r="66" spans="1:101">
      <c r="A66" s="8" t="str">
        <f>VLOOKUP(B66,List!W:X,2,1)</f>
        <v>0.38 - 0.39</v>
      </c>
      <c r="B66" s="8">
        <v>0.38</v>
      </c>
      <c r="C66" s="8" t="s">
        <v>15</v>
      </c>
      <c r="D66" s="3">
        <v>-48</v>
      </c>
      <c r="E66" s="1">
        <v>-48</v>
      </c>
      <c r="F66" s="1">
        <v>-48</v>
      </c>
      <c r="G66" s="1">
        <v>-45</v>
      </c>
      <c r="H66" s="1">
        <v>-46</v>
      </c>
      <c r="I66" s="1">
        <v>-45</v>
      </c>
      <c r="J66" s="1">
        <v>-44</v>
      </c>
      <c r="K66" s="4">
        <v>-46</v>
      </c>
      <c r="M66" s="3">
        <f t="shared" si="40"/>
        <v>-52</v>
      </c>
      <c r="N66" s="1">
        <f t="shared" si="41"/>
        <v>-52</v>
      </c>
      <c r="O66" s="1">
        <f t="shared" si="42"/>
        <v>-52</v>
      </c>
      <c r="P66" s="1">
        <f t="shared" si="43"/>
        <v>-49</v>
      </c>
      <c r="Q66" s="1">
        <f t="shared" si="44"/>
        <v>-50</v>
      </c>
      <c r="R66" s="1">
        <f t="shared" si="45"/>
        <v>-50</v>
      </c>
      <c r="S66" s="1">
        <f t="shared" si="46"/>
        <v>-50</v>
      </c>
      <c r="T66" s="4">
        <f t="shared" si="47"/>
        <v>-51</v>
      </c>
      <c r="V66" s="3">
        <f t="shared" si="48"/>
        <v>-59</v>
      </c>
      <c r="W66" s="1">
        <f t="shared" si="49"/>
        <v>-59</v>
      </c>
      <c r="X66" s="1">
        <f t="shared" si="50"/>
        <v>-59</v>
      </c>
      <c r="Y66" s="1">
        <f t="shared" si="51"/>
        <v>-56</v>
      </c>
      <c r="Z66" s="1">
        <f t="shared" si="52"/>
        <v>-60</v>
      </c>
      <c r="AA66" s="1">
        <f t="shared" si="53"/>
        <v>-58</v>
      </c>
      <c r="AB66" s="1">
        <f t="shared" si="54"/>
        <v>-58</v>
      </c>
      <c r="AC66" s="4">
        <f t="shared" si="55"/>
        <v>-58</v>
      </c>
      <c r="AE66" s="3" t="str">
        <f t="shared" si="56"/>
        <v/>
      </c>
      <c r="AF66" s="1" t="str">
        <f t="shared" si="57"/>
        <v/>
      </c>
      <c r="AG66" s="1" t="str">
        <f t="shared" si="58"/>
        <v/>
      </c>
      <c r="AH66" s="1" t="str">
        <f t="shared" si="59"/>
        <v/>
      </c>
      <c r="AI66" s="1" t="str">
        <f t="shared" si="60"/>
        <v/>
      </c>
      <c r="AJ66" s="1" t="str">
        <f t="shared" si="61"/>
        <v/>
      </c>
      <c r="AK66" s="1" t="str">
        <f t="shared" si="62"/>
        <v/>
      </c>
      <c r="AL66" s="4" t="str">
        <f t="shared" si="63"/>
        <v/>
      </c>
      <c r="AN66" s="3" t="str">
        <f t="shared" si="64"/>
        <v/>
      </c>
      <c r="AO66" s="1" t="str">
        <f t="shared" si="65"/>
        <v/>
      </c>
      <c r="AP66" s="1" t="str">
        <f t="shared" si="66"/>
        <v/>
      </c>
      <c r="AQ66" s="1" t="str">
        <f t="shared" si="67"/>
        <v/>
      </c>
      <c r="AR66" s="1" t="str">
        <f t="shared" si="68"/>
        <v/>
      </c>
      <c r="AS66" s="1" t="str">
        <f t="shared" si="69"/>
        <v/>
      </c>
      <c r="AT66" s="1" t="str">
        <f t="shared" si="70"/>
        <v/>
      </c>
      <c r="AU66" s="4" t="str">
        <f t="shared" si="71"/>
        <v/>
      </c>
      <c r="AW66" s="3" t="str">
        <f t="shared" si="72"/>
        <v/>
      </c>
      <c r="AX66" s="1" t="str">
        <f t="shared" si="73"/>
        <v/>
      </c>
      <c r="AY66" s="1" t="str">
        <f t="shared" si="74"/>
        <v/>
      </c>
      <c r="AZ66" s="1" t="str">
        <f t="shared" si="75"/>
        <v/>
      </c>
      <c r="BA66" s="1" t="str">
        <f t="shared" si="76"/>
        <v/>
      </c>
      <c r="BB66" s="1" t="str">
        <f t="shared" si="77"/>
        <v/>
      </c>
      <c r="BC66" s="1" t="str">
        <f t="shared" si="78"/>
        <v/>
      </c>
      <c r="BD66" s="4" t="str">
        <f t="shared" si="79"/>
        <v/>
      </c>
      <c r="BF66" s="3">
        <v>-4</v>
      </c>
      <c r="BG66" s="1">
        <v>-4</v>
      </c>
      <c r="BH66" s="1">
        <v>-4</v>
      </c>
      <c r="BI66" s="1">
        <v>-4</v>
      </c>
      <c r="BJ66" s="1">
        <v>-4</v>
      </c>
      <c r="BK66" s="1">
        <v>-5</v>
      </c>
      <c r="BL66" s="1">
        <v>-6</v>
      </c>
      <c r="BM66" s="4">
        <v>-5</v>
      </c>
      <c r="BO66" s="3">
        <v>-7</v>
      </c>
      <c r="BP66" s="1">
        <v>-7</v>
      </c>
      <c r="BQ66" s="1">
        <v>-7</v>
      </c>
      <c r="BR66" s="1">
        <v>-7</v>
      </c>
      <c r="BS66" s="1">
        <v>-10</v>
      </c>
      <c r="BT66" s="1">
        <v>-8</v>
      </c>
      <c r="BU66" s="1">
        <v>-8</v>
      </c>
      <c r="BV66" s="4">
        <v>-7</v>
      </c>
      <c r="BX66" s="3" t="s">
        <v>22</v>
      </c>
      <c r="BY66" s="1" t="s">
        <v>22</v>
      </c>
      <c r="BZ66" s="1" t="s">
        <v>22</v>
      </c>
      <c r="CA66" s="1" t="s">
        <v>22</v>
      </c>
      <c r="CB66" s="1" t="s">
        <v>22</v>
      </c>
      <c r="CC66" s="1" t="s">
        <v>22</v>
      </c>
      <c r="CD66" s="1" t="s">
        <v>22</v>
      </c>
      <c r="CE66" s="4" t="s">
        <v>22</v>
      </c>
      <c r="CG66" s="3">
        <v>-2</v>
      </c>
      <c r="CH66" s="1">
        <v>-2</v>
      </c>
      <c r="CI66" s="1">
        <v>-2</v>
      </c>
      <c r="CJ66" s="1">
        <v>-2</v>
      </c>
      <c r="CK66" s="1">
        <v>-2</v>
      </c>
      <c r="CL66" s="1">
        <v>-2</v>
      </c>
      <c r="CM66" s="1">
        <v>-2</v>
      </c>
      <c r="CN66" s="4">
        <v>-2</v>
      </c>
      <c r="CP66" s="3">
        <v>-3.5</v>
      </c>
      <c r="CQ66" s="1">
        <v>-3.5</v>
      </c>
      <c r="CR66" s="1">
        <v>-3.5</v>
      </c>
      <c r="CS66" s="1">
        <v>-3.5</v>
      </c>
      <c r="CT66" s="1">
        <v>-3.5</v>
      </c>
      <c r="CU66" s="1">
        <v>-3.5</v>
      </c>
      <c r="CV66" s="1">
        <v>-3.5</v>
      </c>
      <c r="CW66" s="4">
        <v>-3.5</v>
      </c>
    </row>
    <row r="67" spans="1:101">
      <c r="A67" s="8" t="str">
        <f>VLOOKUP(B67,List!W:X,2,1)</f>
        <v>0.40 - 0.44</v>
      </c>
      <c r="B67" s="8">
        <v>0.4</v>
      </c>
      <c r="C67" s="8" t="s">
        <v>8</v>
      </c>
      <c r="D67" s="3">
        <v>-49</v>
      </c>
      <c r="E67" s="1">
        <v>-49</v>
      </c>
      <c r="F67" s="1">
        <v>-48</v>
      </c>
      <c r="G67" s="1">
        <v>-47</v>
      </c>
      <c r="H67" s="1">
        <v>-49</v>
      </c>
      <c r="I67" s="1">
        <v>-46</v>
      </c>
      <c r="J67" s="1">
        <v>-46</v>
      </c>
      <c r="K67" s="4">
        <v>-44</v>
      </c>
      <c r="M67" s="3">
        <f t="shared" ref="M67:M98" si="80">IFERROR(IF(AND(D67="",BF67=""),"",D67+BF67),"")</f>
        <v>-54</v>
      </c>
      <c r="N67" s="1">
        <f t="shared" ref="N67:N98" si="81">IFERROR(IF(AND(E67="",BG67=""),"",E67+BG67),"")</f>
        <v>-54</v>
      </c>
      <c r="O67" s="1">
        <f t="shared" ref="O67:O98" si="82">IFERROR(IF(AND(F67="",BH67=""),"",F67+BH67),"")</f>
        <v>-57</v>
      </c>
      <c r="P67" s="1">
        <f t="shared" ref="P67:P98" si="83">IFERROR(IF(AND(G67="",BI67=""),"",G67+BI67),"")</f>
        <v>-53</v>
      </c>
      <c r="Q67" s="1">
        <f t="shared" ref="Q67:Q98" si="84">IFERROR(IF(AND(H67="",BJ67=""),"",H67+BJ67),"")</f>
        <v>-53</v>
      </c>
      <c r="R67" s="1">
        <f t="shared" ref="R67:R98" si="85">IFERROR(IF(AND(I67="",BK67=""),"",I67+BK67),"")</f>
        <v>-50</v>
      </c>
      <c r="S67" s="1">
        <f t="shared" ref="S67:S98" si="86">IFERROR(IF(AND(J67="",BL67=""),"",J67+BL67),"")</f>
        <v>-50</v>
      </c>
      <c r="T67" s="4">
        <f t="shared" ref="T67:T98" si="87">IFERROR(IF(AND(K67="",BM67=""),"",K67+BM67),"")</f>
        <v>-50</v>
      </c>
      <c r="V67" s="3">
        <f t="shared" ref="V67:V98" si="88">IFERROR(IF(AND(M67="",BO67=""),"",M67+BO67),"")</f>
        <v>-65</v>
      </c>
      <c r="W67" s="1">
        <f t="shared" ref="W67:W98" si="89">IFERROR(IF(AND(N67="",BP67=""),"",N67+BP67),"")</f>
        <v>-65</v>
      </c>
      <c r="X67" s="1">
        <f t="shared" ref="X67:X98" si="90">IFERROR(IF(AND(O67="",BQ67=""),"",O67+BQ67),"")</f>
        <v>-72</v>
      </c>
      <c r="Y67" s="1">
        <f t="shared" ref="Y67:Y98" si="91">IFERROR(IF(AND(P67="",BR67=""),"",P67+BR67),"")</f>
        <v>-63</v>
      </c>
      <c r="Z67" s="1">
        <f t="shared" ref="Z67:Z98" si="92">IFERROR(IF(AND(Q67="",BS67=""),"",Q67+BS67),"")</f>
        <v>-60</v>
      </c>
      <c r="AA67" s="1">
        <f t="shared" ref="AA67:AA98" si="93">IFERROR(IF(AND(R67="",BT67=""),"",R67+BT67),"")</f>
        <v>-56</v>
      </c>
      <c r="AB67" s="1">
        <f t="shared" ref="AB67:AB98" si="94">IFERROR(IF(AND(S67="",BU67=""),"",S67+BU67),"")</f>
        <v>-57</v>
      </c>
      <c r="AC67" s="4">
        <f t="shared" ref="AC67:AC98" si="95">IFERROR(IF(AND(T67="",BV67=""),"",T67+BV67),"")</f>
        <v>-59</v>
      </c>
      <c r="AE67" s="3">
        <f t="shared" ref="AE67:AE98" si="96">IFERROR(IF(AND(D67="",BX67=""),"",D67+BX67),"")</f>
        <v>-55</v>
      </c>
      <c r="AF67" s="1">
        <f t="shared" ref="AF67:AF98" si="97">IFERROR(IF(AND(E67="",BY67=""),"",E67+BY67),"")</f>
        <v>-55</v>
      </c>
      <c r="AG67" s="1">
        <f t="shared" ref="AG67:AG98" si="98">IFERROR(IF(AND(F67="",BZ67=""),"",F67+BZ67),"")</f>
        <v>-55</v>
      </c>
      <c r="AH67" s="1">
        <f t="shared" ref="AH67:AH98" si="99">IFERROR(IF(AND(G67="",CA67=""),"",G67+CA67),"")</f>
        <v>-55</v>
      </c>
      <c r="AI67" s="1">
        <f t="shared" ref="AI67:AI98" si="100">IFERROR(IF(AND(H67="",CB67=""),"",H67+CB67),"")</f>
        <v>-55</v>
      </c>
      <c r="AJ67" s="1">
        <f t="shared" ref="AJ67:AJ98" si="101">IFERROR(IF(AND(I67="",CC67=""),"",I67+CC67),"")</f>
        <v>-54</v>
      </c>
      <c r="AK67" s="1">
        <f t="shared" ref="AK67:AK98" si="102">IFERROR(IF(AND(J67="",CD67=""),"",J67+CD67),"")</f>
        <v>-54</v>
      </c>
      <c r="AL67" s="4">
        <f t="shared" ref="AL67:AL98" si="103">IFERROR(IF(AND(K67="",CE67=""),"",K67+CE67),"")</f>
        <v>-54</v>
      </c>
      <c r="AN67" s="3">
        <f t="shared" ref="AN67:AN98" si="104">IFERROR(IF(AND(AE67="",CG67=""),"",AE67+CG67),"")</f>
        <v>-59</v>
      </c>
      <c r="AO67" s="1">
        <f t="shared" ref="AO67:AO98" si="105">IFERROR(IF(AND(AF67="",CH67=""),"",AF67+CH67),"")</f>
        <v>-59</v>
      </c>
      <c r="AP67" s="1">
        <f t="shared" ref="AP67:AP98" si="106">IFERROR(IF(AND(AG67="",CI67=""),"",AG67+CI67),"")</f>
        <v>-62</v>
      </c>
      <c r="AQ67" s="1">
        <f t="shared" ref="AQ67:AQ98" si="107">IFERROR(IF(AND(AH67="",CJ67=""),"",AH67+CJ67),"")</f>
        <v>-59</v>
      </c>
      <c r="AR67" s="1">
        <f t="shared" ref="AR67:AR98" si="108">IFERROR(IF(AND(AI67="",CK67=""),"",AI67+CK67),"")</f>
        <v>-58</v>
      </c>
      <c r="AS67" s="1">
        <f t="shared" ref="AS67:AS98" si="109">IFERROR(IF(AND(AJ67="",CL67=""),"",AJ67+CL67),"")</f>
        <v>-56</v>
      </c>
      <c r="AT67" s="1">
        <f t="shared" ref="AT67:AT98" si="110">IFERROR(IF(AND(AK67="",CM67=""),"",AK67+CM67),"")</f>
        <v>-57</v>
      </c>
      <c r="AU67" s="4">
        <f t="shared" ref="AU67:AU98" si="111">IFERROR(IF(AND(AL67="",CN67=""),"",AL67+CN67),"")</f>
        <v>-57</v>
      </c>
      <c r="AW67" s="3">
        <f t="shared" ref="AW67:AW98" si="112">IFERROR(IF(AND(AE67="",CP67=""),"",AE67+CP67),"")</f>
        <v>-65</v>
      </c>
      <c r="AX67" s="1">
        <f t="shared" ref="AX67:AX98" si="113">IFERROR(IF(AND(AF67="",CQ67=""),"",AF67+CQ67),"")</f>
        <v>-65</v>
      </c>
      <c r="AY67" s="1">
        <f t="shared" ref="AY67:AY98" si="114">IFERROR(IF(AND(AG67="",CR67=""),"",AG67+CR67),"")</f>
        <v>-66</v>
      </c>
      <c r="AZ67" s="1">
        <f t="shared" ref="AZ67:AZ98" si="115">IFERROR(IF(AND(AH67="",CS67=""),"",AH67+CS67),"")</f>
        <v>-62</v>
      </c>
      <c r="BA67" s="1">
        <f t="shared" ref="BA67:BA98" si="116">IFERROR(IF(AND(AI67="",CT67=""),"",AI67+CT67),"")</f>
        <v>-62</v>
      </c>
      <c r="BB67" s="1">
        <f t="shared" ref="BB67:BB98" si="117">IFERROR(IF(AND(AJ67="",CU67=""),"",AJ67+CU67),"")</f>
        <v>-59</v>
      </c>
      <c r="BC67" s="1">
        <f t="shared" ref="BC67:BC98" si="118">IFERROR(IF(AND(AK67="",CV67=""),"",AK67+CV67),"")</f>
        <v>-60</v>
      </c>
      <c r="BD67" s="4">
        <f t="shared" ref="BD67:BD98" si="119">IFERROR(IF(AND(AL67="",CW67=""),"",AL67+CW67),"")</f>
        <v>-60</v>
      </c>
      <c r="BF67" s="3">
        <v>-5</v>
      </c>
      <c r="BG67" s="1">
        <v>-5</v>
      </c>
      <c r="BH67" s="1">
        <v>-9</v>
      </c>
      <c r="BI67" s="1">
        <v>-6</v>
      </c>
      <c r="BJ67" s="1">
        <v>-4</v>
      </c>
      <c r="BK67" s="1">
        <v>-4</v>
      </c>
      <c r="BL67" s="1">
        <v>-4</v>
      </c>
      <c r="BM67" s="4">
        <v>-6</v>
      </c>
      <c r="BO67" s="3">
        <v>-11</v>
      </c>
      <c r="BP67" s="1">
        <v>-11</v>
      </c>
      <c r="BQ67" s="1">
        <v>-15</v>
      </c>
      <c r="BR67" s="1">
        <v>-10</v>
      </c>
      <c r="BS67" s="1">
        <v>-7</v>
      </c>
      <c r="BT67" s="1">
        <v>-6</v>
      </c>
      <c r="BU67" s="1">
        <v>-7</v>
      </c>
      <c r="BV67" s="4">
        <v>-9</v>
      </c>
      <c r="BX67" s="3">
        <v>-6</v>
      </c>
      <c r="BY67" s="1">
        <v>-6</v>
      </c>
      <c r="BZ67" s="1">
        <v>-7</v>
      </c>
      <c r="CA67" s="1">
        <v>-8</v>
      </c>
      <c r="CB67" s="1">
        <v>-6</v>
      </c>
      <c r="CC67" s="1">
        <v>-8</v>
      </c>
      <c r="CD67" s="1">
        <v>-8</v>
      </c>
      <c r="CE67" s="4">
        <v>-10</v>
      </c>
      <c r="CG67" s="3">
        <v>-4</v>
      </c>
      <c r="CH67" s="1">
        <v>-4</v>
      </c>
      <c r="CI67" s="1">
        <v>-7</v>
      </c>
      <c r="CJ67" s="1">
        <v>-4</v>
      </c>
      <c r="CK67" s="1">
        <v>-3</v>
      </c>
      <c r="CL67" s="1">
        <v>-2</v>
      </c>
      <c r="CM67" s="1">
        <v>-3</v>
      </c>
      <c r="CN67" s="4">
        <v>-3</v>
      </c>
      <c r="CP67" s="3">
        <v>-10</v>
      </c>
      <c r="CQ67" s="1">
        <v>-10</v>
      </c>
      <c r="CR67" s="1">
        <v>-11</v>
      </c>
      <c r="CS67" s="1">
        <v>-7</v>
      </c>
      <c r="CT67" s="1">
        <v>-7</v>
      </c>
      <c r="CU67" s="1">
        <v>-5</v>
      </c>
      <c r="CV67" s="1">
        <v>-6</v>
      </c>
      <c r="CW67" s="4">
        <v>-6</v>
      </c>
    </row>
    <row r="68" spans="1:101">
      <c r="A68" s="8" t="str">
        <f>VLOOKUP(B68,List!W:X,2,1)</f>
        <v>0.40 - 0.44</v>
      </c>
      <c r="B68" s="8">
        <v>0.4</v>
      </c>
      <c r="C68" s="8" t="s">
        <v>9</v>
      </c>
      <c r="D68" s="3">
        <v>-49</v>
      </c>
      <c r="E68" s="1">
        <v>-49</v>
      </c>
      <c r="F68" s="1">
        <v>-45</v>
      </c>
      <c r="G68" s="1">
        <v>-46</v>
      </c>
      <c r="H68" s="1">
        <v>-46</v>
      </c>
      <c r="I68" s="1">
        <v>-46</v>
      </c>
      <c r="J68" s="1">
        <v>-48</v>
      </c>
      <c r="K68" s="4">
        <v>-48</v>
      </c>
      <c r="M68" s="3">
        <f t="shared" si="80"/>
        <v>-55</v>
      </c>
      <c r="N68" s="1">
        <f t="shared" si="81"/>
        <v>-55</v>
      </c>
      <c r="O68" s="1">
        <f t="shared" si="82"/>
        <v>-54</v>
      </c>
      <c r="P68" s="1">
        <f t="shared" si="83"/>
        <v>-51</v>
      </c>
      <c r="Q68" s="1">
        <f t="shared" si="84"/>
        <v>-50</v>
      </c>
      <c r="R68" s="1">
        <f t="shared" si="85"/>
        <v>-50</v>
      </c>
      <c r="S68" s="1">
        <f t="shared" si="86"/>
        <v>-52</v>
      </c>
      <c r="T68" s="4">
        <f t="shared" si="87"/>
        <v>-51</v>
      </c>
      <c r="V68" s="3">
        <f t="shared" si="88"/>
        <v>-64</v>
      </c>
      <c r="W68" s="1">
        <f t="shared" si="89"/>
        <v>-64</v>
      </c>
      <c r="X68" s="1">
        <f t="shared" si="90"/>
        <v>-69</v>
      </c>
      <c r="Y68" s="1">
        <f t="shared" si="91"/>
        <v>-61</v>
      </c>
      <c r="Z68" s="1">
        <f t="shared" si="92"/>
        <v>-59</v>
      </c>
      <c r="AA68" s="1">
        <f t="shared" si="93"/>
        <v>-58</v>
      </c>
      <c r="AB68" s="1">
        <f t="shared" si="94"/>
        <v>-59</v>
      </c>
      <c r="AC68" s="4">
        <f t="shared" si="95"/>
        <v>-57</v>
      </c>
      <c r="AE68" s="3">
        <f t="shared" si="96"/>
        <v>-56</v>
      </c>
      <c r="AF68" s="1">
        <f t="shared" si="97"/>
        <v>-56</v>
      </c>
      <c r="AG68" s="1">
        <f t="shared" si="98"/>
        <v>-53</v>
      </c>
      <c r="AH68" s="1">
        <f t="shared" si="99"/>
        <v>-52</v>
      </c>
      <c r="AI68" s="1">
        <f t="shared" si="100"/>
        <v>-52</v>
      </c>
      <c r="AJ68" s="1">
        <f t="shared" si="101"/>
        <v>-52</v>
      </c>
      <c r="AK68" s="1">
        <f t="shared" si="102"/>
        <v>-57</v>
      </c>
      <c r="AL68" s="4">
        <f t="shared" si="103"/>
        <v>-58</v>
      </c>
      <c r="AN68" s="3">
        <f t="shared" si="104"/>
        <v>-61</v>
      </c>
      <c r="AO68" s="1">
        <f t="shared" si="105"/>
        <v>-61</v>
      </c>
      <c r="AP68" s="1">
        <f t="shared" si="106"/>
        <v>-60</v>
      </c>
      <c r="AQ68" s="1">
        <f t="shared" si="107"/>
        <v>-57</v>
      </c>
      <c r="AR68" s="1">
        <f t="shared" si="108"/>
        <v>-56</v>
      </c>
      <c r="AS68" s="1">
        <f t="shared" si="109"/>
        <v>-55</v>
      </c>
      <c r="AT68" s="1">
        <f t="shared" si="110"/>
        <v>-59</v>
      </c>
      <c r="AU68" s="4">
        <f t="shared" si="111"/>
        <v>-60</v>
      </c>
      <c r="AW68" s="3">
        <f t="shared" si="112"/>
        <v>-65</v>
      </c>
      <c r="AX68" s="1">
        <f t="shared" si="113"/>
        <v>-65</v>
      </c>
      <c r="AY68" s="1">
        <f t="shared" si="114"/>
        <v>-65</v>
      </c>
      <c r="AZ68" s="1">
        <f t="shared" si="115"/>
        <v>-60</v>
      </c>
      <c r="BA68" s="1">
        <f t="shared" si="116"/>
        <v>-59</v>
      </c>
      <c r="BB68" s="1">
        <f t="shared" si="117"/>
        <v>-58</v>
      </c>
      <c r="BC68" s="1">
        <f t="shared" si="118"/>
        <v>-61</v>
      </c>
      <c r="BD68" s="4">
        <f t="shared" si="119"/>
        <v>-63</v>
      </c>
      <c r="BF68" s="3">
        <v>-6</v>
      </c>
      <c r="BG68" s="1">
        <v>-6</v>
      </c>
      <c r="BH68" s="1">
        <v>-9</v>
      </c>
      <c r="BI68" s="1">
        <v>-5</v>
      </c>
      <c r="BJ68" s="1">
        <v>-4</v>
      </c>
      <c r="BK68" s="1">
        <v>-4</v>
      </c>
      <c r="BL68" s="1">
        <v>-4</v>
      </c>
      <c r="BM68" s="4">
        <v>-3</v>
      </c>
      <c r="BO68" s="3">
        <v>-9</v>
      </c>
      <c r="BP68" s="1">
        <v>-9</v>
      </c>
      <c r="BQ68" s="1">
        <v>-15</v>
      </c>
      <c r="BR68" s="1">
        <v>-10</v>
      </c>
      <c r="BS68" s="1">
        <v>-9</v>
      </c>
      <c r="BT68" s="1">
        <v>-8</v>
      </c>
      <c r="BU68" s="1">
        <v>-7</v>
      </c>
      <c r="BV68" s="4">
        <v>-6</v>
      </c>
      <c r="BX68" s="3">
        <v>-7</v>
      </c>
      <c r="BY68" s="1">
        <v>-7</v>
      </c>
      <c r="BZ68" s="1">
        <v>-8</v>
      </c>
      <c r="CA68" s="1">
        <v>-6</v>
      </c>
      <c r="CB68" s="1">
        <v>-6</v>
      </c>
      <c r="CC68" s="1">
        <v>-6</v>
      </c>
      <c r="CD68" s="1">
        <v>-9</v>
      </c>
      <c r="CE68" s="4">
        <v>-10</v>
      </c>
      <c r="CG68" s="3">
        <v>-5</v>
      </c>
      <c r="CH68" s="1">
        <v>-5</v>
      </c>
      <c r="CI68" s="1">
        <v>-7</v>
      </c>
      <c r="CJ68" s="1">
        <v>-5</v>
      </c>
      <c r="CK68" s="1">
        <v>-4</v>
      </c>
      <c r="CL68" s="1">
        <v>-3</v>
      </c>
      <c r="CM68" s="1">
        <v>-2</v>
      </c>
      <c r="CN68" s="4">
        <v>-2</v>
      </c>
      <c r="CP68" s="3">
        <v>-9</v>
      </c>
      <c r="CQ68" s="1">
        <v>-9</v>
      </c>
      <c r="CR68" s="1">
        <v>-12</v>
      </c>
      <c r="CS68" s="1">
        <v>-8</v>
      </c>
      <c r="CT68" s="1">
        <v>-7</v>
      </c>
      <c r="CU68" s="1">
        <v>-6</v>
      </c>
      <c r="CV68" s="1">
        <v>-4</v>
      </c>
      <c r="CW68" s="4">
        <v>-5</v>
      </c>
    </row>
    <row r="69" spans="1:101">
      <c r="A69" s="8" t="str">
        <f>VLOOKUP(B69,List!W:X,2,1)</f>
        <v>0.40 - 0.44</v>
      </c>
      <c r="B69" s="8">
        <v>0.4</v>
      </c>
      <c r="C69" s="8" t="s">
        <v>10</v>
      </c>
      <c r="D69" s="3">
        <v>-52</v>
      </c>
      <c r="E69" s="1">
        <v>-52</v>
      </c>
      <c r="F69" s="1">
        <v>-46</v>
      </c>
      <c r="G69" s="1">
        <v>-47</v>
      </c>
      <c r="H69" s="1">
        <v>-46</v>
      </c>
      <c r="I69" s="1">
        <v>-45</v>
      </c>
      <c r="J69" s="1">
        <v>-47</v>
      </c>
      <c r="K69" s="4">
        <v>-46</v>
      </c>
      <c r="M69" s="3">
        <f t="shared" si="80"/>
        <v>-55</v>
      </c>
      <c r="N69" s="1">
        <f t="shared" si="81"/>
        <v>-55</v>
      </c>
      <c r="O69" s="1">
        <f t="shared" si="82"/>
        <v>-54</v>
      </c>
      <c r="P69" s="1">
        <f t="shared" si="83"/>
        <v>-50</v>
      </c>
      <c r="Q69" s="1">
        <f t="shared" si="84"/>
        <v>-49</v>
      </c>
      <c r="R69" s="1">
        <f t="shared" si="85"/>
        <v>-48</v>
      </c>
      <c r="S69" s="1">
        <f t="shared" si="86"/>
        <v>-52</v>
      </c>
      <c r="T69" s="4">
        <f t="shared" si="87"/>
        <v>-50</v>
      </c>
      <c r="V69" s="3">
        <f t="shared" si="88"/>
        <v>-62</v>
      </c>
      <c r="W69" s="1">
        <f t="shared" si="89"/>
        <v>-62</v>
      </c>
      <c r="X69" s="1">
        <f t="shared" si="90"/>
        <v>-67</v>
      </c>
      <c r="Y69" s="1">
        <f t="shared" si="91"/>
        <v>-58</v>
      </c>
      <c r="Z69" s="1">
        <f t="shared" si="92"/>
        <v>-56</v>
      </c>
      <c r="AA69" s="1">
        <f t="shared" si="93"/>
        <v>-55</v>
      </c>
      <c r="AB69" s="1">
        <f t="shared" si="94"/>
        <v>-59</v>
      </c>
      <c r="AC69" s="4">
        <f t="shared" si="95"/>
        <v>-58</v>
      </c>
      <c r="AE69" s="3">
        <f t="shared" si="96"/>
        <v>-58</v>
      </c>
      <c r="AF69" s="1">
        <f t="shared" si="97"/>
        <v>-58</v>
      </c>
      <c r="AG69" s="1">
        <f t="shared" si="98"/>
        <v>-53</v>
      </c>
      <c r="AH69" s="1">
        <f t="shared" si="99"/>
        <v>-53</v>
      </c>
      <c r="AI69" s="1">
        <f t="shared" si="100"/>
        <v>-52</v>
      </c>
      <c r="AJ69" s="1">
        <f t="shared" si="101"/>
        <v>-52</v>
      </c>
      <c r="AK69" s="1">
        <f t="shared" si="102"/>
        <v>-56</v>
      </c>
      <c r="AL69" s="4">
        <f t="shared" si="103"/>
        <v>-57</v>
      </c>
      <c r="AN69" s="3">
        <f t="shared" si="104"/>
        <v>-62</v>
      </c>
      <c r="AO69" s="1">
        <f t="shared" si="105"/>
        <v>-62</v>
      </c>
      <c r="AP69" s="1">
        <f t="shared" si="106"/>
        <v>-58</v>
      </c>
      <c r="AQ69" s="1">
        <f t="shared" si="107"/>
        <v>-56</v>
      </c>
      <c r="AR69" s="1">
        <f t="shared" si="108"/>
        <v>-55</v>
      </c>
      <c r="AS69" s="1">
        <f t="shared" si="109"/>
        <v>-55</v>
      </c>
      <c r="AT69" s="1">
        <f t="shared" si="110"/>
        <v>-58</v>
      </c>
      <c r="AU69" s="4">
        <f t="shared" si="111"/>
        <v>-59</v>
      </c>
      <c r="AW69" s="3">
        <f t="shared" si="112"/>
        <v>-65</v>
      </c>
      <c r="AX69" s="1">
        <f t="shared" si="113"/>
        <v>-65</v>
      </c>
      <c r="AY69" s="1">
        <f t="shared" si="114"/>
        <v>-63</v>
      </c>
      <c r="AZ69" s="1">
        <f t="shared" si="115"/>
        <v>-60</v>
      </c>
      <c r="BA69" s="1">
        <f t="shared" si="116"/>
        <v>-59</v>
      </c>
      <c r="BB69" s="1">
        <f t="shared" si="117"/>
        <v>-58</v>
      </c>
      <c r="BC69" s="1">
        <f t="shared" si="118"/>
        <v>-60</v>
      </c>
      <c r="BD69" s="4">
        <f t="shared" si="119"/>
        <v>-61</v>
      </c>
      <c r="BF69" s="3">
        <v>-3</v>
      </c>
      <c r="BG69" s="1">
        <v>-3</v>
      </c>
      <c r="BH69" s="1">
        <v>-8</v>
      </c>
      <c r="BI69" s="1">
        <v>-3</v>
      </c>
      <c r="BJ69" s="1">
        <v>-3</v>
      </c>
      <c r="BK69" s="1">
        <v>-3</v>
      </c>
      <c r="BL69" s="1">
        <v>-5</v>
      </c>
      <c r="BM69" s="4">
        <v>-4</v>
      </c>
      <c r="BO69" s="3">
        <v>-7</v>
      </c>
      <c r="BP69" s="1">
        <v>-7</v>
      </c>
      <c r="BQ69" s="1">
        <v>-13</v>
      </c>
      <c r="BR69" s="1">
        <v>-8</v>
      </c>
      <c r="BS69" s="1">
        <v>-7</v>
      </c>
      <c r="BT69" s="1">
        <v>-7</v>
      </c>
      <c r="BU69" s="1">
        <v>-7</v>
      </c>
      <c r="BV69" s="4">
        <v>-8</v>
      </c>
      <c r="BX69" s="3">
        <v>-6</v>
      </c>
      <c r="BY69" s="1">
        <v>-6</v>
      </c>
      <c r="BZ69" s="1">
        <v>-7</v>
      </c>
      <c r="CA69" s="1">
        <v>-6</v>
      </c>
      <c r="CB69" s="1">
        <v>-6</v>
      </c>
      <c r="CC69" s="1">
        <v>-7</v>
      </c>
      <c r="CD69" s="1">
        <v>-9</v>
      </c>
      <c r="CE69" s="4">
        <v>-11</v>
      </c>
      <c r="CG69" s="3">
        <v>-4</v>
      </c>
      <c r="CH69" s="1">
        <v>-4</v>
      </c>
      <c r="CI69" s="1">
        <v>-5</v>
      </c>
      <c r="CJ69" s="1">
        <v>-3</v>
      </c>
      <c r="CK69" s="1">
        <v>-3</v>
      </c>
      <c r="CL69" s="1">
        <v>-3</v>
      </c>
      <c r="CM69" s="1">
        <v>-2</v>
      </c>
      <c r="CN69" s="4">
        <v>-2</v>
      </c>
      <c r="CP69" s="3">
        <v>-7</v>
      </c>
      <c r="CQ69" s="1">
        <v>-7</v>
      </c>
      <c r="CR69" s="1">
        <v>-10</v>
      </c>
      <c r="CS69" s="1">
        <v>-7</v>
      </c>
      <c r="CT69" s="1">
        <v>-7</v>
      </c>
      <c r="CU69" s="1">
        <v>-6</v>
      </c>
      <c r="CV69" s="1">
        <v>-4</v>
      </c>
      <c r="CW69" s="4">
        <v>-4</v>
      </c>
    </row>
    <row r="70" spans="1:101">
      <c r="A70" s="8" t="str">
        <f>VLOOKUP(B70,List!W:X,2,1)</f>
        <v>0.40 - 0.44</v>
      </c>
      <c r="B70" s="8">
        <v>0.4</v>
      </c>
      <c r="C70" s="8" t="s">
        <v>11</v>
      </c>
      <c r="D70" s="3">
        <v>-52</v>
      </c>
      <c r="E70" s="1">
        <v>-52</v>
      </c>
      <c r="F70" s="1">
        <v>-46</v>
      </c>
      <c r="G70" s="1">
        <v>-45</v>
      </c>
      <c r="H70" s="1">
        <v>-44</v>
      </c>
      <c r="I70" s="1">
        <v>-43</v>
      </c>
      <c r="J70" s="1">
        <v>-44</v>
      </c>
      <c r="K70" s="4">
        <v>-43</v>
      </c>
      <c r="M70" s="3">
        <f t="shared" si="80"/>
        <v>-58</v>
      </c>
      <c r="N70" s="1">
        <f t="shared" si="81"/>
        <v>-58</v>
      </c>
      <c r="O70" s="1">
        <f t="shared" si="82"/>
        <v>-52</v>
      </c>
      <c r="P70" s="1">
        <f t="shared" si="83"/>
        <v>-50</v>
      </c>
      <c r="Q70" s="1">
        <f t="shared" si="84"/>
        <v>-48</v>
      </c>
      <c r="R70" s="1">
        <f t="shared" si="85"/>
        <v>-47</v>
      </c>
      <c r="S70" s="1">
        <f t="shared" si="86"/>
        <v>-50</v>
      </c>
      <c r="T70" s="4">
        <f t="shared" si="87"/>
        <v>-47</v>
      </c>
      <c r="V70" s="3">
        <f t="shared" si="88"/>
        <v>-66</v>
      </c>
      <c r="W70" s="1">
        <f t="shared" si="89"/>
        <v>-66</v>
      </c>
      <c r="X70" s="1">
        <f t="shared" si="90"/>
        <v>-62</v>
      </c>
      <c r="Y70" s="1">
        <f t="shared" si="91"/>
        <v>-59</v>
      </c>
      <c r="Z70" s="1">
        <f t="shared" si="92"/>
        <v>-56</v>
      </c>
      <c r="AA70" s="1">
        <f t="shared" si="93"/>
        <v>-56</v>
      </c>
      <c r="AB70" s="1">
        <f t="shared" si="94"/>
        <v>-59</v>
      </c>
      <c r="AC70" s="4">
        <f t="shared" si="95"/>
        <v>-56</v>
      </c>
      <c r="AE70" s="3">
        <f t="shared" si="96"/>
        <v>-59</v>
      </c>
      <c r="AF70" s="1">
        <f t="shared" si="97"/>
        <v>-59</v>
      </c>
      <c r="AG70" s="1">
        <f t="shared" si="98"/>
        <v>-53</v>
      </c>
      <c r="AH70" s="1">
        <f t="shared" si="99"/>
        <v>-51</v>
      </c>
      <c r="AI70" s="1">
        <f t="shared" si="100"/>
        <v>-50</v>
      </c>
      <c r="AJ70" s="1">
        <f t="shared" si="101"/>
        <v>-50</v>
      </c>
      <c r="AK70" s="1">
        <f t="shared" si="102"/>
        <v>-54</v>
      </c>
      <c r="AL70" s="4">
        <f t="shared" si="103"/>
        <v>-55</v>
      </c>
      <c r="AN70" s="3">
        <f t="shared" si="104"/>
        <v>-61</v>
      </c>
      <c r="AO70" s="1">
        <f t="shared" si="105"/>
        <v>-61</v>
      </c>
      <c r="AP70" s="1">
        <f t="shared" si="106"/>
        <v>-56</v>
      </c>
      <c r="AQ70" s="1">
        <f t="shared" si="107"/>
        <v>-54</v>
      </c>
      <c r="AR70" s="1">
        <f t="shared" si="108"/>
        <v>-53</v>
      </c>
      <c r="AS70" s="1">
        <f t="shared" si="109"/>
        <v>-53</v>
      </c>
      <c r="AT70" s="1">
        <f t="shared" si="110"/>
        <v>-57</v>
      </c>
      <c r="AU70" s="4">
        <f t="shared" si="111"/>
        <v>-57</v>
      </c>
      <c r="AW70" s="3">
        <f t="shared" si="112"/>
        <v>-65</v>
      </c>
      <c r="AX70" s="1">
        <f t="shared" si="113"/>
        <v>-65</v>
      </c>
      <c r="AY70" s="1">
        <f t="shared" si="114"/>
        <v>-61</v>
      </c>
      <c r="AZ70" s="1">
        <f t="shared" si="115"/>
        <v>-60</v>
      </c>
      <c r="BA70" s="1">
        <f t="shared" si="116"/>
        <v>-59</v>
      </c>
      <c r="BB70" s="1">
        <f t="shared" si="117"/>
        <v>-57</v>
      </c>
      <c r="BC70" s="1">
        <f t="shared" si="118"/>
        <v>-59</v>
      </c>
      <c r="BD70" s="4">
        <f t="shared" si="119"/>
        <v>-59</v>
      </c>
      <c r="BF70" s="3">
        <v>-6</v>
      </c>
      <c r="BG70" s="1">
        <v>-6</v>
      </c>
      <c r="BH70" s="1">
        <v>-6</v>
      </c>
      <c r="BI70" s="1">
        <v>-5</v>
      </c>
      <c r="BJ70" s="1">
        <v>-4</v>
      </c>
      <c r="BK70" s="1">
        <v>-4</v>
      </c>
      <c r="BL70" s="1">
        <v>-6</v>
      </c>
      <c r="BM70" s="4">
        <v>-4</v>
      </c>
      <c r="BO70" s="3">
        <v>-8</v>
      </c>
      <c r="BP70" s="1">
        <v>-8</v>
      </c>
      <c r="BQ70" s="1">
        <v>-10</v>
      </c>
      <c r="BR70" s="1">
        <v>-9</v>
      </c>
      <c r="BS70" s="1">
        <v>-8</v>
      </c>
      <c r="BT70" s="1">
        <v>-9</v>
      </c>
      <c r="BU70" s="1">
        <v>-9</v>
      </c>
      <c r="BV70" s="4">
        <v>-9</v>
      </c>
      <c r="BX70" s="3">
        <v>-7</v>
      </c>
      <c r="BY70" s="1">
        <v>-7</v>
      </c>
      <c r="BZ70" s="1">
        <v>-7</v>
      </c>
      <c r="CA70" s="1">
        <v>-6</v>
      </c>
      <c r="CB70" s="1">
        <v>-6</v>
      </c>
      <c r="CC70" s="1">
        <v>-7</v>
      </c>
      <c r="CD70" s="1">
        <v>-10</v>
      </c>
      <c r="CE70" s="4">
        <v>-12</v>
      </c>
      <c r="CG70" s="3">
        <v>-2</v>
      </c>
      <c r="CH70" s="1">
        <v>-2</v>
      </c>
      <c r="CI70" s="1">
        <v>-3</v>
      </c>
      <c r="CJ70" s="1">
        <v>-3</v>
      </c>
      <c r="CK70" s="1">
        <v>-3</v>
      </c>
      <c r="CL70" s="1">
        <v>-3</v>
      </c>
      <c r="CM70" s="1">
        <v>-3</v>
      </c>
      <c r="CN70" s="4">
        <v>-2</v>
      </c>
      <c r="CP70" s="3">
        <v>-6</v>
      </c>
      <c r="CQ70" s="1">
        <v>-6</v>
      </c>
      <c r="CR70" s="1">
        <v>-8</v>
      </c>
      <c r="CS70" s="1">
        <v>-9</v>
      </c>
      <c r="CT70" s="1">
        <v>-9</v>
      </c>
      <c r="CU70" s="1">
        <v>-7</v>
      </c>
      <c r="CV70" s="1">
        <v>-5</v>
      </c>
      <c r="CW70" s="4">
        <v>-4</v>
      </c>
    </row>
    <row r="71" spans="1:101">
      <c r="A71" s="8" t="str">
        <f>VLOOKUP(B71,List!W:X,2,1)</f>
        <v>0.40 - 0.44</v>
      </c>
      <c r="B71" s="8">
        <v>0.4</v>
      </c>
      <c r="C71" s="8" t="s">
        <v>12</v>
      </c>
      <c r="D71" s="3">
        <v>-52</v>
      </c>
      <c r="E71" s="1">
        <v>-52</v>
      </c>
      <c r="F71" s="1">
        <v>-47</v>
      </c>
      <c r="G71" s="1">
        <v>-45</v>
      </c>
      <c r="H71" s="1">
        <v>-45</v>
      </c>
      <c r="I71" s="1">
        <v>-42</v>
      </c>
      <c r="J71" s="1">
        <v>-43</v>
      </c>
      <c r="K71" s="4">
        <v>-44</v>
      </c>
      <c r="M71" s="3">
        <f t="shared" si="80"/>
        <v>-56</v>
      </c>
      <c r="N71" s="1">
        <f t="shared" si="81"/>
        <v>-56</v>
      </c>
      <c r="O71" s="1">
        <f t="shared" si="82"/>
        <v>-53</v>
      </c>
      <c r="P71" s="1">
        <f t="shared" si="83"/>
        <v>-51</v>
      </c>
      <c r="Q71" s="1">
        <f t="shared" si="84"/>
        <v>-49</v>
      </c>
      <c r="R71" s="1">
        <f t="shared" si="85"/>
        <v>-47</v>
      </c>
      <c r="S71" s="1">
        <f t="shared" si="86"/>
        <v>-48</v>
      </c>
      <c r="T71" s="4">
        <f t="shared" si="87"/>
        <v>-48</v>
      </c>
      <c r="V71" s="3">
        <f t="shared" si="88"/>
        <v>-61</v>
      </c>
      <c r="W71" s="1">
        <f t="shared" si="89"/>
        <v>-61</v>
      </c>
      <c r="X71" s="1">
        <f t="shared" si="90"/>
        <v>-62</v>
      </c>
      <c r="Y71" s="1">
        <f t="shared" si="91"/>
        <v>-60</v>
      </c>
      <c r="Z71" s="1">
        <f t="shared" si="92"/>
        <v>-56</v>
      </c>
      <c r="AA71" s="1">
        <f t="shared" si="93"/>
        <v>-57</v>
      </c>
      <c r="AB71" s="1">
        <f t="shared" si="94"/>
        <v>-55</v>
      </c>
      <c r="AC71" s="4">
        <f t="shared" si="95"/>
        <v>-54</v>
      </c>
      <c r="AE71" s="3">
        <f t="shared" si="96"/>
        <v>-59</v>
      </c>
      <c r="AF71" s="1">
        <f t="shared" si="97"/>
        <v>-59</v>
      </c>
      <c r="AG71" s="1">
        <f t="shared" si="98"/>
        <v>-55</v>
      </c>
      <c r="AH71" s="1">
        <f t="shared" si="99"/>
        <v>-53</v>
      </c>
      <c r="AI71" s="1">
        <f t="shared" si="100"/>
        <v>-51</v>
      </c>
      <c r="AJ71" s="1">
        <f t="shared" si="101"/>
        <v>-49</v>
      </c>
      <c r="AK71" s="1">
        <f t="shared" si="102"/>
        <v>-51</v>
      </c>
      <c r="AL71" s="4">
        <f t="shared" si="103"/>
        <v>-52</v>
      </c>
      <c r="AN71" s="3">
        <f t="shared" si="104"/>
        <v>-61</v>
      </c>
      <c r="AO71" s="1">
        <f t="shared" si="105"/>
        <v>-61</v>
      </c>
      <c r="AP71" s="1">
        <f t="shared" si="106"/>
        <v>-58</v>
      </c>
      <c r="AQ71" s="1">
        <f t="shared" si="107"/>
        <v>-56</v>
      </c>
      <c r="AR71" s="1">
        <f t="shared" si="108"/>
        <v>-55</v>
      </c>
      <c r="AS71" s="1">
        <f t="shared" si="109"/>
        <v>-53</v>
      </c>
      <c r="AT71" s="1">
        <f t="shared" si="110"/>
        <v>-55</v>
      </c>
      <c r="AU71" s="4">
        <f t="shared" si="111"/>
        <v>-54</v>
      </c>
      <c r="AW71" s="3">
        <f t="shared" si="112"/>
        <v>-63</v>
      </c>
      <c r="AX71" s="1">
        <f t="shared" si="113"/>
        <v>-63</v>
      </c>
      <c r="AY71" s="1">
        <f t="shared" si="114"/>
        <v>-62</v>
      </c>
      <c r="AZ71" s="1">
        <f t="shared" si="115"/>
        <v>-61</v>
      </c>
      <c r="BA71" s="1">
        <f t="shared" si="116"/>
        <v>-59</v>
      </c>
      <c r="BB71" s="1">
        <f t="shared" si="117"/>
        <v>-57</v>
      </c>
      <c r="BC71" s="1">
        <f t="shared" si="118"/>
        <v>-57</v>
      </c>
      <c r="BD71" s="4">
        <f t="shared" si="119"/>
        <v>-58</v>
      </c>
      <c r="BF71" s="3">
        <v>-4</v>
      </c>
      <c r="BG71" s="1">
        <v>-4</v>
      </c>
      <c r="BH71" s="1">
        <v>-6</v>
      </c>
      <c r="BI71" s="1">
        <v>-6</v>
      </c>
      <c r="BJ71" s="1">
        <v>-4</v>
      </c>
      <c r="BK71" s="1">
        <v>-5</v>
      </c>
      <c r="BL71" s="1">
        <v>-5</v>
      </c>
      <c r="BM71" s="4">
        <v>-4</v>
      </c>
      <c r="BO71" s="3">
        <v>-5</v>
      </c>
      <c r="BP71" s="1">
        <v>-5</v>
      </c>
      <c r="BQ71" s="1">
        <v>-9</v>
      </c>
      <c r="BR71" s="1">
        <v>-9</v>
      </c>
      <c r="BS71" s="1">
        <v>-7</v>
      </c>
      <c r="BT71" s="1">
        <v>-10</v>
      </c>
      <c r="BU71" s="1">
        <v>-7</v>
      </c>
      <c r="BV71" s="4">
        <v>-6</v>
      </c>
      <c r="BX71" s="3">
        <v>-7</v>
      </c>
      <c r="BY71" s="1">
        <v>-7</v>
      </c>
      <c r="BZ71" s="1">
        <v>-8</v>
      </c>
      <c r="CA71" s="1">
        <v>-8</v>
      </c>
      <c r="CB71" s="1">
        <v>-6</v>
      </c>
      <c r="CC71" s="1">
        <v>-7</v>
      </c>
      <c r="CD71" s="1">
        <v>-8</v>
      </c>
      <c r="CE71" s="4">
        <v>-8</v>
      </c>
      <c r="CG71" s="3">
        <v>-2</v>
      </c>
      <c r="CH71" s="1">
        <v>-2</v>
      </c>
      <c r="CI71" s="1">
        <v>-3</v>
      </c>
      <c r="CJ71" s="1">
        <v>-3</v>
      </c>
      <c r="CK71" s="1">
        <v>-4</v>
      </c>
      <c r="CL71" s="1">
        <v>-4</v>
      </c>
      <c r="CM71" s="1">
        <v>-4</v>
      </c>
      <c r="CN71" s="4">
        <v>-2</v>
      </c>
      <c r="CP71" s="3">
        <v>-4</v>
      </c>
      <c r="CQ71" s="1">
        <v>-4</v>
      </c>
      <c r="CR71" s="1">
        <v>-7</v>
      </c>
      <c r="CS71" s="1">
        <v>-8</v>
      </c>
      <c r="CT71" s="1">
        <v>-8</v>
      </c>
      <c r="CU71" s="1">
        <v>-8</v>
      </c>
      <c r="CV71" s="1">
        <v>-6</v>
      </c>
      <c r="CW71" s="4">
        <v>-6</v>
      </c>
    </row>
    <row r="72" spans="1:101">
      <c r="A72" s="8" t="str">
        <f>VLOOKUP(B72,List!W:X,2,1)</f>
        <v>0.40 - 0.44</v>
      </c>
      <c r="B72" s="8">
        <v>0.4</v>
      </c>
      <c r="C72" s="8" t="s">
        <v>13</v>
      </c>
      <c r="D72" s="3">
        <v>-46</v>
      </c>
      <c r="E72" s="1">
        <v>-46</v>
      </c>
      <c r="F72" s="1">
        <v>-43</v>
      </c>
      <c r="G72" s="1">
        <v>-45</v>
      </c>
      <c r="H72" s="1">
        <v>-42</v>
      </c>
      <c r="I72" s="1">
        <v>-43</v>
      </c>
      <c r="J72" s="1">
        <v>-48</v>
      </c>
      <c r="K72" s="4">
        <v>-45</v>
      </c>
      <c r="M72" s="3">
        <f t="shared" si="80"/>
        <v>-52</v>
      </c>
      <c r="N72" s="1">
        <f t="shared" si="81"/>
        <v>-52</v>
      </c>
      <c r="O72" s="1">
        <f t="shared" si="82"/>
        <v>-49</v>
      </c>
      <c r="P72" s="1">
        <f t="shared" si="83"/>
        <v>-49</v>
      </c>
      <c r="Q72" s="1">
        <f t="shared" si="84"/>
        <v>-46</v>
      </c>
      <c r="R72" s="1">
        <f t="shared" si="85"/>
        <v>-48</v>
      </c>
      <c r="S72" s="1">
        <f t="shared" si="86"/>
        <v>-50</v>
      </c>
      <c r="T72" s="4">
        <f t="shared" si="87"/>
        <v>-50</v>
      </c>
      <c r="V72" s="3">
        <f t="shared" si="88"/>
        <v>-59</v>
      </c>
      <c r="W72" s="1">
        <f t="shared" si="89"/>
        <v>-59</v>
      </c>
      <c r="X72" s="1">
        <f t="shared" si="90"/>
        <v>-60</v>
      </c>
      <c r="Y72" s="1">
        <f t="shared" si="91"/>
        <v>-56</v>
      </c>
      <c r="Z72" s="1">
        <f t="shared" si="92"/>
        <v>-53</v>
      </c>
      <c r="AA72" s="1">
        <f t="shared" si="93"/>
        <v>-57</v>
      </c>
      <c r="AB72" s="1">
        <f t="shared" si="94"/>
        <v>-55</v>
      </c>
      <c r="AC72" s="4">
        <f t="shared" si="95"/>
        <v>-58</v>
      </c>
      <c r="AE72" s="3">
        <f t="shared" si="96"/>
        <v>-55</v>
      </c>
      <c r="AF72" s="1">
        <f t="shared" si="97"/>
        <v>-55</v>
      </c>
      <c r="AG72" s="1">
        <f t="shared" si="98"/>
        <v>-53</v>
      </c>
      <c r="AH72" s="1">
        <f t="shared" si="99"/>
        <v>-52</v>
      </c>
      <c r="AI72" s="1">
        <f t="shared" si="100"/>
        <v>-50</v>
      </c>
      <c r="AJ72" s="1">
        <f t="shared" si="101"/>
        <v>-51</v>
      </c>
      <c r="AK72" s="1">
        <f t="shared" si="102"/>
        <v>-54</v>
      </c>
      <c r="AL72" s="4">
        <f t="shared" si="103"/>
        <v>-53</v>
      </c>
      <c r="AN72" s="3">
        <f t="shared" si="104"/>
        <v>-57</v>
      </c>
      <c r="AO72" s="1">
        <f t="shared" si="105"/>
        <v>-57</v>
      </c>
      <c r="AP72" s="1">
        <f t="shared" si="106"/>
        <v>-56</v>
      </c>
      <c r="AQ72" s="1">
        <f t="shared" si="107"/>
        <v>-55</v>
      </c>
      <c r="AR72" s="1">
        <f t="shared" si="108"/>
        <v>-53</v>
      </c>
      <c r="AS72" s="1">
        <f t="shared" si="109"/>
        <v>-55</v>
      </c>
      <c r="AT72" s="1">
        <f t="shared" si="110"/>
        <v>-56</v>
      </c>
      <c r="AU72" s="4">
        <f t="shared" si="111"/>
        <v>-56</v>
      </c>
      <c r="AW72" s="3">
        <f t="shared" si="112"/>
        <v>-60</v>
      </c>
      <c r="AX72" s="1">
        <f t="shared" si="113"/>
        <v>-60</v>
      </c>
      <c r="AY72" s="1">
        <f t="shared" si="114"/>
        <v>-59</v>
      </c>
      <c r="AZ72" s="1">
        <f t="shared" si="115"/>
        <v>-58</v>
      </c>
      <c r="BA72" s="1">
        <f t="shared" si="116"/>
        <v>-56</v>
      </c>
      <c r="BB72" s="1">
        <f t="shared" si="117"/>
        <v>-57</v>
      </c>
      <c r="BC72" s="1">
        <f t="shared" si="118"/>
        <v>-58</v>
      </c>
      <c r="BD72" s="4">
        <f t="shared" si="119"/>
        <v>-58</v>
      </c>
      <c r="BF72" s="3">
        <v>-6</v>
      </c>
      <c r="BG72" s="1">
        <v>-6</v>
      </c>
      <c r="BH72" s="1">
        <v>-6</v>
      </c>
      <c r="BI72" s="1">
        <v>-4</v>
      </c>
      <c r="BJ72" s="1">
        <v>-4</v>
      </c>
      <c r="BK72" s="1">
        <v>-5</v>
      </c>
      <c r="BL72" s="1">
        <v>-2</v>
      </c>
      <c r="BM72" s="4">
        <v>-5</v>
      </c>
      <c r="BO72" s="3">
        <v>-7</v>
      </c>
      <c r="BP72" s="1">
        <v>-7</v>
      </c>
      <c r="BQ72" s="1">
        <v>-11</v>
      </c>
      <c r="BR72" s="1">
        <v>-7</v>
      </c>
      <c r="BS72" s="1">
        <v>-7</v>
      </c>
      <c r="BT72" s="1">
        <v>-9</v>
      </c>
      <c r="BU72" s="1">
        <v>-5</v>
      </c>
      <c r="BV72" s="4">
        <v>-8</v>
      </c>
      <c r="BX72" s="3">
        <v>-9</v>
      </c>
      <c r="BY72" s="1">
        <v>-9</v>
      </c>
      <c r="BZ72" s="1">
        <v>-10</v>
      </c>
      <c r="CA72" s="1">
        <v>-7</v>
      </c>
      <c r="CB72" s="1">
        <v>-8</v>
      </c>
      <c r="CC72" s="1">
        <v>-8</v>
      </c>
      <c r="CD72" s="1">
        <v>-6</v>
      </c>
      <c r="CE72" s="4">
        <v>-8</v>
      </c>
      <c r="CG72" s="3">
        <v>-2</v>
      </c>
      <c r="CH72" s="1">
        <v>-2</v>
      </c>
      <c r="CI72" s="1">
        <v>-3</v>
      </c>
      <c r="CJ72" s="1">
        <v>-3</v>
      </c>
      <c r="CK72" s="1">
        <v>-3</v>
      </c>
      <c r="CL72" s="1">
        <v>-4</v>
      </c>
      <c r="CM72" s="1">
        <v>-2</v>
      </c>
      <c r="CN72" s="4">
        <v>-3</v>
      </c>
      <c r="CP72" s="3">
        <v>-5</v>
      </c>
      <c r="CQ72" s="1">
        <v>-5</v>
      </c>
      <c r="CR72" s="1">
        <v>-6</v>
      </c>
      <c r="CS72" s="1">
        <v>-6</v>
      </c>
      <c r="CT72" s="1">
        <v>-6</v>
      </c>
      <c r="CU72" s="1">
        <v>-6</v>
      </c>
      <c r="CV72" s="1">
        <v>-4</v>
      </c>
      <c r="CW72" s="4">
        <v>-5</v>
      </c>
    </row>
    <row r="73" spans="1:101">
      <c r="A73" s="8" t="str">
        <f>VLOOKUP(B73,List!W:X,2,1)</f>
        <v>0.40 - 0.44</v>
      </c>
      <c r="B73" s="8">
        <v>0.4</v>
      </c>
      <c r="C73" s="8" t="s">
        <v>14</v>
      </c>
      <c r="D73" s="3">
        <v>-49</v>
      </c>
      <c r="E73" s="1">
        <v>-49</v>
      </c>
      <c r="F73" s="1">
        <v>-46</v>
      </c>
      <c r="G73" s="1">
        <v>-46</v>
      </c>
      <c r="H73" s="1">
        <v>-42</v>
      </c>
      <c r="I73" s="1">
        <v>-46</v>
      </c>
      <c r="J73" s="1">
        <v>-44</v>
      </c>
      <c r="K73" s="4">
        <v>-45</v>
      </c>
      <c r="M73" s="3">
        <f t="shared" si="80"/>
        <v>-54</v>
      </c>
      <c r="N73" s="1">
        <f t="shared" si="81"/>
        <v>-54</v>
      </c>
      <c r="O73" s="1">
        <f t="shared" si="82"/>
        <v>-53</v>
      </c>
      <c r="P73" s="1">
        <f t="shared" si="83"/>
        <v>-51</v>
      </c>
      <c r="Q73" s="1">
        <f t="shared" si="84"/>
        <v>-48</v>
      </c>
      <c r="R73" s="1">
        <f t="shared" si="85"/>
        <v>-49</v>
      </c>
      <c r="S73" s="1">
        <f t="shared" si="86"/>
        <v>-49</v>
      </c>
      <c r="T73" s="4">
        <f t="shared" si="87"/>
        <v>-50</v>
      </c>
      <c r="V73" s="3">
        <f t="shared" si="88"/>
        <v>-62</v>
      </c>
      <c r="W73" s="1">
        <f t="shared" si="89"/>
        <v>-62</v>
      </c>
      <c r="X73" s="1">
        <f t="shared" si="90"/>
        <v>-63</v>
      </c>
      <c r="Y73" s="1">
        <f t="shared" si="91"/>
        <v>-59</v>
      </c>
      <c r="Z73" s="1">
        <f t="shared" si="92"/>
        <v>-57</v>
      </c>
      <c r="AA73" s="1">
        <f t="shared" si="93"/>
        <v>-55</v>
      </c>
      <c r="AB73" s="1">
        <f t="shared" si="94"/>
        <v>-56</v>
      </c>
      <c r="AC73" s="4">
        <f t="shared" si="95"/>
        <v>-58</v>
      </c>
      <c r="AE73" s="3">
        <f t="shared" si="96"/>
        <v>-57</v>
      </c>
      <c r="AF73" s="1">
        <f t="shared" si="97"/>
        <v>-57</v>
      </c>
      <c r="AG73" s="1">
        <f t="shared" si="98"/>
        <v>-56</v>
      </c>
      <c r="AH73" s="1">
        <f t="shared" si="99"/>
        <v>-54</v>
      </c>
      <c r="AI73" s="1">
        <f t="shared" si="100"/>
        <v>-51</v>
      </c>
      <c r="AJ73" s="1">
        <f t="shared" si="101"/>
        <v>-52</v>
      </c>
      <c r="AK73" s="1">
        <f t="shared" si="102"/>
        <v>-54</v>
      </c>
      <c r="AL73" s="4">
        <f t="shared" si="103"/>
        <v>-54</v>
      </c>
      <c r="AN73" s="3">
        <f t="shared" si="104"/>
        <v>-60</v>
      </c>
      <c r="AO73" s="1">
        <f t="shared" si="105"/>
        <v>-60</v>
      </c>
      <c r="AP73" s="1">
        <f t="shared" si="106"/>
        <v>-59</v>
      </c>
      <c r="AQ73" s="1">
        <f t="shared" si="107"/>
        <v>-57</v>
      </c>
      <c r="AR73" s="1">
        <f t="shared" si="108"/>
        <v>-55</v>
      </c>
      <c r="AS73" s="1">
        <f t="shared" si="109"/>
        <v>-55</v>
      </c>
      <c r="AT73" s="1">
        <f t="shared" si="110"/>
        <v>-56</v>
      </c>
      <c r="AU73" s="4">
        <f t="shared" si="111"/>
        <v>-57</v>
      </c>
      <c r="AW73" s="3">
        <f t="shared" si="112"/>
        <v>-62</v>
      </c>
      <c r="AX73" s="1">
        <f t="shared" si="113"/>
        <v>-62</v>
      </c>
      <c r="AY73" s="1">
        <f t="shared" si="114"/>
        <v>-62</v>
      </c>
      <c r="AZ73" s="1">
        <f t="shared" si="115"/>
        <v>-60</v>
      </c>
      <c r="BA73" s="1">
        <f t="shared" si="116"/>
        <v>-58</v>
      </c>
      <c r="BB73" s="1">
        <f t="shared" si="117"/>
        <v>-58</v>
      </c>
      <c r="BC73" s="1">
        <f t="shared" si="118"/>
        <v>-58</v>
      </c>
      <c r="BD73" s="4">
        <f t="shared" si="119"/>
        <v>-60</v>
      </c>
      <c r="BF73" s="3">
        <v>-5</v>
      </c>
      <c r="BG73" s="1">
        <v>-5</v>
      </c>
      <c r="BH73" s="1">
        <v>-7</v>
      </c>
      <c r="BI73" s="1">
        <v>-5</v>
      </c>
      <c r="BJ73" s="1">
        <v>-6</v>
      </c>
      <c r="BK73" s="1">
        <v>-3</v>
      </c>
      <c r="BL73" s="1">
        <v>-5</v>
      </c>
      <c r="BM73" s="4">
        <v>-5</v>
      </c>
      <c r="BO73" s="3">
        <v>-8</v>
      </c>
      <c r="BP73" s="1">
        <v>-8</v>
      </c>
      <c r="BQ73" s="1">
        <v>-10</v>
      </c>
      <c r="BR73" s="1">
        <v>-8</v>
      </c>
      <c r="BS73" s="1">
        <v>-9</v>
      </c>
      <c r="BT73" s="1">
        <v>-6</v>
      </c>
      <c r="BU73" s="1">
        <v>-7</v>
      </c>
      <c r="BV73" s="4">
        <v>-8</v>
      </c>
      <c r="BX73" s="3">
        <v>-8</v>
      </c>
      <c r="BY73" s="1">
        <v>-8</v>
      </c>
      <c r="BZ73" s="1">
        <v>-10</v>
      </c>
      <c r="CA73" s="1">
        <v>-8</v>
      </c>
      <c r="CB73" s="1">
        <v>-9</v>
      </c>
      <c r="CC73" s="1">
        <v>-6</v>
      </c>
      <c r="CD73" s="1">
        <v>-10</v>
      </c>
      <c r="CE73" s="4">
        <v>-9</v>
      </c>
      <c r="CG73" s="3">
        <v>-3</v>
      </c>
      <c r="CH73" s="1">
        <v>-3</v>
      </c>
      <c r="CI73" s="1">
        <v>-3</v>
      </c>
      <c r="CJ73" s="1">
        <v>-3</v>
      </c>
      <c r="CK73" s="1">
        <v>-4</v>
      </c>
      <c r="CL73" s="1">
        <v>-3</v>
      </c>
      <c r="CM73" s="1">
        <v>-2</v>
      </c>
      <c r="CN73" s="4">
        <v>-3</v>
      </c>
      <c r="CP73" s="3">
        <v>-5</v>
      </c>
      <c r="CQ73" s="1">
        <v>-5</v>
      </c>
      <c r="CR73" s="1">
        <v>-6</v>
      </c>
      <c r="CS73" s="1">
        <v>-6</v>
      </c>
      <c r="CT73" s="1">
        <v>-7</v>
      </c>
      <c r="CU73" s="1">
        <v>-6</v>
      </c>
      <c r="CV73" s="1">
        <v>-4</v>
      </c>
      <c r="CW73" s="4">
        <v>-6</v>
      </c>
    </row>
    <row r="74" spans="1:101">
      <c r="A74" s="8" t="str">
        <f>VLOOKUP(B74,List!W:X,2,1)</f>
        <v>0.40 - 0.44</v>
      </c>
      <c r="B74" s="8">
        <v>0.4</v>
      </c>
      <c r="C74" s="8" t="s">
        <v>15</v>
      </c>
      <c r="D74" s="3">
        <v>-44</v>
      </c>
      <c r="E74" s="1">
        <v>-44</v>
      </c>
      <c r="F74" s="1">
        <v>-44</v>
      </c>
      <c r="G74" s="1">
        <v>-43</v>
      </c>
      <c r="H74" s="1">
        <v>-42</v>
      </c>
      <c r="I74" s="1">
        <v>-44</v>
      </c>
      <c r="J74" s="1">
        <v>-42</v>
      </c>
      <c r="K74" s="4">
        <v>-44</v>
      </c>
      <c r="M74" s="3">
        <f t="shared" si="80"/>
        <v>-48</v>
      </c>
      <c r="N74" s="1">
        <f t="shared" si="81"/>
        <v>-48</v>
      </c>
      <c r="O74" s="1">
        <f t="shared" si="82"/>
        <v>-48</v>
      </c>
      <c r="P74" s="1">
        <f t="shared" si="83"/>
        <v>-47</v>
      </c>
      <c r="Q74" s="1">
        <f t="shared" si="84"/>
        <v>-46</v>
      </c>
      <c r="R74" s="1">
        <f t="shared" si="85"/>
        <v>-46</v>
      </c>
      <c r="S74" s="1">
        <f t="shared" si="86"/>
        <v>-46</v>
      </c>
      <c r="T74" s="4">
        <f t="shared" si="87"/>
        <v>-48</v>
      </c>
      <c r="V74" s="3">
        <f t="shared" si="88"/>
        <v>-57</v>
      </c>
      <c r="W74" s="1">
        <f t="shared" si="89"/>
        <v>-57</v>
      </c>
      <c r="X74" s="1">
        <f t="shared" si="90"/>
        <v>-56</v>
      </c>
      <c r="Y74" s="1">
        <f t="shared" si="91"/>
        <v>-56</v>
      </c>
      <c r="Z74" s="1">
        <f t="shared" si="92"/>
        <v>-54</v>
      </c>
      <c r="AA74" s="1">
        <f t="shared" si="93"/>
        <v>-54</v>
      </c>
      <c r="AB74" s="1">
        <f t="shared" si="94"/>
        <v>-54</v>
      </c>
      <c r="AC74" s="4">
        <f t="shared" si="95"/>
        <v>-55</v>
      </c>
      <c r="AE74" s="3">
        <f t="shared" si="96"/>
        <v>-52</v>
      </c>
      <c r="AF74" s="1">
        <f t="shared" si="97"/>
        <v>-52</v>
      </c>
      <c r="AG74" s="1">
        <f t="shared" si="98"/>
        <v>-51</v>
      </c>
      <c r="AH74" s="1">
        <f t="shared" si="99"/>
        <v>-49</v>
      </c>
      <c r="AI74" s="1">
        <f t="shared" si="100"/>
        <v>-47</v>
      </c>
      <c r="AJ74" s="1">
        <f t="shared" si="101"/>
        <v>-49</v>
      </c>
      <c r="AK74" s="1">
        <f t="shared" si="102"/>
        <v>-47</v>
      </c>
      <c r="AL74" s="4">
        <f t="shared" si="103"/>
        <v>-48</v>
      </c>
      <c r="AN74" s="3">
        <f t="shared" si="104"/>
        <v>-55</v>
      </c>
      <c r="AO74" s="1">
        <f t="shared" si="105"/>
        <v>-55</v>
      </c>
      <c r="AP74" s="1">
        <f t="shared" si="106"/>
        <v>-53</v>
      </c>
      <c r="AQ74" s="1">
        <f t="shared" si="107"/>
        <v>-54</v>
      </c>
      <c r="AR74" s="1">
        <f t="shared" si="108"/>
        <v>-52</v>
      </c>
      <c r="AS74" s="1">
        <f t="shared" si="109"/>
        <v>-54</v>
      </c>
      <c r="AT74" s="1">
        <f t="shared" si="110"/>
        <v>-52</v>
      </c>
      <c r="AU74" s="4">
        <f t="shared" si="111"/>
        <v>-53</v>
      </c>
      <c r="AW74" s="3">
        <f t="shared" si="112"/>
        <v>-58</v>
      </c>
      <c r="AX74" s="1">
        <f t="shared" si="113"/>
        <v>-58</v>
      </c>
      <c r="AY74" s="1">
        <f t="shared" si="114"/>
        <v>-56</v>
      </c>
      <c r="AZ74" s="1">
        <f t="shared" si="115"/>
        <v>-56</v>
      </c>
      <c r="BA74" s="1">
        <f t="shared" si="116"/>
        <v>-55</v>
      </c>
      <c r="BB74" s="1">
        <f t="shared" si="117"/>
        <v>-56</v>
      </c>
      <c r="BC74" s="1">
        <f t="shared" si="118"/>
        <v>-57</v>
      </c>
      <c r="BD74" s="4">
        <f t="shared" si="119"/>
        <v>-57</v>
      </c>
      <c r="BF74" s="3">
        <v>-4</v>
      </c>
      <c r="BG74" s="1">
        <v>-4</v>
      </c>
      <c r="BH74" s="1">
        <v>-4</v>
      </c>
      <c r="BI74" s="1">
        <v>-4</v>
      </c>
      <c r="BJ74" s="1">
        <v>-4</v>
      </c>
      <c r="BK74" s="1">
        <v>-2</v>
      </c>
      <c r="BL74" s="1">
        <v>-4</v>
      </c>
      <c r="BM74" s="4">
        <v>-4</v>
      </c>
      <c r="BO74" s="3">
        <v>-9</v>
      </c>
      <c r="BP74" s="1">
        <v>-9</v>
      </c>
      <c r="BQ74" s="1">
        <v>-8</v>
      </c>
      <c r="BR74" s="1">
        <v>-9</v>
      </c>
      <c r="BS74" s="1">
        <v>-8</v>
      </c>
      <c r="BT74" s="1">
        <v>-8</v>
      </c>
      <c r="BU74" s="1">
        <v>-8</v>
      </c>
      <c r="BV74" s="4">
        <v>-7</v>
      </c>
      <c r="BX74" s="3">
        <v>-8</v>
      </c>
      <c r="BY74" s="1">
        <v>-8</v>
      </c>
      <c r="BZ74" s="1">
        <v>-7</v>
      </c>
      <c r="CA74" s="1">
        <v>-6</v>
      </c>
      <c r="CB74" s="1">
        <v>-5</v>
      </c>
      <c r="CC74" s="1">
        <v>-5</v>
      </c>
      <c r="CD74" s="1">
        <v>-5</v>
      </c>
      <c r="CE74" s="4">
        <v>-4</v>
      </c>
      <c r="CG74" s="3">
        <v>-3</v>
      </c>
      <c r="CH74" s="1">
        <v>-3</v>
      </c>
      <c r="CI74" s="1">
        <v>-2</v>
      </c>
      <c r="CJ74" s="1">
        <v>-5</v>
      </c>
      <c r="CK74" s="1">
        <v>-5</v>
      </c>
      <c r="CL74" s="1">
        <v>-5</v>
      </c>
      <c r="CM74" s="1">
        <v>-5</v>
      </c>
      <c r="CN74" s="4">
        <v>-5</v>
      </c>
      <c r="CP74" s="3">
        <v>-6</v>
      </c>
      <c r="CQ74" s="1">
        <v>-6</v>
      </c>
      <c r="CR74" s="1">
        <v>-5</v>
      </c>
      <c r="CS74" s="1">
        <v>-7</v>
      </c>
      <c r="CT74" s="1">
        <v>-8</v>
      </c>
      <c r="CU74" s="1">
        <v>-7</v>
      </c>
      <c r="CV74" s="1">
        <v>-10</v>
      </c>
      <c r="CW74" s="4">
        <v>-9</v>
      </c>
    </row>
    <row r="75" spans="1:101">
      <c r="A75" s="8" t="str">
        <f>VLOOKUP(B75,List!W:X,2,1)</f>
        <v>0.45 - 0.47</v>
      </c>
      <c r="B75" s="8">
        <v>0.45</v>
      </c>
      <c r="C75" s="8" t="s">
        <v>8</v>
      </c>
      <c r="D75" s="3">
        <v>-46</v>
      </c>
      <c r="E75" s="1">
        <v>-46</v>
      </c>
      <c r="F75" s="1">
        <v>-47</v>
      </c>
      <c r="G75" s="1">
        <v>-46</v>
      </c>
      <c r="H75" s="1">
        <v>-47</v>
      </c>
      <c r="I75" s="1">
        <v>-46</v>
      </c>
      <c r="J75" s="1">
        <v>-43</v>
      </c>
      <c r="K75" s="4">
        <v>-48</v>
      </c>
      <c r="M75" s="3">
        <f t="shared" si="80"/>
        <v>-50</v>
      </c>
      <c r="N75" s="1">
        <f t="shared" si="81"/>
        <v>-50</v>
      </c>
      <c r="O75" s="1">
        <f t="shared" si="82"/>
        <v>-53</v>
      </c>
      <c r="P75" s="1">
        <f t="shared" si="83"/>
        <v>-52</v>
      </c>
      <c r="Q75" s="1">
        <f t="shared" si="84"/>
        <v>-51</v>
      </c>
      <c r="R75" s="1">
        <f t="shared" si="85"/>
        <v>-50</v>
      </c>
      <c r="S75" s="1">
        <f t="shared" si="86"/>
        <v>-51</v>
      </c>
      <c r="T75" s="4">
        <f t="shared" si="87"/>
        <v>-51</v>
      </c>
      <c r="V75" s="3">
        <f t="shared" si="88"/>
        <v>-60</v>
      </c>
      <c r="W75" s="1">
        <f t="shared" si="89"/>
        <v>-60</v>
      </c>
      <c r="X75" s="1">
        <f t="shared" si="90"/>
        <v>-63</v>
      </c>
      <c r="Y75" s="1">
        <f t="shared" si="91"/>
        <v>-63</v>
      </c>
      <c r="Z75" s="1">
        <f t="shared" si="92"/>
        <v>-60</v>
      </c>
      <c r="AA75" s="1">
        <f t="shared" si="93"/>
        <v>-59</v>
      </c>
      <c r="AB75" s="1">
        <f t="shared" si="94"/>
        <v>-62</v>
      </c>
      <c r="AC75" s="4">
        <f t="shared" si="95"/>
        <v>-58</v>
      </c>
      <c r="AE75" s="3">
        <f t="shared" si="96"/>
        <v>-53</v>
      </c>
      <c r="AF75" s="1">
        <f t="shared" si="97"/>
        <v>-53</v>
      </c>
      <c r="AG75" s="1">
        <f t="shared" si="98"/>
        <v>-55</v>
      </c>
      <c r="AH75" s="1">
        <f t="shared" si="99"/>
        <v>-54</v>
      </c>
      <c r="AI75" s="1">
        <f t="shared" si="100"/>
        <v>-54</v>
      </c>
      <c r="AJ75" s="1">
        <f t="shared" si="101"/>
        <v>-52</v>
      </c>
      <c r="AK75" s="1">
        <f t="shared" si="102"/>
        <v>-54</v>
      </c>
      <c r="AL75" s="4">
        <f t="shared" si="103"/>
        <v>-56</v>
      </c>
      <c r="AN75" s="3">
        <f t="shared" si="104"/>
        <v>-57</v>
      </c>
      <c r="AO75" s="1">
        <f t="shared" si="105"/>
        <v>-57</v>
      </c>
      <c r="AP75" s="1">
        <f t="shared" si="106"/>
        <v>-60</v>
      </c>
      <c r="AQ75" s="1">
        <f t="shared" si="107"/>
        <v>-58</v>
      </c>
      <c r="AR75" s="1">
        <f t="shared" si="108"/>
        <v>-57</v>
      </c>
      <c r="AS75" s="1">
        <f t="shared" si="109"/>
        <v>-56</v>
      </c>
      <c r="AT75" s="1">
        <f t="shared" si="110"/>
        <v>-57</v>
      </c>
      <c r="AU75" s="4">
        <f t="shared" si="111"/>
        <v>-59</v>
      </c>
      <c r="AW75" s="3">
        <f t="shared" si="112"/>
        <v>-62</v>
      </c>
      <c r="AX75" s="1">
        <f t="shared" si="113"/>
        <v>-62</v>
      </c>
      <c r="AY75" s="1">
        <f t="shared" si="114"/>
        <v>-65</v>
      </c>
      <c r="AZ75" s="1">
        <f t="shared" si="115"/>
        <v>-62</v>
      </c>
      <c r="BA75" s="1">
        <f t="shared" si="116"/>
        <v>-61</v>
      </c>
      <c r="BB75" s="1">
        <f t="shared" si="117"/>
        <v>-59</v>
      </c>
      <c r="BC75" s="1">
        <f t="shared" si="118"/>
        <v>-60</v>
      </c>
      <c r="BD75" s="4">
        <f t="shared" si="119"/>
        <v>-61</v>
      </c>
      <c r="BF75" s="3">
        <v>-4</v>
      </c>
      <c r="BG75" s="1">
        <v>-4</v>
      </c>
      <c r="BH75" s="1">
        <v>-6</v>
      </c>
      <c r="BI75" s="1">
        <v>-6</v>
      </c>
      <c r="BJ75" s="1">
        <v>-4</v>
      </c>
      <c r="BK75" s="1">
        <v>-4</v>
      </c>
      <c r="BL75" s="1">
        <v>-8</v>
      </c>
      <c r="BM75" s="4">
        <v>-3</v>
      </c>
      <c r="BO75" s="3">
        <v>-10</v>
      </c>
      <c r="BP75" s="1">
        <v>-10</v>
      </c>
      <c r="BQ75" s="1">
        <v>-10</v>
      </c>
      <c r="BR75" s="1">
        <v>-11</v>
      </c>
      <c r="BS75" s="1">
        <v>-9</v>
      </c>
      <c r="BT75" s="1">
        <v>-9</v>
      </c>
      <c r="BU75" s="1">
        <v>-11</v>
      </c>
      <c r="BV75" s="4">
        <v>-7</v>
      </c>
      <c r="BX75" s="3">
        <v>-7</v>
      </c>
      <c r="BY75" s="1">
        <v>-7</v>
      </c>
      <c r="BZ75" s="1">
        <v>-8</v>
      </c>
      <c r="CA75" s="1">
        <v>-8</v>
      </c>
      <c r="CB75" s="1">
        <v>-7</v>
      </c>
      <c r="CC75" s="1">
        <v>-6</v>
      </c>
      <c r="CD75" s="1">
        <v>-11</v>
      </c>
      <c r="CE75" s="4">
        <v>-8</v>
      </c>
      <c r="CG75" s="3">
        <v>-4</v>
      </c>
      <c r="CH75" s="1">
        <v>-4</v>
      </c>
      <c r="CI75" s="1">
        <v>-5</v>
      </c>
      <c r="CJ75" s="1">
        <v>-4</v>
      </c>
      <c r="CK75" s="1">
        <v>-3</v>
      </c>
      <c r="CL75" s="1">
        <v>-4</v>
      </c>
      <c r="CM75" s="1">
        <v>-3</v>
      </c>
      <c r="CN75" s="4">
        <v>-3</v>
      </c>
      <c r="CP75" s="3">
        <v>-9</v>
      </c>
      <c r="CQ75" s="1">
        <v>-9</v>
      </c>
      <c r="CR75" s="1">
        <v>-10</v>
      </c>
      <c r="CS75" s="1">
        <v>-8</v>
      </c>
      <c r="CT75" s="1">
        <v>-7</v>
      </c>
      <c r="CU75" s="1">
        <v>-7</v>
      </c>
      <c r="CV75" s="1">
        <v>-6</v>
      </c>
      <c r="CW75" s="4">
        <v>-5</v>
      </c>
    </row>
    <row r="76" spans="1:101">
      <c r="A76" s="8" t="str">
        <f>VLOOKUP(B76,List!W:X,2,1)</f>
        <v>0.45 - 0.47</v>
      </c>
      <c r="B76" s="8">
        <v>0.45</v>
      </c>
      <c r="C76" s="8" t="s">
        <v>9</v>
      </c>
      <c r="D76" s="3">
        <v>-49</v>
      </c>
      <c r="E76" s="1">
        <v>-49</v>
      </c>
      <c r="F76" s="1">
        <v>-44</v>
      </c>
      <c r="G76" s="1">
        <v>-46</v>
      </c>
      <c r="H76" s="1">
        <v>-47</v>
      </c>
      <c r="I76" s="1">
        <v>-48</v>
      </c>
      <c r="J76" s="1">
        <v>-49</v>
      </c>
      <c r="K76" s="4">
        <v>-48</v>
      </c>
      <c r="M76" s="3">
        <f t="shared" si="80"/>
        <v>-52</v>
      </c>
      <c r="N76" s="1">
        <f t="shared" si="81"/>
        <v>-52</v>
      </c>
      <c r="O76" s="1">
        <f t="shared" si="82"/>
        <v>-51</v>
      </c>
      <c r="P76" s="1">
        <f t="shared" si="83"/>
        <v>-52</v>
      </c>
      <c r="Q76" s="1">
        <f t="shared" si="84"/>
        <v>-50</v>
      </c>
      <c r="R76" s="1">
        <f t="shared" si="85"/>
        <v>-51</v>
      </c>
      <c r="S76" s="1">
        <f t="shared" si="86"/>
        <v>-53</v>
      </c>
      <c r="T76" s="4">
        <f t="shared" si="87"/>
        <v>-52</v>
      </c>
      <c r="V76" s="3">
        <f t="shared" si="88"/>
        <v>-59</v>
      </c>
      <c r="W76" s="1">
        <f t="shared" si="89"/>
        <v>-59</v>
      </c>
      <c r="X76" s="1">
        <f t="shared" si="90"/>
        <v>-63</v>
      </c>
      <c r="Y76" s="1">
        <f t="shared" si="91"/>
        <v>-61</v>
      </c>
      <c r="Z76" s="1">
        <f t="shared" si="92"/>
        <v>-59</v>
      </c>
      <c r="AA76" s="1">
        <f t="shared" si="93"/>
        <v>-57</v>
      </c>
      <c r="AB76" s="1">
        <f t="shared" si="94"/>
        <v>-60</v>
      </c>
      <c r="AC76" s="4">
        <f t="shared" si="95"/>
        <v>-60</v>
      </c>
      <c r="AE76" s="3">
        <f t="shared" si="96"/>
        <v>-56</v>
      </c>
      <c r="AF76" s="1">
        <f t="shared" si="97"/>
        <v>-56</v>
      </c>
      <c r="AG76" s="1">
        <f t="shared" si="98"/>
        <v>-52</v>
      </c>
      <c r="AH76" s="1">
        <f t="shared" si="99"/>
        <v>-53</v>
      </c>
      <c r="AI76" s="1">
        <f t="shared" si="100"/>
        <v>-53</v>
      </c>
      <c r="AJ76" s="1">
        <f t="shared" si="101"/>
        <v>-54</v>
      </c>
      <c r="AK76" s="1">
        <f t="shared" si="102"/>
        <v>-56</v>
      </c>
      <c r="AL76" s="4">
        <f t="shared" si="103"/>
        <v>-57</v>
      </c>
      <c r="AN76" s="3">
        <f t="shared" si="104"/>
        <v>-61</v>
      </c>
      <c r="AO76" s="1">
        <f t="shared" si="105"/>
        <v>-61</v>
      </c>
      <c r="AP76" s="1">
        <f t="shared" si="106"/>
        <v>-58</v>
      </c>
      <c r="AQ76" s="1">
        <f t="shared" si="107"/>
        <v>-57</v>
      </c>
      <c r="AR76" s="1">
        <f t="shared" si="108"/>
        <v>-56</v>
      </c>
      <c r="AS76" s="1">
        <f t="shared" si="109"/>
        <v>-56</v>
      </c>
      <c r="AT76" s="1">
        <f t="shared" si="110"/>
        <v>-59</v>
      </c>
      <c r="AU76" s="4">
        <f t="shared" si="111"/>
        <v>-61</v>
      </c>
      <c r="AW76" s="3">
        <f t="shared" si="112"/>
        <v>-64</v>
      </c>
      <c r="AX76" s="1">
        <f t="shared" si="113"/>
        <v>-64</v>
      </c>
      <c r="AY76" s="1">
        <f t="shared" si="114"/>
        <v>-65</v>
      </c>
      <c r="AZ76" s="1">
        <f t="shared" si="115"/>
        <v>-61</v>
      </c>
      <c r="BA76" s="1">
        <f t="shared" si="116"/>
        <v>-60</v>
      </c>
      <c r="BB76" s="1">
        <f t="shared" si="117"/>
        <v>-59</v>
      </c>
      <c r="BC76" s="1">
        <f t="shared" si="118"/>
        <v>-61</v>
      </c>
      <c r="BD76" s="4">
        <f t="shared" si="119"/>
        <v>-63</v>
      </c>
      <c r="BF76" s="3">
        <v>-3</v>
      </c>
      <c r="BG76" s="1">
        <v>-3</v>
      </c>
      <c r="BH76" s="1">
        <v>-7</v>
      </c>
      <c r="BI76" s="1">
        <v>-6</v>
      </c>
      <c r="BJ76" s="1">
        <v>-3</v>
      </c>
      <c r="BK76" s="1">
        <v>-3</v>
      </c>
      <c r="BL76" s="1">
        <v>-4</v>
      </c>
      <c r="BM76" s="4">
        <v>-4</v>
      </c>
      <c r="BO76" s="3">
        <v>-7</v>
      </c>
      <c r="BP76" s="1">
        <v>-7</v>
      </c>
      <c r="BQ76" s="1">
        <v>-12</v>
      </c>
      <c r="BR76" s="1">
        <v>-9</v>
      </c>
      <c r="BS76" s="1">
        <v>-9</v>
      </c>
      <c r="BT76" s="1">
        <v>-6</v>
      </c>
      <c r="BU76" s="1">
        <v>-7</v>
      </c>
      <c r="BV76" s="4">
        <v>-8</v>
      </c>
      <c r="BX76" s="3">
        <v>-7</v>
      </c>
      <c r="BY76" s="1">
        <v>-7</v>
      </c>
      <c r="BZ76" s="1">
        <v>-8</v>
      </c>
      <c r="CA76" s="1">
        <v>-7</v>
      </c>
      <c r="CB76" s="1">
        <v>-6</v>
      </c>
      <c r="CC76" s="1">
        <v>-6</v>
      </c>
      <c r="CD76" s="1">
        <v>-7</v>
      </c>
      <c r="CE76" s="4">
        <v>-9</v>
      </c>
      <c r="CG76" s="3">
        <v>-5</v>
      </c>
      <c r="CH76" s="1">
        <v>-5</v>
      </c>
      <c r="CI76" s="1">
        <v>-6</v>
      </c>
      <c r="CJ76" s="1">
        <v>-4</v>
      </c>
      <c r="CK76" s="1">
        <v>-3</v>
      </c>
      <c r="CL76" s="1">
        <v>-2</v>
      </c>
      <c r="CM76" s="1">
        <v>-3</v>
      </c>
      <c r="CN76" s="4">
        <v>-4</v>
      </c>
      <c r="CP76" s="3">
        <v>-8</v>
      </c>
      <c r="CQ76" s="1">
        <v>-8</v>
      </c>
      <c r="CR76" s="1">
        <v>-13</v>
      </c>
      <c r="CS76" s="1">
        <v>-8</v>
      </c>
      <c r="CT76" s="1">
        <v>-7</v>
      </c>
      <c r="CU76" s="1">
        <v>-5</v>
      </c>
      <c r="CV76" s="1">
        <v>-5</v>
      </c>
      <c r="CW76" s="4">
        <v>-6</v>
      </c>
    </row>
    <row r="77" spans="1:101">
      <c r="A77" s="8" t="str">
        <f>VLOOKUP(B77,List!W:X,2,1)</f>
        <v>0.45 - 0.47</v>
      </c>
      <c r="B77" s="8">
        <v>0.45</v>
      </c>
      <c r="C77" s="8" t="s">
        <v>10</v>
      </c>
      <c r="D77" s="3">
        <v>-49</v>
      </c>
      <c r="E77" s="1">
        <v>-49</v>
      </c>
      <c r="F77" s="1">
        <v>-45</v>
      </c>
      <c r="G77" s="1">
        <v>-46</v>
      </c>
      <c r="H77" s="1">
        <v>-46</v>
      </c>
      <c r="I77" s="1">
        <v>-46</v>
      </c>
      <c r="J77" s="1">
        <v>-47</v>
      </c>
      <c r="K77" s="4">
        <v>-47</v>
      </c>
      <c r="M77" s="3">
        <f t="shared" si="80"/>
        <v>-52</v>
      </c>
      <c r="N77" s="1">
        <f t="shared" si="81"/>
        <v>-52</v>
      </c>
      <c r="O77" s="1">
        <f t="shared" si="82"/>
        <v>-50</v>
      </c>
      <c r="P77" s="1">
        <f t="shared" si="83"/>
        <v>-50</v>
      </c>
      <c r="Q77" s="1">
        <f t="shared" si="84"/>
        <v>-49</v>
      </c>
      <c r="R77" s="1">
        <f t="shared" si="85"/>
        <v>-49</v>
      </c>
      <c r="S77" s="1">
        <f t="shared" si="86"/>
        <v>-52</v>
      </c>
      <c r="T77" s="4">
        <f t="shared" si="87"/>
        <v>-50</v>
      </c>
      <c r="V77" s="3">
        <f t="shared" si="88"/>
        <v>-59</v>
      </c>
      <c r="W77" s="1">
        <f t="shared" si="89"/>
        <v>-59</v>
      </c>
      <c r="X77" s="1">
        <f t="shared" si="90"/>
        <v>-61</v>
      </c>
      <c r="Y77" s="1">
        <f t="shared" si="91"/>
        <v>-57</v>
      </c>
      <c r="Z77" s="1">
        <f t="shared" si="92"/>
        <v>-57</v>
      </c>
      <c r="AA77" s="1">
        <f t="shared" si="93"/>
        <v>-57</v>
      </c>
      <c r="AB77" s="1">
        <f t="shared" si="94"/>
        <v>-61</v>
      </c>
      <c r="AC77" s="4">
        <f t="shared" si="95"/>
        <v>-58</v>
      </c>
      <c r="AE77" s="3">
        <f t="shared" si="96"/>
        <v>-56</v>
      </c>
      <c r="AF77" s="1">
        <f t="shared" si="97"/>
        <v>-56</v>
      </c>
      <c r="AG77" s="1">
        <f t="shared" si="98"/>
        <v>-51</v>
      </c>
      <c r="AH77" s="1">
        <f t="shared" si="99"/>
        <v>-52</v>
      </c>
      <c r="AI77" s="1">
        <f t="shared" si="100"/>
        <v>-52</v>
      </c>
      <c r="AJ77" s="1">
        <f t="shared" si="101"/>
        <v>-52</v>
      </c>
      <c r="AK77" s="1">
        <f t="shared" si="102"/>
        <v>-55</v>
      </c>
      <c r="AL77" s="4">
        <f t="shared" si="103"/>
        <v>-56</v>
      </c>
      <c r="AN77" s="3">
        <f t="shared" si="104"/>
        <v>-60</v>
      </c>
      <c r="AO77" s="1">
        <f t="shared" si="105"/>
        <v>-60</v>
      </c>
      <c r="AP77" s="1">
        <f t="shared" si="106"/>
        <v>-57</v>
      </c>
      <c r="AQ77" s="1">
        <f t="shared" si="107"/>
        <v>-56</v>
      </c>
      <c r="AR77" s="1">
        <f t="shared" si="108"/>
        <v>-54</v>
      </c>
      <c r="AS77" s="1">
        <f t="shared" si="109"/>
        <v>-54</v>
      </c>
      <c r="AT77" s="1">
        <f t="shared" si="110"/>
        <v>-58</v>
      </c>
      <c r="AU77" s="4">
        <f t="shared" si="111"/>
        <v>-59</v>
      </c>
      <c r="AW77" s="3">
        <f t="shared" si="112"/>
        <v>-63</v>
      </c>
      <c r="AX77" s="1">
        <f t="shared" si="113"/>
        <v>-63</v>
      </c>
      <c r="AY77" s="1">
        <f t="shared" si="114"/>
        <v>-63</v>
      </c>
      <c r="AZ77" s="1">
        <f t="shared" si="115"/>
        <v>-60</v>
      </c>
      <c r="BA77" s="1">
        <f t="shared" si="116"/>
        <v>-59</v>
      </c>
      <c r="BB77" s="1">
        <f t="shared" si="117"/>
        <v>-58</v>
      </c>
      <c r="BC77" s="1">
        <f t="shared" si="118"/>
        <v>-60</v>
      </c>
      <c r="BD77" s="4">
        <f t="shared" si="119"/>
        <v>-61</v>
      </c>
      <c r="BF77" s="3">
        <v>-3</v>
      </c>
      <c r="BG77" s="1">
        <v>-3</v>
      </c>
      <c r="BH77" s="1">
        <v>-5</v>
      </c>
      <c r="BI77" s="1">
        <v>-4</v>
      </c>
      <c r="BJ77" s="1">
        <v>-3</v>
      </c>
      <c r="BK77" s="1">
        <v>-3</v>
      </c>
      <c r="BL77" s="1">
        <v>-5</v>
      </c>
      <c r="BM77" s="4">
        <v>-3</v>
      </c>
      <c r="BO77" s="3">
        <v>-7</v>
      </c>
      <c r="BP77" s="1">
        <v>-7</v>
      </c>
      <c r="BQ77" s="1">
        <v>-11</v>
      </c>
      <c r="BR77" s="1">
        <v>-7</v>
      </c>
      <c r="BS77" s="1">
        <v>-8</v>
      </c>
      <c r="BT77" s="1">
        <v>-8</v>
      </c>
      <c r="BU77" s="1">
        <v>-9</v>
      </c>
      <c r="BV77" s="4">
        <v>-8</v>
      </c>
      <c r="BX77" s="3">
        <v>-7</v>
      </c>
      <c r="BY77" s="1">
        <v>-7</v>
      </c>
      <c r="BZ77" s="1">
        <v>-6</v>
      </c>
      <c r="CA77" s="1">
        <v>-6</v>
      </c>
      <c r="CB77" s="1">
        <v>-6</v>
      </c>
      <c r="CC77" s="1">
        <v>-6</v>
      </c>
      <c r="CD77" s="1">
        <v>-8</v>
      </c>
      <c r="CE77" s="4">
        <v>-9</v>
      </c>
      <c r="CG77" s="3">
        <v>-4</v>
      </c>
      <c r="CH77" s="1">
        <v>-4</v>
      </c>
      <c r="CI77" s="1">
        <v>-6</v>
      </c>
      <c r="CJ77" s="1">
        <v>-4</v>
      </c>
      <c r="CK77" s="1">
        <v>-2</v>
      </c>
      <c r="CL77" s="1">
        <v>-2</v>
      </c>
      <c r="CM77" s="1">
        <v>-3</v>
      </c>
      <c r="CN77" s="4">
        <v>-3</v>
      </c>
      <c r="CP77" s="3">
        <v>-7</v>
      </c>
      <c r="CQ77" s="1">
        <v>-7</v>
      </c>
      <c r="CR77" s="1">
        <v>-12</v>
      </c>
      <c r="CS77" s="1">
        <v>-8</v>
      </c>
      <c r="CT77" s="1">
        <v>-7</v>
      </c>
      <c r="CU77" s="1">
        <v>-6</v>
      </c>
      <c r="CV77" s="1">
        <v>-5</v>
      </c>
      <c r="CW77" s="4">
        <v>-5</v>
      </c>
    </row>
    <row r="78" spans="1:101">
      <c r="A78" s="8" t="str">
        <f>VLOOKUP(B78,List!W:X,2,1)</f>
        <v>0.45 - 0.47</v>
      </c>
      <c r="B78" s="8">
        <v>0.45</v>
      </c>
      <c r="C78" s="8" t="s">
        <v>11</v>
      </c>
      <c r="D78" s="3">
        <v>-49</v>
      </c>
      <c r="E78" s="1">
        <v>-49</v>
      </c>
      <c r="F78" s="1">
        <v>-46</v>
      </c>
      <c r="G78" s="1">
        <v>-46</v>
      </c>
      <c r="H78" s="1">
        <v>-46</v>
      </c>
      <c r="I78" s="1">
        <v>-46</v>
      </c>
      <c r="J78" s="1">
        <v>-47</v>
      </c>
      <c r="K78" s="4">
        <v>-47</v>
      </c>
      <c r="M78" s="3">
        <f t="shared" si="80"/>
        <v>-55</v>
      </c>
      <c r="N78" s="1">
        <f t="shared" si="81"/>
        <v>-55</v>
      </c>
      <c r="O78" s="1">
        <f t="shared" si="82"/>
        <v>-52</v>
      </c>
      <c r="P78" s="1">
        <f t="shared" si="83"/>
        <v>-52</v>
      </c>
      <c r="Q78" s="1">
        <f t="shared" si="84"/>
        <v>-50</v>
      </c>
      <c r="R78" s="1">
        <f t="shared" si="85"/>
        <v>-50</v>
      </c>
      <c r="S78" s="1">
        <f t="shared" si="86"/>
        <v>-50</v>
      </c>
      <c r="T78" s="4">
        <f t="shared" si="87"/>
        <v>-51</v>
      </c>
      <c r="V78" s="3">
        <f t="shared" si="88"/>
        <v>-64</v>
      </c>
      <c r="W78" s="1">
        <f t="shared" si="89"/>
        <v>-64</v>
      </c>
      <c r="X78" s="1">
        <f t="shared" si="90"/>
        <v>-63</v>
      </c>
      <c r="Y78" s="1">
        <f t="shared" si="91"/>
        <v>-62</v>
      </c>
      <c r="Z78" s="1">
        <f t="shared" si="92"/>
        <v>-58</v>
      </c>
      <c r="AA78" s="1">
        <f t="shared" si="93"/>
        <v>-56</v>
      </c>
      <c r="AB78" s="1">
        <f t="shared" si="94"/>
        <v>-57</v>
      </c>
      <c r="AC78" s="4">
        <f t="shared" si="95"/>
        <v>-59</v>
      </c>
      <c r="AE78" s="3">
        <f t="shared" si="96"/>
        <v>-57</v>
      </c>
      <c r="AF78" s="1">
        <f t="shared" si="97"/>
        <v>-57</v>
      </c>
      <c r="AG78" s="1">
        <f t="shared" si="98"/>
        <v>-53</v>
      </c>
      <c r="AH78" s="1">
        <f t="shared" si="99"/>
        <v>-53</v>
      </c>
      <c r="AI78" s="1">
        <f t="shared" si="100"/>
        <v>-52</v>
      </c>
      <c r="AJ78" s="1">
        <f t="shared" si="101"/>
        <v>-52</v>
      </c>
      <c r="AK78" s="1">
        <f t="shared" si="102"/>
        <v>-53</v>
      </c>
      <c r="AL78" s="4">
        <f t="shared" si="103"/>
        <v>-55</v>
      </c>
      <c r="AN78" s="3">
        <f t="shared" si="104"/>
        <v>-62</v>
      </c>
      <c r="AO78" s="1">
        <f t="shared" si="105"/>
        <v>-62</v>
      </c>
      <c r="AP78" s="1">
        <f t="shared" si="106"/>
        <v>-59</v>
      </c>
      <c r="AQ78" s="1">
        <f t="shared" si="107"/>
        <v>-58</v>
      </c>
      <c r="AR78" s="1">
        <f t="shared" si="108"/>
        <v>-56</v>
      </c>
      <c r="AS78" s="1">
        <f t="shared" si="109"/>
        <v>-54</v>
      </c>
      <c r="AT78" s="1">
        <f t="shared" si="110"/>
        <v>-56</v>
      </c>
      <c r="AU78" s="4">
        <f t="shared" si="111"/>
        <v>-57</v>
      </c>
      <c r="AW78" s="3">
        <f t="shared" si="112"/>
        <v>-65</v>
      </c>
      <c r="AX78" s="1">
        <f t="shared" si="113"/>
        <v>-65</v>
      </c>
      <c r="AY78" s="1">
        <f t="shared" si="114"/>
        <v>-61</v>
      </c>
      <c r="AZ78" s="1">
        <f t="shared" si="115"/>
        <v>-60</v>
      </c>
      <c r="BA78" s="1">
        <f t="shared" si="116"/>
        <v>-58</v>
      </c>
      <c r="BB78" s="1">
        <f t="shared" si="117"/>
        <v>-57</v>
      </c>
      <c r="BC78" s="1">
        <f t="shared" si="118"/>
        <v>-58</v>
      </c>
      <c r="BD78" s="4">
        <f t="shared" si="119"/>
        <v>-59</v>
      </c>
      <c r="BF78" s="3">
        <v>-6</v>
      </c>
      <c r="BG78" s="1">
        <v>-6</v>
      </c>
      <c r="BH78" s="1">
        <v>-6</v>
      </c>
      <c r="BI78" s="1">
        <v>-6</v>
      </c>
      <c r="BJ78" s="1">
        <v>-4</v>
      </c>
      <c r="BK78" s="1">
        <v>-4</v>
      </c>
      <c r="BL78" s="1">
        <v>-3</v>
      </c>
      <c r="BM78" s="4">
        <v>-4</v>
      </c>
      <c r="BO78" s="3">
        <v>-9</v>
      </c>
      <c r="BP78" s="1">
        <v>-9</v>
      </c>
      <c r="BQ78" s="1">
        <v>-11</v>
      </c>
      <c r="BR78" s="1">
        <v>-10</v>
      </c>
      <c r="BS78" s="1">
        <v>-8</v>
      </c>
      <c r="BT78" s="1">
        <v>-6</v>
      </c>
      <c r="BU78" s="1">
        <v>-7</v>
      </c>
      <c r="BV78" s="4">
        <v>-8</v>
      </c>
      <c r="BX78" s="3">
        <v>-8</v>
      </c>
      <c r="BY78" s="1">
        <v>-8</v>
      </c>
      <c r="BZ78" s="1">
        <v>-7</v>
      </c>
      <c r="CA78" s="1">
        <v>-7</v>
      </c>
      <c r="CB78" s="1">
        <v>-6</v>
      </c>
      <c r="CC78" s="1">
        <v>-6</v>
      </c>
      <c r="CD78" s="1">
        <v>-6</v>
      </c>
      <c r="CE78" s="4">
        <v>-8</v>
      </c>
      <c r="CG78" s="3">
        <v>-5</v>
      </c>
      <c r="CH78" s="1">
        <v>-5</v>
      </c>
      <c r="CI78" s="1">
        <v>-6</v>
      </c>
      <c r="CJ78" s="1">
        <v>-5</v>
      </c>
      <c r="CK78" s="1">
        <v>-4</v>
      </c>
      <c r="CL78" s="1">
        <v>-2</v>
      </c>
      <c r="CM78" s="1">
        <v>-3</v>
      </c>
      <c r="CN78" s="4">
        <v>-2</v>
      </c>
      <c r="CP78" s="3">
        <v>-8</v>
      </c>
      <c r="CQ78" s="1">
        <v>-8</v>
      </c>
      <c r="CR78" s="1">
        <v>-8</v>
      </c>
      <c r="CS78" s="1">
        <v>-7</v>
      </c>
      <c r="CT78" s="1">
        <v>-6</v>
      </c>
      <c r="CU78" s="1">
        <v>-5</v>
      </c>
      <c r="CV78" s="1">
        <v>-5</v>
      </c>
      <c r="CW78" s="4">
        <v>-4</v>
      </c>
    </row>
    <row r="79" spans="1:101">
      <c r="A79" s="8" t="str">
        <f>VLOOKUP(B79,List!W:X,2,1)</f>
        <v>0.45 - 0.47</v>
      </c>
      <c r="B79" s="8">
        <v>0.45</v>
      </c>
      <c r="C79" s="8" t="s">
        <v>12</v>
      </c>
      <c r="D79" s="3">
        <v>-42</v>
      </c>
      <c r="E79" s="1">
        <v>-42</v>
      </c>
      <c r="F79" s="1">
        <v>-43</v>
      </c>
      <c r="G79" s="1">
        <v>-42</v>
      </c>
      <c r="H79" s="1">
        <v>-44</v>
      </c>
      <c r="I79" s="1">
        <v>-44</v>
      </c>
      <c r="J79" s="1">
        <v>-45</v>
      </c>
      <c r="K79" s="4">
        <v>-44</v>
      </c>
      <c r="M79" s="3">
        <f t="shared" si="80"/>
        <v>-51</v>
      </c>
      <c r="N79" s="1">
        <f t="shared" si="81"/>
        <v>-51</v>
      </c>
      <c r="O79" s="1">
        <f t="shared" si="82"/>
        <v>-51</v>
      </c>
      <c r="P79" s="1">
        <f t="shared" si="83"/>
        <v>-49</v>
      </c>
      <c r="Q79" s="1">
        <f t="shared" si="84"/>
        <v>-48</v>
      </c>
      <c r="R79" s="1">
        <f t="shared" si="85"/>
        <v>-48</v>
      </c>
      <c r="S79" s="1">
        <f t="shared" si="86"/>
        <v>-48</v>
      </c>
      <c r="T79" s="4">
        <f t="shared" si="87"/>
        <v>-48</v>
      </c>
      <c r="V79" s="3">
        <f t="shared" si="88"/>
        <v>-64</v>
      </c>
      <c r="W79" s="1">
        <f t="shared" si="89"/>
        <v>-64</v>
      </c>
      <c r="X79" s="1">
        <f t="shared" si="90"/>
        <v>-62</v>
      </c>
      <c r="Y79" s="1">
        <f t="shared" si="91"/>
        <v>-59</v>
      </c>
      <c r="Z79" s="1">
        <f t="shared" si="92"/>
        <v>-54</v>
      </c>
      <c r="AA79" s="1">
        <f t="shared" si="93"/>
        <v>-55</v>
      </c>
      <c r="AB79" s="1">
        <f t="shared" si="94"/>
        <v>-55</v>
      </c>
      <c r="AC79" s="4">
        <f t="shared" si="95"/>
        <v>-56</v>
      </c>
      <c r="AE79" s="3">
        <f t="shared" si="96"/>
        <v>-52</v>
      </c>
      <c r="AF79" s="1">
        <f t="shared" si="97"/>
        <v>-52</v>
      </c>
      <c r="AG79" s="1">
        <f t="shared" si="98"/>
        <v>-52</v>
      </c>
      <c r="AH79" s="1">
        <f t="shared" si="99"/>
        <v>-52</v>
      </c>
      <c r="AI79" s="1">
        <f t="shared" si="100"/>
        <v>-50</v>
      </c>
      <c r="AJ79" s="1">
        <f t="shared" si="101"/>
        <v>-50</v>
      </c>
      <c r="AK79" s="1">
        <f t="shared" si="102"/>
        <v>-51</v>
      </c>
      <c r="AL79" s="4">
        <f t="shared" si="103"/>
        <v>-52</v>
      </c>
      <c r="AN79" s="3">
        <f t="shared" si="104"/>
        <v>-57</v>
      </c>
      <c r="AO79" s="1">
        <f t="shared" si="105"/>
        <v>-57</v>
      </c>
      <c r="AP79" s="1">
        <f t="shared" si="106"/>
        <v>-57</v>
      </c>
      <c r="AQ79" s="1">
        <f t="shared" si="107"/>
        <v>-55</v>
      </c>
      <c r="AR79" s="1">
        <f t="shared" si="108"/>
        <v>-53</v>
      </c>
      <c r="AS79" s="1">
        <f t="shared" si="109"/>
        <v>-52</v>
      </c>
      <c r="AT79" s="1">
        <f t="shared" si="110"/>
        <v>-55</v>
      </c>
      <c r="AU79" s="4">
        <f t="shared" si="111"/>
        <v>-54</v>
      </c>
      <c r="AW79" s="3">
        <f t="shared" si="112"/>
        <v>-62</v>
      </c>
      <c r="AX79" s="1">
        <f t="shared" si="113"/>
        <v>-62</v>
      </c>
      <c r="AY79" s="1">
        <f t="shared" si="114"/>
        <v>-60</v>
      </c>
      <c r="AZ79" s="1">
        <f t="shared" si="115"/>
        <v>-58</v>
      </c>
      <c r="BA79" s="1">
        <f t="shared" si="116"/>
        <v>-56</v>
      </c>
      <c r="BB79" s="1">
        <f t="shared" si="117"/>
        <v>-55</v>
      </c>
      <c r="BC79" s="1">
        <f t="shared" si="118"/>
        <v>-57</v>
      </c>
      <c r="BD79" s="4">
        <f t="shared" si="119"/>
        <v>-57</v>
      </c>
      <c r="BF79" s="3">
        <v>-9</v>
      </c>
      <c r="BG79" s="1">
        <v>-9</v>
      </c>
      <c r="BH79" s="1">
        <v>-8</v>
      </c>
      <c r="BI79" s="1">
        <v>-7</v>
      </c>
      <c r="BJ79" s="1">
        <v>-4</v>
      </c>
      <c r="BK79" s="1">
        <v>-4</v>
      </c>
      <c r="BL79" s="1">
        <v>-3</v>
      </c>
      <c r="BM79" s="4">
        <v>-4</v>
      </c>
      <c r="BO79" s="3">
        <v>-13</v>
      </c>
      <c r="BP79" s="1">
        <v>-13</v>
      </c>
      <c r="BQ79" s="1">
        <v>-11</v>
      </c>
      <c r="BR79" s="1">
        <v>-10</v>
      </c>
      <c r="BS79" s="1">
        <v>-6</v>
      </c>
      <c r="BT79" s="1">
        <v>-7</v>
      </c>
      <c r="BU79" s="1">
        <v>-7</v>
      </c>
      <c r="BV79" s="4">
        <v>-8</v>
      </c>
      <c r="BX79" s="3">
        <v>-10</v>
      </c>
      <c r="BY79" s="1">
        <v>-10</v>
      </c>
      <c r="BZ79" s="1">
        <v>-9</v>
      </c>
      <c r="CA79" s="1">
        <v>-10</v>
      </c>
      <c r="CB79" s="1">
        <v>-6</v>
      </c>
      <c r="CC79" s="1">
        <v>-6</v>
      </c>
      <c r="CD79" s="1">
        <v>-6</v>
      </c>
      <c r="CE79" s="4">
        <v>-8</v>
      </c>
      <c r="CG79" s="3">
        <v>-5</v>
      </c>
      <c r="CH79" s="1">
        <v>-5</v>
      </c>
      <c r="CI79" s="1">
        <v>-5</v>
      </c>
      <c r="CJ79" s="1">
        <v>-3</v>
      </c>
      <c r="CK79" s="1">
        <v>-3</v>
      </c>
      <c r="CL79" s="1">
        <v>-2</v>
      </c>
      <c r="CM79" s="1">
        <v>-4</v>
      </c>
      <c r="CN79" s="4">
        <v>-2</v>
      </c>
      <c r="CP79" s="3">
        <v>-10</v>
      </c>
      <c r="CQ79" s="1">
        <v>-10</v>
      </c>
      <c r="CR79" s="1">
        <v>-8</v>
      </c>
      <c r="CS79" s="1">
        <v>-6</v>
      </c>
      <c r="CT79" s="1">
        <v>-6</v>
      </c>
      <c r="CU79" s="1">
        <v>-5</v>
      </c>
      <c r="CV79" s="1">
        <v>-6</v>
      </c>
      <c r="CW79" s="4">
        <v>-5</v>
      </c>
    </row>
    <row r="80" spans="1:101">
      <c r="A80" s="8" t="str">
        <f>VLOOKUP(B80,List!W:X,2,1)</f>
        <v>0.45 - 0.47</v>
      </c>
      <c r="B80" s="8">
        <v>0.45</v>
      </c>
      <c r="C80" s="8" t="s">
        <v>13</v>
      </c>
      <c r="D80" s="3">
        <v>-36</v>
      </c>
      <c r="E80" s="1">
        <v>-36</v>
      </c>
      <c r="F80" s="1">
        <v>-36</v>
      </c>
      <c r="G80" s="1">
        <v>-34</v>
      </c>
      <c r="H80" s="1">
        <v>-36</v>
      </c>
      <c r="I80" s="1">
        <v>-40</v>
      </c>
      <c r="J80" s="1">
        <v>-44</v>
      </c>
      <c r="K80" s="4">
        <v>-42</v>
      </c>
      <c r="M80" s="3">
        <f t="shared" si="80"/>
        <v>-46</v>
      </c>
      <c r="N80" s="1">
        <f t="shared" si="81"/>
        <v>-46</v>
      </c>
      <c r="O80" s="1">
        <f t="shared" si="82"/>
        <v>-47</v>
      </c>
      <c r="P80" s="1">
        <f t="shared" si="83"/>
        <v>-44</v>
      </c>
      <c r="Q80" s="1">
        <f t="shared" si="84"/>
        <v>-45</v>
      </c>
      <c r="R80" s="1">
        <f t="shared" si="85"/>
        <v>-47</v>
      </c>
      <c r="S80" s="1">
        <f t="shared" si="86"/>
        <v>-48</v>
      </c>
      <c r="T80" s="4">
        <f t="shared" si="87"/>
        <v>-47</v>
      </c>
      <c r="V80" s="3">
        <f t="shared" si="88"/>
        <v>-60</v>
      </c>
      <c r="W80" s="1">
        <f t="shared" si="89"/>
        <v>-60</v>
      </c>
      <c r="X80" s="1">
        <f t="shared" si="90"/>
        <v>-62</v>
      </c>
      <c r="Y80" s="1">
        <f t="shared" si="91"/>
        <v>-61</v>
      </c>
      <c r="Z80" s="1">
        <f t="shared" si="92"/>
        <v>-58</v>
      </c>
      <c r="AA80" s="1">
        <f t="shared" si="93"/>
        <v>-58</v>
      </c>
      <c r="AB80" s="1">
        <f t="shared" si="94"/>
        <v>-56</v>
      </c>
      <c r="AC80" s="4">
        <f t="shared" si="95"/>
        <v>-57</v>
      </c>
      <c r="AE80" s="3">
        <f t="shared" si="96"/>
        <v>-47</v>
      </c>
      <c r="AF80" s="1">
        <f t="shared" si="97"/>
        <v>-47</v>
      </c>
      <c r="AG80" s="1">
        <f t="shared" si="98"/>
        <v>-48</v>
      </c>
      <c r="AH80" s="1">
        <f t="shared" si="99"/>
        <v>-46</v>
      </c>
      <c r="AI80" s="1">
        <f t="shared" si="100"/>
        <v>-47</v>
      </c>
      <c r="AJ80" s="1">
        <f t="shared" si="101"/>
        <v>-49</v>
      </c>
      <c r="AK80" s="1">
        <f t="shared" si="102"/>
        <v>-52</v>
      </c>
      <c r="AL80" s="4">
        <f t="shared" si="103"/>
        <v>-51</v>
      </c>
      <c r="AN80" s="3">
        <f t="shared" si="104"/>
        <v>-53</v>
      </c>
      <c r="AO80" s="1">
        <f t="shared" si="105"/>
        <v>-53</v>
      </c>
      <c r="AP80" s="1">
        <f t="shared" si="106"/>
        <v>-54</v>
      </c>
      <c r="AQ80" s="1">
        <f t="shared" si="107"/>
        <v>-52</v>
      </c>
      <c r="AR80" s="1">
        <f t="shared" si="108"/>
        <v>-50</v>
      </c>
      <c r="AS80" s="1">
        <f t="shared" si="109"/>
        <v>-52</v>
      </c>
      <c r="AT80" s="1">
        <f t="shared" si="110"/>
        <v>-55</v>
      </c>
      <c r="AU80" s="4">
        <f t="shared" si="111"/>
        <v>-55</v>
      </c>
      <c r="AW80" s="3">
        <f t="shared" si="112"/>
        <v>-58</v>
      </c>
      <c r="AX80" s="1">
        <f t="shared" si="113"/>
        <v>-58</v>
      </c>
      <c r="AY80" s="1">
        <f t="shared" si="114"/>
        <v>-57</v>
      </c>
      <c r="AZ80" s="1">
        <f t="shared" si="115"/>
        <v>-55</v>
      </c>
      <c r="BA80" s="1">
        <f t="shared" si="116"/>
        <v>-52</v>
      </c>
      <c r="BB80" s="1">
        <f t="shared" si="117"/>
        <v>-55</v>
      </c>
      <c r="BC80" s="1">
        <f t="shared" si="118"/>
        <v>-58</v>
      </c>
      <c r="BD80" s="4">
        <f t="shared" si="119"/>
        <v>-57</v>
      </c>
      <c r="BF80" s="3">
        <v>-10</v>
      </c>
      <c r="BG80" s="1">
        <v>-10</v>
      </c>
      <c r="BH80" s="1">
        <v>-11</v>
      </c>
      <c r="BI80" s="1">
        <v>-10</v>
      </c>
      <c r="BJ80" s="1">
        <v>-9</v>
      </c>
      <c r="BK80" s="1">
        <v>-7</v>
      </c>
      <c r="BL80" s="1">
        <v>-4</v>
      </c>
      <c r="BM80" s="4">
        <v>-5</v>
      </c>
      <c r="BO80" s="3">
        <v>-14</v>
      </c>
      <c r="BP80" s="1">
        <v>-14</v>
      </c>
      <c r="BQ80" s="1">
        <v>-15</v>
      </c>
      <c r="BR80" s="1">
        <v>-17</v>
      </c>
      <c r="BS80" s="1">
        <v>-13</v>
      </c>
      <c r="BT80" s="1">
        <v>-11</v>
      </c>
      <c r="BU80" s="1">
        <v>-8</v>
      </c>
      <c r="BV80" s="4">
        <v>-10</v>
      </c>
      <c r="BX80" s="3">
        <v>-11</v>
      </c>
      <c r="BY80" s="1">
        <v>-11</v>
      </c>
      <c r="BZ80" s="1">
        <v>-12</v>
      </c>
      <c r="CA80" s="1">
        <v>-12</v>
      </c>
      <c r="CB80" s="1">
        <v>-11</v>
      </c>
      <c r="CC80" s="1">
        <v>-9</v>
      </c>
      <c r="CD80" s="1">
        <v>-8</v>
      </c>
      <c r="CE80" s="4">
        <v>-9</v>
      </c>
      <c r="CG80" s="3">
        <v>-6</v>
      </c>
      <c r="CH80" s="1">
        <v>-6</v>
      </c>
      <c r="CI80" s="1">
        <v>-6</v>
      </c>
      <c r="CJ80" s="1">
        <v>-6</v>
      </c>
      <c r="CK80" s="1">
        <v>-3</v>
      </c>
      <c r="CL80" s="1">
        <v>-3</v>
      </c>
      <c r="CM80" s="1">
        <v>-3</v>
      </c>
      <c r="CN80" s="4">
        <v>-4</v>
      </c>
      <c r="CP80" s="3">
        <v>-11</v>
      </c>
      <c r="CQ80" s="1">
        <v>-11</v>
      </c>
      <c r="CR80" s="1">
        <v>-9</v>
      </c>
      <c r="CS80" s="1">
        <v>-9</v>
      </c>
      <c r="CT80" s="1">
        <v>-5</v>
      </c>
      <c r="CU80" s="1">
        <v>-6</v>
      </c>
      <c r="CV80" s="1">
        <v>-6</v>
      </c>
      <c r="CW80" s="4">
        <v>-6</v>
      </c>
    </row>
    <row r="81" spans="1:101">
      <c r="A81" s="8" t="str">
        <f>VLOOKUP(B81,List!W:X,2,1)</f>
        <v>0.45 - 0.47</v>
      </c>
      <c r="B81" s="8">
        <v>0.45</v>
      </c>
      <c r="C81" s="8" t="s">
        <v>14</v>
      </c>
      <c r="D81" s="3">
        <v>-34</v>
      </c>
      <c r="E81" s="1">
        <v>-34</v>
      </c>
      <c r="F81" s="1">
        <v>-36</v>
      </c>
      <c r="G81" s="1">
        <v>-35</v>
      </c>
      <c r="H81" s="1">
        <v>-35</v>
      </c>
      <c r="I81" s="1">
        <v>-39</v>
      </c>
      <c r="J81" s="1">
        <v>-42</v>
      </c>
      <c r="K81" s="4">
        <v>-43</v>
      </c>
      <c r="M81" s="3">
        <f t="shared" si="80"/>
        <v>-43</v>
      </c>
      <c r="N81" s="1">
        <f t="shared" si="81"/>
        <v>-43</v>
      </c>
      <c r="O81" s="1">
        <f t="shared" si="82"/>
        <v>-47</v>
      </c>
      <c r="P81" s="1">
        <f t="shared" si="83"/>
        <v>-45</v>
      </c>
      <c r="Q81" s="1">
        <f t="shared" si="84"/>
        <v>-44</v>
      </c>
      <c r="R81" s="1">
        <f t="shared" si="85"/>
        <v>-46</v>
      </c>
      <c r="S81" s="1">
        <f t="shared" si="86"/>
        <v>-47</v>
      </c>
      <c r="T81" s="4">
        <f t="shared" si="87"/>
        <v>-47</v>
      </c>
      <c r="V81" s="3">
        <f t="shared" si="88"/>
        <v>-58</v>
      </c>
      <c r="W81" s="1">
        <f t="shared" si="89"/>
        <v>-58</v>
      </c>
      <c r="X81" s="1">
        <f t="shared" si="90"/>
        <v>-62</v>
      </c>
      <c r="Y81" s="1">
        <f t="shared" si="91"/>
        <v>-59</v>
      </c>
      <c r="Z81" s="1">
        <f t="shared" si="92"/>
        <v>-56</v>
      </c>
      <c r="AA81" s="1">
        <f t="shared" si="93"/>
        <v>-57</v>
      </c>
      <c r="AB81" s="1">
        <f t="shared" si="94"/>
        <v>-56</v>
      </c>
      <c r="AC81" s="4">
        <f t="shared" si="95"/>
        <v>-56</v>
      </c>
      <c r="AE81" s="3">
        <f t="shared" si="96"/>
        <v>-45</v>
      </c>
      <c r="AF81" s="1">
        <f t="shared" si="97"/>
        <v>-45</v>
      </c>
      <c r="AG81" s="1">
        <f t="shared" si="98"/>
        <v>-51</v>
      </c>
      <c r="AH81" s="1">
        <f t="shared" si="99"/>
        <v>-50</v>
      </c>
      <c r="AI81" s="1">
        <f t="shared" si="100"/>
        <v>-47</v>
      </c>
      <c r="AJ81" s="1">
        <f t="shared" si="101"/>
        <v>-49</v>
      </c>
      <c r="AK81" s="1">
        <f t="shared" si="102"/>
        <v>-50</v>
      </c>
      <c r="AL81" s="4">
        <f t="shared" si="103"/>
        <v>-52</v>
      </c>
      <c r="AN81" s="3">
        <f t="shared" si="104"/>
        <v>-52</v>
      </c>
      <c r="AO81" s="1">
        <f t="shared" si="105"/>
        <v>-52</v>
      </c>
      <c r="AP81" s="1">
        <f t="shared" si="106"/>
        <v>-55</v>
      </c>
      <c r="AQ81" s="1">
        <f t="shared" si="107"/>
        <v>-54</v>
      </c>
      <c r="AR81" s="1">
        <f t="shared" si="108"/>
        <v>-51</v>
      </c>
      <c r="AS81" s="1">
        <f t="shared" si="109"/>
        <v>-52</v>
      </c>
      <c r="AT81" s="1">
        <f t="shared" si="110"/>
        <v>-53</v>
      </c>
      <c r="AU81" s="4">
        <f t="shared" si="111"/>
        <v>-55</v>
      </c>
      <c r="AW81" s="3">
        <f t="shared" si="112"/>
        <v>-57</v>
      </c>
      <c r="AX81" s="1">
        <f t="shared" si="113"/>
        <v>-57</v>
      </c>
      <c r="AY81" s="1">
        <f t="shared" si="114"/>
        <v>-57</v>
      </c>
      <c r="AZ81" s="1">
        <f t="shared" si="115"/>
        <v>-56</v>
      </c>
      <c r="BA81" s="1">
        <f t="shared" si="116"/>
        <v>-53</v>
      </c>
      <c r="BB81" s="1">
        <f t="shared" si="117"/>
        <v>-54</v>
      </c>
      <c r="BC81" s="1">
        <f t="shared" si="118"/>
        <v>-55</v>
      </c>
      <c r="BD81" s="4">
        <f t="shared" si="119"/>
        <v>-57</v>
      </c>
      <c r="BF81" s="3">
        <v>-9</v>
      </c>
      <c r="BG81" s="1">
        <v>-9</v>
      </c>
      <c r="BH81" s="1">
        <v>-11</v>
      </c>
      <c r="BI81" s="1">
        <v>-10</v>
      </c>
      <c r="BJ81" s="1">
        <v>-9</v>
      </c>
      <c r="BK81" s="1">
        <v>-7</v>
      </c>
      <c r="BL81" s="1">
        <v>-5</v>
      </c>
      <c r="BM81" s="4">
        <v>-4</v>
      </c>
      <c r="BO81" s="3">
        <v>-15</v>
      </c>
      <c r="BP81" s="1">
        <v>-15</v>
      </c>
      <c r="BQ81" s="1">
        <v>-15</v>
      </c>
      <c r="BR81" s="1">
        <v>-14</v>
      </c>
      <c r="BS81" s="1">
        <v>-12</v>
      </c>
      <c r="BT81" s="1">
        <v>-11</v>
      </c>
      <c r="BU81" s="1">
        <v>-9</v>
      </c>
      <c r="BV81" s="4">
        <v>-9</v>
      </c>
      <c r="BX81" s="3">
        <v>-11</v>
      </c>
      <c r="BY81" s="1">
        <v>-11</v>
      </c>
      <c r="BZ81" s="1">
        <v>-15</v>
      </c>
      <c r="CA81" s="1">
        <v>-15</v>
      </c>
      <c r="CB81" s="1">
        <v>-12</v>
      </c>
      <c r="CC81" s="1">
        <v>-10</v>
      </c>
      <c r="CD81" s="1">
        <v>-8</v>
      </c>
      <c r="CE81" s="4">
        <v>-9</v>
      </c>
      <c r="CG81" s="3">
        <v>-7</v>
      </c>
      <c r="CH81" s="1">
        <v>-7</v>
      </c>
      <c r="CI81" s="1">
        <v>-4</v>
      </c>
      <c r="CJ81" s="1">
        <v>-4</v>
      </c>
      <c r="CK81" s="1">
        <v>-4</v>
      </c>
      <c r="CL81" s="1">
        <v>-3</v>
      </c>
      <c r="CM81" s="1">
        <v>-3</v>
      </c>
      <c r="CN81" s="4">
        <v>-3</v>
      </c>
      <c r="CP81" s="3">
        <v>-12</v>
      </c>
      <c r="CQ81" s="1">
        <v>-12</v>
      </c>
      <c r="CR81" s="1">
        <v>-6</v>
      </c>
      <c r="CS81" s="1">
        <v>-6</v>
      </c>
      <c r="CT81" s="1">
        <v>-6</v>
      </c>
      <c r="CU81" s="1">
        <v>-5</v>
      </c>
      <c r="CV81" s="1">
        <v>-5</v>
      </c>
      <c r="CW81" s="4">
        <v>-5</v>
      </c>
    </row>
    <row r="82" spans="1:101">
      <c r="A82" s="8" t="str">
        <f>VLOOKUP(B82,List!W:X,2,1)</f>
        <v>0.45 - 0.47</v>
      </c>
      <c r="B82" s="8">
        <v>0.45</v>
      </c>
      <c r="C82" s="8" t="s">
        <v>15</v>
      </c>
      <c r="D82" s="3">
        <v>-40</v>
      </c>
      <c r="E82" s="1">
        <v>-40</v>
      </c>
      <c r="F82" s="1">
        <v>-41</v>
      </c>
      <c r="G82" s="1">
        <v>-40</v>
      </c>
      <c r="H82" s="1">
        <v>-38</v>
      </c>
      <c r="I82" s="1">
        <v>-41</v>
      </c>
      <c r="J82" s="1">
        <v>-38</v>
      </c>
      <c r="K82" s="4">
        <v>-40</v>
      </c>
      <c r="M82" s="3">
        <f t="shared" si="80"/>
        <v>-44</v>
      </c>
      <c r="N82" s="1">
        <f t="shared" si="81"/>
        <v>-44</v>
      </c>
      <c r="O82" s="1">
        <f t="shared" si="82"/>
        <v>-44</v>
      </c>
      <c r="P82" s="1">
        <f t="shared" si="83"/>
        <v>-43</v>
      </c>
      <c r="Q82" s="1">
        <f t="shared" si="84"/>
        <v>-42</v>
      </c>
      <c r="R82" s="1">
        <f t="shared" si="85"/>
        <v>-45</v>
      </c>
      <c r="S82" s="1">
        <f t="shared" si="86"/>
        <v>-41</v>
      </c>
      <c r="T82" s="4">
        <f t="shared" si="87"/>
        <v>-43</v>
      </c>
      <c r="V82" s="3">
        <f t="shared" si="88"/>
        <v>-52</v>
      </c>
      <c r="W82" s="1">
        <f t="shared" si="89"/>
        <v>-52</v>
      </c>
      <c r="X82" s="1">
        <f t="shared" si="90"/>
        <v>-50</v>
      </c>
      <c r="Y82" s="1">
        <f t="shared" si="91"/>
        <v>-50</v>
      </c>
      <c r="Z82" s="1">
        <f t="shared" si="92"/>
        <v>-50</v>
      </c>
      <c r="AA82" s="1">
        <f t="shared" si="93"/>
        <v>-52</v>
      </c>
      <c r="AB82" s="1">
        <f t="shared" si="94"/>
        <v>-48</v>
      </c>
      <c r="AC82" s="4">
        <f t="shared" si="95"/>
        <v>-50</v>
      </c>
      <c r="AE82" s="3">
        <f t="shared" si="96"/>
        <v>-50</v>
      </c>
      <c r="AF82" s="1">
        <f t="shared" si="97"/>
        <v>-50</v>
      </c>
      <c r="AG82" s="1">
        <f t="shared" si="98"/>
        <v>-48</v>
      </c>
      <c r="AH82" s="1">
        <f t="shared" si="99"/>
        <v>-48</v>
      </c>
      <c r="AI82" s="1">
        <f t="shared" si="100"/>
        <v>-46</v>
      </c>
      <c r="AJ82" s="1">
        <f t="shared" si="101"/>
        <v>-47</v>
      </c>
      <c r="AK82" s="1">
        <f t="shared" si="102"/>
        <v>-46</v>
      </c>
      <c r="AL82" s="4">
        <f t="shared" si="103"/>
        <v>-48</v>
      </c>
      <c r="AN82" s="3">
        <f t="shared" si="104"/>
        <v>-53</v>
      </c>
      <c r="AO82" s="1">
        <f t="shared" si="105"/>
        <v>-53</v>
      </c>
      <c r="AP82" s="1">
        <f t="shared" si="106"/>
        <v>-52</v>
      </c>
      <c r="AQ82" s="1">
        <f t="shared" si="107"/>
        <v>-51</v>
      </c>
      <c r="AR82" s="1">
        <f t="shared" si="108"/>
        <v>-51</v>
      </c>
      <c r="AS82" s="1">
        <f t="shared" si="109"/>
        <v>-52</v>
      </c>
      <c r="AT82" s="1">
        <f t="shared" si="110"/>
        <v>-50</v>
      </c>
      <c r="AU82" s="4">
        <f t="shared" si="111"/>
        <v>-52</v>
      </c>
      <c r="AW82" s="3">
        <f t="shared" si="112"/>
        <v>-56</v>
      </c>
      <c r="AX82" s="1">
        <f t="shared" si="113"/>
        <v>-56</v>
      </c>
      <c r="AY82" s="1">
        <f t="shared" si="114"/>
        <v>-55</v>
      </c>
      <c r="AZ82" s="1">
        <f t="shared" si="115"/>
        <v>-55</v>
      </c>
      <c r="BA82" s="1">
        <f t="shared" si="116"/>
        <v>-54</v>
      </c>
      <c r="BB82" s="1">
        <f t="shared" si="117"/>
        <v>-57</v>
      </c>
      <c r="BC82" s="1">
        <f t="shared" si="118"/>
        <v>-55</v>
      </c>
      <c r="BD82" s="4">
        <f t="shared" si="119"/>
        <v>-57</v>
      </c>
      <c r="BF82" s="3">
        <v>-4</v>
      </c>
      <c r="BG82" s="1">
        <v>-4</v>
      </c>
      <c r="BH82" s="1">
        <v>-3</v>
      </c>
      <c r="BI82" s="1">
        <v>-3</v>
      </c>
      <c r="BJ82" s="1">
        <v>-4</v>
      </c>
      <c r="BK82" s="1">
        <v>-4</v>
      </c>
      <c r="BL82" s="1">
        <v>-3</v>
      </c>
      <c r="BM82" s="4">
        <v>-3</v>
      </c>
      <c r="BO82" s="3">
        <v>-8</v>
      </c>
      <c r="BP82" s="1">
        <v>-8</v>
      </c>
      <c r="BQ82" s="1">
        <v>-6</v>
      </c>
      <c r="BR82" s="1">
        <v>-7</v>
      </c>
      <c r="BS82" s="1">
        <v>-8</v>
      </c>
      <c r="BT82" s="1">
        <v>-7</v>
      </c>
      <c r="BU82" s="1">
        <v>-7</v>
      </c>
      <c r="BV82" s="4">
        <v>-7</v>
      </c>
      <c r="BX82" s="3">
        <v>-10</v>
      </c>
      <c r="BY82" s="1">
        <v>-10</v>
      </c>
      <c r="BZ82" s="1">
        <v>-7</v>
      </c>
      <c r="CA82" s="1">
        <v>-8</v>
      </c>
      <c r="CB82" s="1">
        <v>-8</v>
      </c>
      <c r="CC82" s="1">
        <v>-6</v>
      </c>
      <c r="CD82" s="1">
        <v>-8</v>
      </c>
      <c r="CE82" s="4">
        <v>-8</v>
      </c>
      <c r="CG82" s="3">
        <v>-3</v>
      </c>
      <c r="CH82" s="1">
        <v>-3</v>
      </c>
      <c r="CI82" s="1">
        <v>-4</v>
      </c>
      <c r="CJ82" s="1">
        <v>-3</v>
      </c>
      <c r="CK82" s="1">
        <v>-5</v>
      </c>
      <c r="CL82" s="1">
        <v>-5</v>
      </c>
      <c r="CM82" s="1">
        <v>-4</v>
      </c>
      <c r="CN82" s="4">
        <v>-4</v>
      </c>
      <c r="CP82" s="3">
        <v>-6</v>
      </c>
      <c r="CQ82" s="1">
        <v>-6</v>
      </c>
      <c r="CR82" s="1">
        <v>-7</v>
      </c>
      <c r="CS82" s="1">
        <v>-7</v>
      </c>
      <c r="CT82" s="1">
        <v>-8</v>
      </c>
      <c r="CU82" s="1">
        <v>-10</v>
      </c>
      <c r="CV82" s="1">
        <v>-9</v>
      </c>
      <c r="CW82" s="4">
        <v>-9</v>
      </c>
    </row>
    <row r="83" spans="1:101">
      <c r="A83" s="8" t="str">
        <f>VLOOKUP(B83,List!W:X,2,1)</f>
        <v>0.48 - 0.49</v>
      </c>
      <c r="B83" s="8">
        <v>0.48</v>
      </c>
      <c r="C83" s="8" t="s">
        <v>8</v>
      </c>
      <c r="D83" s="3">
        <v>-46</v>
      </c>
      <c r="E83" s="1">
        <v>-46</v>
      </c>
      <c r="F83" s="1">
        <v>-47</v>
      </c>
      <c r="G83" s="1">
        <v>-46</v>
      </c>
      <c r="H83" s="1">
        <v>-47</v>
      </c>
      <c r="I83" s="1">
        <v>-46</v>
      </c>
      <c r="J83" s="1">
        <v>-43</v>
      </c>
      <c r="K83" s="4">
        <v>-48</v>
      </c>
      <c r="M83" s="3">
        <f t="shared" si="80"/>
        <v>-50</v>
      </c>
      <c r="N83" s="1">
        <f t="shared" si="81"/>
        <v>-50</v>
      </c>
      <c r="O83" s="1">
        <f t="shared" si="82"/>
        <v>-53</v>
      </c>
      <c r="P83" s="1">
        <f t="shared" si="83"/>
        <v>-52</v>
      </c>
      <c r="Q83" s="1">
        <f t="shared" si="84"/>
        <v>-51</v>
      </c>
      <c r="R83" s="1">
        <f t="shared" si="85"/>
        <v>-50</v>
      </c>
      <c r="S83" s="1">
        <f t="shared" si="86"/>
        <v>-51</v>
      </c>
      <c r="T83" s="4">
        <f t="shared" si="87"/>
        <v>-51</v>
      </c>
      <c r="V83" s="3">
        <f t="shared" si="88"/>
        <v>-60</v>
      </c>
      <c r="W83" s="1">
        <f t="shared" si="89"/>
        <v>-60</v>
      </c>
      <c r="X83" s="1">
        <f t="shared" si="90"/>
        <v>-63</v>
      </c>
      <c r="Y83" s="1">
        <f t="shared" si="91"/>
        <v>-63</v>
      </c>
      <c r="Z83" s="1">
        <f t="shared" si="92"/>
        <v>-60</v>
      </c>
      <c r="AA83" s="1">
        <f t="shared" si="93"/>
        <v>-59</v>
      </c>
      <c r="AB83" s="1">
        <f t="shared" si="94"/>
        <v>-62</v>
      </c>
      <c r="AC83" s="4">
        <f t="shared" si="95"/>
        <v>-58</v>
      </c>
      <c r="AE83" s="3">
        <f t="shared" si="96"/>
        <v>-53</v>
      </c>
      <c r="AF83" s="1">
        <f t="shared" si="97"/>
        <v>-53</v>
      </c>
      <c r="AG83" s="1">
        <f t="shared" si="98"/>
        <v>-55</v>
      </c>
      <c r="AH83" s="1">
        <f t="shared" si="99"/>
        <v>-54</v>
      </c>
      <c r="AI83" s="1">
        <f t="shared" si="100"/>
        <v>-54</v>
      </c>
      <c r="AJ83" s="1">
        <f t="shared" si="101"/>
        <v>-52</v>
      </c>
      <c r="AK83" s="1">
        <f t="shared" si="102"/>
        <v>-54</v>
      </c>
      <c r="AL83" s="4">
        <f t="shared" si="103"/>
        <v>-56</v>
      </c>
      <c r="AN83" s="3">
        <f t="shared" si="104"/>
        <v>-57</v>
      </c>
      <c r="AO83" s="1">
        <f t="shared" si="105"/>
        <v>-57</v>
      </c>
      <c r="AP83" s="1">
        <f t="shared" si="106"/>
        <v>-60</v>
      </c>
      <c r="AQ83" s="1">
        <f t="shared" si="107"/>
        <v>-58</v>
      </c>
      <c r="AR83" s="1">
        <f t="shared" si="108"/>
        <v>-57</v>
      </c>
      <c r="AS83" s="1">
        <f t="shared" si="109"/>
        <v>-56</v>
      </c>
      <c r="AT83" s="1">
        <f t="shared" si="110"/>
        <v>-57</v>
      </c>
      <c r="AU83" s="4">
        <f t="shared" si="111"/>
        <v>-59</v>
      </c>
      <c r="AW83" s="3">
        <f t="shared" si="112"/>
        <v>-62</v>
      </c>
      <c r="AX83" s="1">
        <f t="shared" si="113"/>
        <v>-62</v>
      </c>
      <c r="AY83" s="1">
        <f t="shared" si="114"/>
        <v>-65</v>
      </c>
      <c r="AZ83" s="1">
        <f t="shared" si="115"/>
        <v>-62</v>
      </c>
      <c r="BA83" s="1">
        <f t="shared" si="116"/>
        <v>-61</v>
      </c>
      <c r="BB83" s="1">
        <f t="shared" si="117"/>
        <v>-59</v>
      </c>
      <c r="BC83" s="1">
        <f t="shared" si="118"/>
        <v>-60</v>
      </c>
      <c r="BD83" s="4">
        <f t="shared" si="119"/>
        <v>-61</v>
      </c>
      <c r="BF83" s="3">
        <v>-4</v>
      </c>
      <c r="BG83" s="1">
        <v>-4</v>
      </c>
      <c r="BH83" s="1">
        <v>-6</v>
      </c>
      <c r="BI83" s="1">
        <v>-6</v>
      </c>
      <c r="BJ83" s="1">
        <v>-4</v>
      </c>
      <c r="BK83" s="1">
        <v>-4</v>
      </c>
      <c r="BL83" s="1">
        <v>-8</v>
      </c>
      <c r="BM83" s="4">
        <v>-3</v>
      </c>
      <c r="BO83" s="3">
        <v>-10</v>
      </c>
      <c r="BP83" s="1">
        <v>-10</v>
      </c>
      <c r="BQ83" s="1">
        <v>-10</v>
      </c>
      <c r="BR83" s="1">
        <v>-11</v>
      </c>
      <c r="BS83" s="1">
        <v>-9</v>
      </c>
      <c r="BT83" s="1">
        <v>-9</v>
      </c>
      <c r="BU83" s="1">
        <v>-11</v>
      </c>
      <c r="BV83" s="4">
        <v>-7</v>
      </c>
      <c r="BX83" s="3">
        <v>-7</v>
      </c>
      <c r="BY83" s="1">
        <v>-7</v>
      </c>
      <c r="BZ83" s="1">
        <v>-8</v>
      </c>
      <c r="CA83" s="1">
        <v>-8</v>
      </c>
      <c r="CB83" s="1">
        <v>-7</v>
      </c>
      <c r="CC83" s="1">
        <v>-6</v>
      </c>
      <c r="CD83" s="1">
        <v>-11</v>
      </c>
      <c r="CE83" s="4">
        <v>-8</v>
      </c>
      <c r="CG83" s="3">
        <v>-4</v>
      </c>
      <c r="CH83" s="1">
        <v>-4</v>
      </c>
      <c r="CI83" s="1">
        <v>-5</v>
      </c>
      <c r="CJ83" s="1">
        <v>-4</v>
      </c>
      <c r="CK83" s="1">
        <v>-3</v>
      </c>
      <c r="CL83" s="1">
        <v>-4</v>
      </c>
      <c r="CM83" s="1">
        <v>-3</v>
      </c>
      <c r="CN83" s="4">
        <v>-3</v>
      </c>
      <c r="CP83" s="3">
        <v>-9</v>
      </c>
      <c r="CQ83" s="1">
        <v>-9</v>
      </c>
      <c r="CR83" s="1">
        <v>-10</v>
      </c>
      <c r="CS83" s="1">
        <v>-8</v>
      </c>
      <c r="CT83" s="1">
        <v>-7</v>
      </c>
      <c r="CU83" s="1">
        <v>-7</v>
      </c>
      <c r="CV83" s="1">
        <v>-6</v>
      </c>
      <c r="CW83" s="4">
        <v>-5</v>
      </c>
    </row>
    <row r="84" spans="1:101">
      <c r="A84" s="8" t="str">
        <f>VLOOKUP(B84,List!W:X,2,1)</f>
        <v>0.48 - 0.49</v>
      </c>
      <c r="B84" s="8">
        <v>0.48</v>
      </c>
      <c r="C84" s="8" t="s">
        <v>9</v>
      </c>
      <c r="D84" s="3">
        <v>-49</v>
      </c>
      <c r="E84" s="1">
        <v>-49</v>
      </c>
      <c r="F84" s="1">
        <v>-44</v>
      </c>
      <c r="G84" s="1">
        <v>-46</v>
      </c>
      <c r="H84" s="1">
        <v>-47</v>
      </c>
      <c r="I84" s="1">
        <v>-48</v>
      </c>
      <c r="J84" s="1">
        <v>-49</v>
      </c>
      <c r="K84" s="4">
        <v>-48</v>
      </c>
      <c r="M84" s="3">
        <f t="shared" si="80"/>
        <v>-52</v>
      </c>
      <c r="N84" s="1">
        <f t="shared" si="81"/>
        <v>-52</v>
      </c>
      <c r="O84" s="1">
        <f t="shared" si="82"/>
        <v>-51</v>
      </c>
      <c r="P84" s="1">
        <f t="shared" si="83"/>
        <v>-52</v>
      </c>
      <c r="Q84" s="1">
        <f t="shared" si="84"/>
        <v>-50</v>
      </c>
      <c r="R84" s="1">
        <f t="shared" si="85"/>
        <v>-51</v>
      </c>
      <c r="S84" s="1">
        <f t="shared" si="86"/>
        <v>-53</v>
      </c>
      <c r="T84" s="4">
        <f t="shared" si="87"/>
        <v>-52</v>
      </c>
      <c r="V84" s="3">
        <f t="shared" si="88"/>
        <v>-59</v>
      </c>
      <c r="W84" s="1">
        <f t="shared" si="89"/>
        <v>-59</v>
      </c>
      <c r="X84" s="1">
        <f t="shared" si="90"/>
        <v>-63</v>
      </c>
      <c r="Y84" s="1">
        <f t="shared" si="91"/>
        <v>-61</v>
      </c>
      <c r="Z84" s="1">
        <f t="shared" si="92"/>
        <v>-59</v>
      </c>
      <c r="AA84" s="1">
        <f t="shared" si="93"/>
        <v>-57</v>
      </c>
      <c r="AB84" s="1">
        <f t="shared" si="94"/>
        <v>-60</v>
      </c>
      <c r="AC84" s="4">
        <f t="shared" si="95"/>
        <v>-60</v>
      </c>
      <c r="AE84" s="3">
        <f t="shared" si="96"/>
        <v>-56</v>
      </c>
      <c r="AF84" s="1">
        <f t="shared" si="97"/>
        <v>-56</v>
      </c>
      <c r="AG84" s="1">
        <f t="shared" si="98"/>
        <v>-52</v>
      </c>
      <c r="AH84" s="1">
        <f t="shared" si="99"/>
        <v>-53</v>
      </c>
      <c r="AI84" s="1">
        <f t="shared" si="100"/>
        <v>-53</v>
      </c>
      <c r="AJ84" s="1">
        <f t="shared" si="101"/>
        <v>-54</v>
      </c>
      <c r="AK84" s="1">
        <f t="shared" si="102"/>
        <v>-56</v>
      </c>
      <c r="AL84" s="4">
        <f t="shared" si="103"/>
        <v>-57</v>
      </c>
      <c r="AN84" s="3">
        <f t="shared" si="104"/>
        <v>-61</v>
      </c>
      <c r="AO84" s="1">
        <f t="shared" si="105"/>
        <v>-61</v>
      </c>
      <c r="AP84" s="1">
        <f t="shared" si="106"/>
        <v>-58</v>
      </c>
      <c r="AQ84" s="1">
        <f t="shared" si="107"/>
        <v>-57</v>
      </c>
      <c r="AR84" s="1">
        <f t="shared" si="108"/>
        <v>-56</v>
      </c>
      <c r="AS84" s="1">
        <f t="shared" si="109"/>
        <v>-56</v>
      </c>
      <c r="AT84" s="1">
        <f t="shared" si="110"/>
        <v>-59</v>
      </c>
      <c r="AU84" s="4">
        <f t="shared" si="111"/>
        <v>-61</v>
      </c>
      <c r="AW84" s="3">
        <f t="shared" si="112"/>
        <v>-64</v>
      </c>
      <c r="AX84" s="1">
        <f t="shared" si="113"/>
        <v>-64</v>
      </c>
      <c r="AY84" s="1">
        <f t="shared" si="114"/>
        <v>-65</v>
      </c>
      <c r="AZ84" s="1">
        <f t="shared" si="115"/>
        <v>-61</v>
      </c>
      <c r="BA84" s="1">
        <f t="shared" si="116"/>
        <v>-60</v>
      </c>
      <c r="BB84" s="1">
        <f t="shared" si="117"/>
        <v>-59</v>
      </c>
      <c r="BC84" s="1">
        <f t="shared" si="118"/>
        <v>-61</v>
      </c>
      <c r="BD84" s="4">
        <f t="shared" si="119"/>
        <v>-63</v>
      </c>
      <c r="BF84" s="3">
        <v>-3</v>
      </c>
      <c r="BG84" s="1">
        <v>-3</v>
      </c>
      <c r="BH84" s="1">
        <v>-7</v>
      </c>
      <c r="BI84" s="1">
        <v>-6</v>
      </c>
      <c r="BJ84" s="1">
        <v>-3</v>
      </c>
      <c r="BK84" s="1">
        <v>-3</v>
      </c>
      <c r="BL84" s="1">
        <v>-4</v>
      </c>
      <c r="BM84" s="4">
        <v>-4</v>
      </c>
      <c r="BO84" s="3">
        <v>-7</v>
      </c>
      <c r="BP84" s="1">
        <v>-7</v>
      </c>
      <c r="BQ84" s="1">
        <v>-12</v>
      </c>
      <c r="BR84" s="1">
        <v>-9</v>
      </c>
      <c r="BS84" s="1">
        <v>-9</v>
      </c>
      <c r="BT84" s="1">
        <v>-6</v>
      </c>
      <c r="BU84" s="1">
        <v>-7</v>
      </c>
      <c r="BV84" s="4">
        <v>-8</v>
      </c>
      <c r="BX84" s="3">
        <v>-7</v>
      </c>
      <c r="BY84" s="1">
        <v>-7</v>
      </c>
      <c r="BZ84" s="1">
        <v>-8</v>
      </c>
      <c r="CA84" s="1">
        <v>-7</v>
      </c>
      <c r="CB84" s="1">
        <v>-6</v>
      </c>
      <c r="CC84" s="1">
        <v>-6</v>
      </c>
      <c r="CD84" s="1">
        <v>-7</v>
      </c>
      <c r="CE84" s="4">
        <v>-9</v>
      </c>
      <c r="CG84" s="3">
        <v>-5</v>
      </c>
      <c r="CH84" s="1">
        <v>-5</v>
      </c>
      <c r="CI84" s="1">
        <v>-6</v>
      </c>
      <c r="CJ84" s="1">
        <v>-4</v>
      </c>
      <c r="CK84" s="1">
        <v>-3</v>
      </c>
      <c r="CL84" s="1">
        <v>-2</v>
      </c>
      <c r="CM84" s="1">
        <v>-3</v>
      </c>
      <c r="CN84" s="4">
        <v>-4</v>
      </c>
      <c r="CP84" s="3">
        <v>-8</v>
      </c>
      <c r="CQ84" s="1">
        <v>-8</v>
      </c>
      <c r="CR84" s="1">
        <v>-13</v>
      </c>
      <c r="CS84" s="1">
        <v>-8</v>
      </c>
      <c r="CT84" s="1">
        <v>-7</v>
      </c>
      <c r="CU84" s="1">
        <v>-5</v>
      </c>
      <c r="CV84" s="1">
        <v>-5</v>
      </c>
      <c r="CW84" s="4">
        <v>-6</v>
      </c>
    </row>
    <row r="85" spans="1:101">
      <c r="A85" s="8" t="str">
        <f>VLOOKUP(B85,List!W:X,2,1)</f>
        <v>0.48 - 0.49</v>
      </c>
      <c r="B85" s="8">
        <v>0.48</v>
      </c>
      <c r="C85" s="8" t="s">
        <v>10</v>
      </c>
      <c r="D85" s="3">
        <v>-49</v>
      </c>
      <c r="E85" s="1">
        <v>-49</v>
      </c>
      <c r="F85" s="1">
        <v>-45</v>
      </c>
      <c r="G85" s="1">
        <v>-46</v>
      </c>
      <c r="H85" s="1">
        <v>-46</v>
      </c>
      <c r="I85" s="1">
        <v>-46</v>
      </c>
      <c r="J85" s="1">
        <v>-47</v>
      </c>
      <c r="K85" s="4">
        <v>-47</v>
      </c>
      <c r="M85" s="3">
        <f t="shared" si="80"/>
        <v>-52</v>
      </c>
      <c r="N85" s="1">
        <f t="shared" si="81"/>
        <v>-52</v>
      </c>
      <c r="O85" s="1">
        <f t="shared" si="82"/>
        <v>-50</v>
      </c>
      <c r="P85" s="1">
        <f t="shared" si="83"/>
        <v>-50</v>
      </c>
      <c r="Q85" s="1">
        <f t="shared" si="84"/>
        <v>-49</v>
      </c>
      <c r="R85" s="1">
        <f t="shared" si="85"/>
        <v>-49</v>
      </c>
      <c r="S85" s="1">
        <f t="shared" si="86"/>
        <v>-52</v>
      </c>
      <c r="T85" s="4">
        <f t="shared" si="87"/>
        <v>-50</v>
      </c>
      <c r="V85" s="3">
        <f t="shared" si="88"/>
        <v>-59</v>
      </c>
      <c r="W85" s="1">
        <f t="shared" si="89"/>
        <v>-59</v>
      </c>
      <c r="X85" s="1">
        <f t="shared" si="90"/>
        <v>-61</v>
      </c>
      <c r="Y85" s="1">
        <f t="shared" si="91"/>
        <v>-57</v>
      </c>
      <c r="Z85" s="1">
        <f t="shared" si="92"/>
        <v>-57</v>
      </c>
      <c r="AA85" s="1">
        <f t="shared" si="93"/>
        <v>-57</v>
      </c>
      <c r="AB85" s="1">
        <f t="shared" si="94"/>
        <v>-61</v>
      </c>
      <c r="AC85" s="4">
        <f t="shared" si="95"/>
        <v>-58</v>
      </c>
      <c r="AE85" s="3">
        <f t="shared" si="96"/>
        <v>-56</v>
      </c>
      <c r="AF85" s="1">
        <f t="shared" si="97"/>
        <v>-56</v>
      </c>
      <c r="AG85" s="1">
        <f t="shared" si="98"/>
        <v>-51</v>
      </c>
      <c r="AH85" s="1">
        <f t="shared" si="99"/>
        <v>-52</v>
      </c>
      <c r="AI85" s="1">
        <f t="shared" si="100"/>
        <v>-52</v>
      </c>
      <c r="AJ85" s="1">
        <f t="shared" si="101"/>
        <v>-52</v>
      </c>
      <c r="AK85" s="1">
        <f t="shared" si="102"/>
        <v>-55</v>
      </c>
      <c r="AL85" s="4">
        <f t="shared" si="103"/>
        <v>-56</v>
      </c>
      <c r="AN85" s="3">
        <f t="shared" si="104"/>
        <v>-60</v>
      </c>
      <c r="AO85" s="1">
        <f t="shared" si="105"/>
        <v>-60</v>
      </c>
      <c r="AP85" s="1">
        <f t="shared" si="106"/>
        <v>-57</v>
      </c>
      <c r="AQ85" s="1">
        <f t="shared" si="107"/>
        <v>-56</v>
      </c>
      <c r="AR85" s="1">
        <f t="shared" si="108"/>
        <v>-54</v>
      </c>
      <c r="AS85" s="1">
        <f t="shared" si="109"/>
        <v>-54</v>
      </c>
      <c r="AT85" s="1">
        <f t="shared" si="110"/>
        <v>-58</v>
      </c>
      <c r="AU85" s="4">
        <f t="shared" si="111"/>
        <v>-59</v>
      </c>
      <c r="AW85" s="3">
        <f t="shared" si="112"/>
        <v>-63</v>
      </c>
      <c r="AX85" s="1">
        <f t="shared" si="113"/>
        <v>-63</v>
      </c>
      <c r="AY85" s="1">
        <f t="shared" si="114"/>
        <v>-63</v>
      </c>
      <c r="AZ85" s="1">
        <f t="shared" si="115"/>
        <v>-60</v>
      </c>
      <c r="BA85" s="1">
        <f t="shared" si="116"/>
        <v>-59</v>
      </c>
      <c r="BB85" s="1">
        <f t="shared" si="117"/>
        <v>-58</v>
      </c>
      <c r="BC85" s="1">
        <f t="shared" si="118"/>
        <v>-60</v>
      </c>
      <c r="BD85" s="4">
        <f t="shared" si="119"/>
        <v>-61</v>
      </c>
      <c r="BF85" s="3">
        <v>-3</v>
      </c>
      <c r="BG85" s="1">
        <v>-3</v>
      </c>
      <c r="BH85" s="1">
        <v>-5</v>
      </c>
      <c r="BI85" s="1">
        <v>-4</v>
      </c>
      <c r="BJ85" s="1">
        <v>-3</v>
      </c>
      <c r="BK85" s="1">
        <v>-3</v>
      </c>
      <c r="BL85" s="1">
        <v>-5</v>
      </c>
      <c r="BM85" s="4">
        <v>-3</v>
      </c>
      <c r="BO85" s="3">
        <v>-7</v>
      </c>
      <c r="BP85" s="1">
        <v>-7</v>
      </c>
      <c r="BQ85" s="1">
        <v>-11</v>
      </c>
      <c r="BR85" s="1">
        <v>-7</v>
      </c>
      <c r="BS85" s="1">
        <v>-8</v>
      </c>
      <c r="BT85" s="1">
        <v>-8</v>
      </c>
      <c r="BU85" s="1">
        <v>-9</v>
      </c>
      <c r="BV85" s="4">
        <v>-8</v>
      </c>
      <c r="BX85" s="3">
        <v>-7</v>
      </c>
      <c r="BY85" s="1">
        <v>-7</v>
      </c>
      <c r="BZ85" s="1">
        <v>-6</v>
      </c>
      <c r="CA85" s="1">
        <v>-6</v>
      </c>
      <c r="CB85" s="1">
        <v>-6</v>
      </c>
      <c r="CC85" s="1">
        <v>-6</v>
      </c>
      <c r="CD85" s="1">
        <v>-8</v>
      </c>
      <c r="CE85" s="4">
        <v>-9</v>
      </c>
      <c r="CG85" s="3">
        <v>-4</v>
      </c>
      <c r="CH85" s="1">
        <v>-4</v>
      </c>
      <c r="CI85" s="1">
        <v>-6</v>
      </c>
      <c r="CJ85" s="1">
        <v>-4</v>
      </c>
      <c r="CK85" s="1">
        <v>-2</v>
      </c>
      <c r="CL85" s="1">
        <v>-2</v>
      </c>
      <c r="CM85" s="1">
        <v>-3</v>
      </c>
      <c r="CN85" s="4">
        <v>-3</v>
      </c>
      <c r="CP85" s="3">
        <v>-7</v>
      </c>
      <c r="CQ85" s="1">
        <v>-7</v>
      </c>
      <c r="CR85" s="1">
        <v>-12</v>
      </c>
      <c r="CS85" s="1">
        <v>-8</v>
      </c>
      <c r="CT85" s="1">
        <v>-7</v>
      </c>
      <c r="CU85" s="1">
        <v>-6</v>
      </c>
      <c r="CV85" s="1">
        <v>-5</v>
      </c>
      <c r="CW85" s="4">
        <v>-5</v>
      </c>
    </row>
    <row r="86" spans="1:101">
      <c r="A86" s="8" t="str">
        <f>VLOOKUP(B86,List!W:X,2,1)</f>
        <v>0.48 - 0.49</v>
      </c>
      <c r="B86" s="8">
        <v>0.48</v>
      </c>
      <c r="C86" s="8" t="s">
        <v>11</v>
      </c>
      <c r="D86" s="3">
        <v>-49</v>
      </c>
      <c r="E86" s="1">
        <v>-49</v>
      </c>
      <c r="F86" s="1">
        <v>-46</v>
      </c>
      <c r="G86" s="1">
        <v>-46</v>
      </c>
      <c r="H86" s="1">
        <v>-46</v>
      </c>
      <c r="I86" s="1">
        <v>-46</v>
      </c>
      <c r="J86" s="1">
        <v>-47</v>
      </c>
      <c r="K86" s="4">
        <v>-47</v>
      </c>
      <c r="M86" s="3">
        <f t="shared" si="80"/>
        <v>-55</v>
      </c>
      <c r="N86" s="1">
        <f t="shared" si="81"/>
        <v>-55</v>
      </c>
      <c r="O86" s="1">
        <f t="shared" si="82"/>
        <v>-52</v>
      </c>
      <c r="P86" s="1">
        <f t="shared" si="83"/>
        <v>-52</v>
      </c>
      <c r="Q86" s="1">
        <f t="shared" si="84"/>
        <v>-50</v>
      </c>
      <c r="R86" s="1">
        <f t="shared" si="85"/>
        <v>-50</v>
      </c>
      <c r="S86" s="1">
        <f t="shared" si="86"/>
        <v>-50</v>
      </c>
      <c r="T86" s="4">
        <f t="shared" si="87"/>
        <v>-51</v>
      </c>
      <c r="V86" s="3">
        <f t="shared" si="88"/>
        <v>-64</v>
      </c>
      <c r="W86" s="1">
        <f t="shared" si="89"/>
        <v>-64</v>
      </c>
      <c r="X86" s="1">
        <f t="shared" si="90"/>
        <v>-63</v>
      </c>
      <c r="Y86" s="1">
        <f t="shared" si="91"/>
        <v>-62</v>
      </c>
      <c r="Z86" s="1">
        <f t="shared" si="92"/>
        <v>-58</v>
      </c>
      <c r="AA86" s="1">
        <f t="shared" si="93"/>
        <v>-56</v>
      </c>
      <c r="AB86" s="1">
        <f t="shared" si="94"/>
        <v>-57</v>
      </c>
      <c r="AC86" s="4">
        <f t="shared" si="95"/>
        <v>-59</v>
      </c>
      <c r="AE86" s="3">
        <f t="shared" si="96"/>
        <v>-57</v>
      </c>
      <c r="AF86" s="1">
        <f t="shared" si="97"/>
        <v>-57</v>
      </c>
      <c r="AG86" s="1">
        <f t="shared" si="98"/>
        <v>-53</v>
      </c>
      <c r="AH86" s="1">
        <f t="shared" si="99"/>
        <v>-53</v>
      </c>
      <c r="AI86" s="1">
        <f t="shared" si="100"/>
        <v>-52</v>
      </c>
      <c r="AJ86" s="1">
        <f t="shared" si="101"/>
        <v>-52</v>
      </c>
      <c r="AK86" s="1">
        <f t="shared" si="102"/>
        <v>-53</v>
      </c>
      <c r="AL86" s="4">
        <f t="shared" si="103"/>
        <v>-55</v>
      </c>
      <c r="AN86" s="3">
        <f t="shared" si="104"/>
        <v>-62</v>
      </c>
      <c r="AO86" s="1">
        <f t="shared" si="105"/>
        <v>-62</v>
      </c>
      <c r="AP86" s="1">
        <f t="shared" si="106"/>
        <v>-59</v>
      </c>
      <c r="AQ86" s="1">
        <f t="shared" si="107"/>
        <v>-58</v>
      </c>
      <c r="AR86" s="1">
        <f t="shared" si="108"/>
        <v>-56</v>
      </c>
      <c r="AS86" s="1">
        <f t="shared" si="109"/>
        <v>-54</v>
      </c>
      <c r="AT86" s="1">
        <f t="shared" si="110"/>
        <v>-56</v>
      </c>
      <c r="AU86" s="4">
        <f t="shared" si="111"/>
        <v>-57</v>
      </c>
      <c r="AW86" s="3">
        <f t="shared" si="112"/>
        <v>-65</v>
      </c>
      <c r="AX86" s="1">
        <f t="shared" si="113"/>
        <v>-65</v>
      </c>
      <c r="AY86" s="1">
        <f t="shared" si="114"/>
        <v>-61</v>
      </c>
      <c r="AZ86" s="1">
        <f t="shared" si="115"/>
        <v>-60</v>
      </c>
      <c r="BA86" s="1">
        <f t="shared" si="116"/>
        <v>-58</v>
      </c>
      <c r="BB86" s="1">
        <f t="shared" si="117"/>
        <v>-57</v>
      </c>
      <c r="BC86" s="1">
        <f t="shared" si="118"/>
        <v>-58</v>
      </c>
      <c r="BD86" s="4">
        <f t="shared" si="119"/>
        <v>-59</v>
      </c>
      <c r="BF86" s="3">
        <v>-6</v>
      </c>
      <c r="BG86" s="1">
        <v>-6</v>
      </c>
      <c r="BH86" s="1">
        <v>-6</v>
      </c>
      <c r="BI86" s="1">
        <v>-6</v>
      </c>
      <c r="BJ86" s="1">
        <v>-4</v>
      </c>
      <c r="BK86" s="1">
        <v>-4</v>
      </c>
      <c r="BL86" s="1">
        <v>-3</v>
      </c>
      <c r="BM86" s="4">
        <v>-4</v>
      </c>
      <c r="BO86" s="3">
        <v>-9</v>
      </c>
      <c r="BP86" s="1">
        <v>-9</v>
      </c>
      <c r="BQ86" s="1">
        <v>-11</v>
      </c>
      <c r="BR86" s="1">
        <v>-10</v>
      </c>
      <c r="BS86" s="1">
        <v>-8</v>
      </c>
      <c r="BT86" s="1">
        <v>-6</v>
      </c>
      <c r="BU86" s="1">
        <v>-7</v>
      </c>
      <c r="BV86" s="4">
        <v>-8</v>
      </c>
      <c r="BX86" s="3">
        <v>-8</v>
      </c>
      <c r="BY86" s="1">
        <v>-8</v>
      </c>
      <c r="BZ86" s="1">
        <v>-7</v>
      </c>
      <c r="CA86" s="1">
        <v>-7</v>
      </c>
      <c r="CB86" s="1">
        <v>-6</v>
      </c>
      <c r="CC86" s="1">
        <v>-6</v>
      </c>
      <c r="CD86" s="1">
        <v>-6</v>
      </c>
      <c r="CE86" s="4">
        <v>-8</v>
      </c>
      <c r="CG86" s="3">
        <v>-5</v>
      </c>
      <c r="CH86" s="1">
        <v>-5</v>
      </c>
      <c r="CI86" s="1">
        <v>-6</v>
      </c>
      <c r="CJ86" s="1">
        <v>-5</v>
      </c>
      <c r="CK86" s="1">
        <v>-4</v>
      </c>
      <c r="CL86" s="1">
        <v>-2</v>
      </c>
      <c r="CM86" s="1">
        <v>-3</v>
      </c>
      <c r="CN86" s="4">
        <v>-2</v>
      </c>
      <c r="CP86" s="3">
        <v>-8</v>
      </c>
      <c r="CQ86" s="1">
        <v>-8</v>
      </c>
      <c r="CR86" s="1">
        <v>-8</v>
      </c>
      <c r="CS86" s="1">
        <v>-7</v>
      </c>
      <c r="CT86" s="1">
        <v>-6</v>
      </c>
      <c r="CU86" s="1">
        <v>-5</v>
      </c>
      <c r="CV86" s="1">
        <v>-5</v>
      </c>
      <c r="CW86" s="4">
        <v>-4</v>
      </c>
    </row>
    <row r="87" spans="1:101">
      <c r="A87" s="8" t="str">
        <f>VLOOKUP(B87,List!W:X,2,1)</f>
        <v>0.48 - 0.49</v>
      </c>
      <c r="B87" s="8">
        <v>0.48</v>
      </c>
      <c r="C87" s="8" t="s">
        <v>12</v>
      </c>
      <c r="D87" s="3">
        <v>-42</v>
      </c>
      <c r="E87" s="1">
        <v>-42</v>
      </c>
      <c r="F87" s="1">
        <v>-43</v>
      </c>
      <c r="G87" s="1">
        <v>-42</v>
      </c>
      <c r="H87" s="1">
        <v>-44</v>
      </c>
      <c r="I87" s="1">
        <v>-44</v>
      </c>
      <c r="J87" s="1">
        <v>-45</v>
      </c>
      <c r="K87" s="4">
        <v>-44</v>
      </c>
      <c r="M87" s="3">
        <f t="shared" si="80"/>
        <v>-51</v>
      </c>
      <c r="N87" s="1">
        <f t="shared" si="81"/>
        <v>-51</v>
      </c>
      <c r="O87" s="1">
        <f t="shared" si="82"/>
        <v>-51</v>
      </c>
      <c r="P87" s="1">
        <f t="shared" si="83"/>
        <v>-49</v>
      </c>
      <c r="Q87" s="1">
        <f t="shared" si="84"/>
        <v>-48</v>
      </c>
      <c r="R87" s="1">
        <f t="shared" si="85"/>
        <v>-48</v>
      </c>
      <c r="S87" s="1">
        <f t="shared" si="86"/>
        <v>-48</v>
      </c>
      <c r="T87" s="4">
        <f t="shared" si="87"/>
        <v>-48</v>
      </c>
      <c r="V87" s="3">
        <f t="shared" si="88"/>
        <v>-64</v>
      </c>
      <c r="W87" s="1">
        <f t="shared" si="89"/>
        <v>-64</v>
      </c>
      <c r="X87" s="1">
        <f t="shared" si="90"/>
        <v>-62</v>
      </c>
      <c r="Y87" s="1">
        <f t="shared" si="91"/>
        <v>-59</v>
      </c>
      <c r="Z87" s="1">
        <f t="shared" si="92"/>
        <v>-54</v>
      </c>
      <c r="AA87" s="1">
        <f t="shared" si="93"/>
        <v>-55</v>
      </c>
      <c r="AB87" s="1">
        <f t="shared" si="94"/>
        <v>-55</v>
      </c>
      <c r="AC87" s="4">
        <f t="shared" si="95"/>
        <v>-56</v>
      </c>
      <c r="AE87" s="3">
        <f t="shared" si="96"/>
        <v>-52</v>
      </c>
      <c r="AF87" s="1">
        <f t="shared" si="97"/>
        <v>-52</v>
      </c>
      <c r="AG87" s="1">
        <f t="shared" si="98"/>
        <v>-52</v>
      </c>
      <c r="AH87" s="1">
        <f t="shared" si="99"/>
        <v>-52</v>
      </c>
      <c r="AI87" s="1">
        <f t="shared" si="100"/>
        <v>-50</v>
      </c>
      <c r="AJ87" s="1">
        <f t="shared" si="101"/>
        <v>-50</v>
      </c>
      <c r="AK87" s="1">
        <f t="shared" si="102"/>
        <v>-51</v>
      </c>
      <c r="AL87" s="4">
        <f t="shared" si="103"/>
        <v>-52</v>
      </c>
      <c r="AN87" s="3">
        <f t="shared" si="104"/>
        <v>-57</v>
      </c>
      <c r="AO87" s="1">
        <f t="shared" si="105"/>
        <v>-57</v>
      </c>
      <c r="AP87" s="1">
        <f t="shared" si="106"/>
        <v>-57</v>
      </c>
      <c r="AQ87" s="1">
        <f t="shared" si="107"/>
        <v>-55</v>
      </c>
      <c r="AR87" s="1">
        <f t="shared" si="108"/>
        <v>-53</v>
      </c>
      <c r="AS87" s="1">
        <f t="shared" si="109"/>
        <v>-52</v>
      </c>
      <c r="AT87" s="1">
        <f t="shared" si="110"/>
        <v>-55</v>
      </c>
      <c r="AU87" s="4">
        <f t="shared" si="111"/>
        <v>-54</v>
      </c>
      <c r="AW87" s="3">
        <f t="shared" si="112"/>
        <v>-62</v>
      </c>
      <c r="AX87" s="1">
        <f t="shared" si="113"/>
        <v>-62</v>
      </c>
      <c r="AY87" s="1">
        <f t="shared" si="114"/>
        <v>-60</v>
      </c>
      <c r="AZ87" s="1">
        <f t="shared" si="115"/>
        <v>-58</v>
      </c>
      <c r="BA87" s="1">
        <f t="shared" si="116"/>
        <v>-56</v>
      </c>
      <c r="BB87" s="1">
        <f t="shared" si="117"/>
        <v>-55</v>
      </c>
      <c r="BC87" s="1">
        <f t="shared" si="118"/>
        <v>-57</v>
      </c>
      <c r="BD87" s="4">
        <f t="shared" si="119"/>
        <v>-57</v>
      </c>
      <c r="BF87" s="3">
        <v>-9</v>
      </c>
      <c r="BG87" s="1">
        <v>-9</v>
      </c>
      <c r="BH87" s="1">
        <v>-8</v>
      </c>
      <c r="BI87" s="1">
        <v>-7</v>
      </c>
      <c r="BJ87" s="1">
        <v>-4</v>
      </c>
      <c r="BK87" s="1">
        <v>-4</v>
      </c>
      <c r="BL87" s="1">
        <v>-3</v>
      </c>
      <c r="BM87" s="4">
        <v>-4</v>
      </c>
      <c r="BO87" s="3">
        <v>-13</v>
      </c>
      <c r="BP87" s="1">
        <v>-13</v>
      </c>
      <c r="BQ87" s="1">
        <v>-11</v>
      </c>
      <c r="BR87" s="1">
        <v>-10</v>
      </c>
      <c r="BS87" s="1">
        <v>-6</v>
      </c>
      <c r="BT87" s="1">
        <v>-7</v>
      </c>
      <c r="BU87" s="1">
        <v>-7</v>
      </c>
      <c r="BV87" s="4">
        <v>-8</v>
      </c>
      <c r="BX87" s="3">
        <v>-10</v>
      </c>
      <c r="BY87" s="1">
        <v>-10</v>
      </c>
      <c r="BZ87" s="1">
        <v>-9</v>
      </c>
      <c r="CA87" s="1">
        <v>-10</v>
      </c>
      <c r="CB87" s="1">
        <v>-6</v>
      </c>
      <c r="CC87" s="1">
        <v>-6</v>
      </c>
      <c r="CD87" s="1">
        <v>-6</v>
      </c>
      <c r="CE87" s="4">
        <v>-8</v>
      </c>
      <c r="CG87" s="3">
        <v>-5</v>
      </c>
      <c r="CH87" s="1">
        <v>-5</v>
      </c>
      <c r="CI87" s="1">
        <v>-5</v>
      </c>
      <c r="CJ87" s="1">
        <v>-3</v>
      </c>
      <c r="CK87" s="1">
        <v>-3</v>
      </c>
      <c r="CL87" s="1">
        <v>-2</v>
      </c>
      <c r="CM87" s="1">
        <v>-4</v>
      </c>
      <c r="CN87" s="4">
        <v>-2</v>
      </c>
      <c r="CP87" s="3">
        <v>-10</v>
      </c>
      <c r="CQ87" s="1">
        <v>-10</v>
      </c>
      <c r="CR87" s="1">
        <v>-8</v>
      </c>
      <c r="CS87" s="1">
        <v>-6</v>
      </c>
      <c r="CT87" s="1">
        <v>-6</v>
      </c>
      <c r="CU87" s="1">
        <v>-5</v>
      </c>
      <c r="CV87" s="1">
        <v>-6</v>
      </c>
      <c r="CW87" s="4">
        <v>-5</v>
      </c>
    </row>
    <row r="88" spans="1:101">
      <c r="A88" s="8" t="str">
        <f>VLOOKUP(B88,List!W:X,2,1)</f>
        <v>0.48 - 0.49</v>
      </c>
      <c r="B88" s="8">
        <v>0.48</v>
      </c>
      <c r="C88" s="8" t="s">
        <v>13</v>
      </c>
      <c r="D88" s="3">
        <v>-36</v>
      </c>
      <c r="E88" s="1">
        <v>-36</v>
      </c>
      <c r="F88" s="1">
        <v>-36</v>
      </c>
      <c r="G88" s="1">
        <v>-34</v>
      </c>
      <c r="H88" s="1">
        <v>-36</v>
      </c>
      <c r="I88" s="1">
        <v>-40</v>
      </c>
      <c r="J88" s="1">
        <v>-44</v>
      </c>
      <c r="K88" s="4">
        <v>-42</v>
      </c>
      <c r="M88" s="3">
        <f t="shared" si="80"/>
        <v>-46</v>
      </c>
      <c r="N88" s="1">
        <f t="shared" si="81"/>
        <v>-46</v>
      </c>
      <c r="O88" s="1">
        <f t="shared" si="82"/>
        <v>-47</v>
      </c>
      <c r="P88" s="1">
        <f t="shared" si="83"/>
        <v>-44</v>
      </c>
      <c r="Q88" s="1">
        <f t="shared" si="84"/>
        <v>-45</v>
      </c>
      <c r="R88" s="1">
        <f t="shared" si="85"/>
        <v>-47</v>
      </c>
      <c r="S88" s="1">
        <f t="shared" si="86"/>
        <v>-48</v>
      </c>
      <c r="T88" s="4">
        <f t="shared" si="87"/>
        <v>-47</v>
      </c>
      <c r="V88" s="3">
        <f t="shared" si="88"/>
        <v>-60</v>
      </c>
      <c r="W88" s="1">
        <f t="shared" si="89"/>
        <v>-60</v>
      </c>
      <c r="X88" s="1">
        <f t="shared" si="90"/>
        <v>-62</v>
      </c>
      <c r="Y88" s="1">
        <f t="shared" si="91"/>
        <v>-61</v>
      </c>
      <c r="Z88" s="1">
        <f t="shared" si="92"/>
        <v>-58</v>
      </c>
      <c r="AA88" s="1">
        <f t="shared" si="93"/>
        <v>-58</v>
      </c>
      <c r="AB88" s="1">
        <f t="shared" si="94"/>
        <v>-56</v>
      </c>
      <c r="AC88" s="4">
        <f t="shared" si="95"/>
        <v>-57</v>
      </c>
      <c r="AE88" s="3">
        <f t="shared" si="96"/>
        <v>-47</v>
      </c>
      <c r="AF88" s="1">
        <f t="shared" si="97"/>
        <v>-47</v>
      </c>
      <c r="AG88" s="1">
        <f t="shared" si="98"/>
        <v>-48</v>
      </c>
      <c r="AH88" s="1">
        <f t="shared" si="99"/>
        <v>-46</v>
      </c>
      <c r="AI88" s="1">
        <f t="shared" si="100"/>
        <v>-47</v>
      </c>
      <c r="AJ88" s="1">
        <f t="shared" si="101"/>
        <v>-49</v>
      </c>
      <c r="AK88" s="1">
        <f t="shared" si="102"/>
        <v>-52</v>
      </c>
      <c r="AL88" s="4">
        <f t="shared" si="103"/>
        <v>-51</v>
      </c>
      <c r="AN88" s="3">
        <f t="shared" si="104"/>
        <v>-53</v>
      </c>
      <c r="AO88" s="1">
        <f t="shared" si="105"/>
        <v>-53</v>
      </c>
      <c r="AP88" s="1">
        <f t="shared" si="106"/>
        <v>-54</v>
      </c>
      <c r="AQ88" s="1">
        <f t="shared" si="107"/>
        <v>-52</v>
      </c>
      <c r="AR88" s="1">
        <f t="shared" si="108"/>
        <v>-50</v>
      </c>
      <c r="AS88" s="1">
        <f t="shared" si="109"/>
        <v>-52</v>
      </c>
      <c r="AT88" s="1">
        <f t="shared" si="110"/>
        <v>-55</v>
      </c>
      <c r="AU88" s="4">
        <f t="shared" si="111"/>
        <v>-55</v>
      </c>
      <c r="AW88" s="3">
        <f t="shared" si="112"/>
        <v>-58</v>
      </c>
      <c r="AX88" s="1">
        <f t="shared" si="113"/>
        <v>-58</v>
      </c>
      <c r="AY88" s="1">
        <f t="shared" si="114"/>
        <v>-57</v>
      </c>
      <c r="AZ88" s="1">
        <f t="shared" si="115"/>
        <v>-55</v>
      </c>
      <c r="BA88" s="1">
        <f t="shared" si="116"/>
        <v>-52</v>
      </c>
      <c r="BB88" s="1">
        <f t="shared" si="117"/>
        <v>-55</v>
      </c>
      <c r="BC88" s="1">
        <f t="shared" si="118"/>
        <v>-58</v>
      </c>
      <c r="BD88" s="4">
        <f t="shared" si="119"/>
        <v>-57</v>
      </c>
      <c r="BF88" s="3">
        <v>-10</v>
      </c>
      <c r="BG88" s="1">
        <v>-10</v>
      </c>
      <c r="BH88" s="1">
        <v>-11</v>
      </c>
      <c r="BI88" s="1">
        <v>-10</v>
      </c>
      <c r="BJ88" s="1">
        <v>-9</v>
      </c>
      <c r="BK88" s="1">
        <v>-7</v>
      </c>
      <c r="BL88" s="1">
        <v>-4</v>
      </c>
      <c r="BM88" s="4">
        <v>-5</v>
      </c>
      <c r="BO88" s="3">
        <v>-14</v>
      </c>
      <c r="BP88" s="1">
        <v>-14</v>
      </c>
      <c r="BQ88" s="1">
        <v>-15</v>
      </c>
      <c r="BR88" s="1">
        <v>-17</v>
      </c>
      <c r="BS88" s="1">
        <v>-13</v>
      </c>
      <c r="BT88" s="1">
        <v>-11</v>
      </c>
      <c r="BU88" s="1">
        <v>-8</v>
      </c>
      <c r="BV88" s="4">
        <v>-10</v>
      </c>
      <c r="BX88" s="3">
        <v>-11</v>
      </c>
      <c r="BY88" s="1">
        <v>-11</v>
      </c>
      <c r="BZ88" s="1">
        <v>-12</v>
      </c>
      <c r="CA88" s="1">
        <v>-12</v>
      </c>
      <c r="CB88" s="1">
        <v>-11</v>
      </c>
      <c r="CC88" s="1">
        <v>-9</v>
      </c>
      <c r="CD88" s="1">
        <v>-8</v>
      </c>
      <c r="CE88" s="4">
        <v>-9</v>
      </c>
      <c r="CG88" s="3">
        <v>-6</v>
      </c>
      <c r="CH88" s="1">
        <v>-6</v>
      </c>
      <c r="CI88" s="1">
        <v>-6</v>
      </c>
      <c r="CJ88" s="1">
        <v>-6</v>
      </c>
      <c r="CK88" s="1">
        <v>-3</v>
      </c>
      <c r="CL88" s="1">
        <v>-3</v>
      </c>
      <c r="CM88" s="1">
        <v>-3</v>
      </c>
      <c r="CN88" s="4">
        <v>-4</v>
      </c>
      <c r="CP88" s="3">
        <v>-11</v>
      </c>
      <c r="CQ88" s="1">
        <v>-11</v>
      </c>
      <c r="CR88" s="1">
        <v>-9</v>
      </c>
      <c r="CS88" s="1">
        <v>-9</v>
      </c>
      <c r="CT88" s="1">
        <v>-5</v>
      </c>
      <c r="CU88" s="1">
        <v>-6</v>
      </c>
      <c r="CV88" s="1">
        <v>-6</v>
      </c>
      <c r="CW88" s="4">
        <v>-6</v>
      </c>
    </row>
    <row r="89" spans="1:101">
      <c r="A89" s="8" t="str">
        <f>VLOOKUP(B89,List!W:X,2,1)</f>
        <v>0.48 - 0.49</v>
      </c>
      <c r="B89" s="8">
        <v>0.48</v>
      </c>
      <c r="C89" s="8" t="s">
        <v>14</v>
      </c>
      <c r="D89" s="3">
        <v>-34</v>
      </c>
      <c r="E89" s="1">
        <v>-34</v>
      </c>
      <c r="F89" s="1">
        <v>-36</v>
      </c>
      <c r="G89" s="1">
        <v>-35</v>
      </c>
      <c r="H89" s="1">
        <v>-35</v>
      </c>
      <c r="I89" s="1">
        <v>-39</v>
      </c>
      <c r="J89" s="1">
        <v>-42</v>
      </c>
      <c r="K89" s="4">
        <v>-43</v>
      </c>
      <c r="M89" s="3">
        <f t="shared" si="80"/>
        <v>-43</v>
      </c>
      <c r="N89" s="1">
        <f t="shared" si="81"/>
        <v>-43</v>
      </c>
      <c r="O89" s="1">
        <f t="shared" si="82"/>
        <v>-47</v>
      </c>
      <c r="P89" s="1">
        <f t="shared" si="83"/>
        <v>-45</v>
      </c>
      <c r="Q89" s="1">
        <f t="shared" si="84"/>
        <v>-44</v>
      </c>
      <c r="R89" s="1">
        <f t="shared" si="85"/>
        <v>-46</v>
      </c>
      <c r="S89" s="1">
        <f t="shared" si="86"/>
        <v>-47</v>
      </c>
      <c r="T89" s="4">
        <f t="shared" si="87"/>
        <v>-47</v>
      </c>
      <c r="V89" s="3">
        <f t="shared" si="88"/>
        <v>-58</v>
      </c>
      <c r="W89" s="1">
        <f t="shared" si="89"/>
        <v>-58</v>
      </c>
      <c r="X89" s="1">
        <f t="shared" si="90"/>
        <v>-62</v>
      </c>
      <c r="Y89" s="1">
        <f t="shared" si="91"/>
        <v>-59</v>
      </c>
      <c r="Z89" s="1">
        <f t="shared" si="92"/>
        <v>-56</v>
      </c>
      <c r="AA89" s="1">
        <f t="shared" si="93"/>
        <v>-57</v>
      </c>
      <c r="AB89" s="1">
        <f t="shared" si="94"/>
        <v>-56</v>
      </c>
      <c r="AC89" s="4">
        <f t="shared" si="95"/>
        <v>-56</v>
      </c>
      <c r="AE89" s="3">
        <f t="shared" si="96"/>
        <v>-45</v>
      </c>
      <c r="AF89" s="1">
        <f t="shared" si="97"/>
        <v>-45</v>
      </c>
      <c r="AG89" s="1">
        <f t="shared" si="98"/>
        <v>-51</v>
      </c>
      <c r="AH89" s="1">
        <f t="shared" si="99"/>
        <v>-50</v>
      </c>
      <c r="AI89" s="1">
        <f t="shared" si="100"/>
        <v>-47</v>
      </c>
      <c r="AJ89" s="1">
        <f t="shared" si="101"/>
        <v>-49</v>
      </c>
      <c r="AK89" s="1">
        <f t="shared" si="102"/>
        <v>-50</v>
      </c>
      <c r="AL89" s="4">
        <f t="shared" si="103"/>
        <v>-52</v>
      </c>
      <c r="AN89" s="3">
        <f t="shared" si="104"/>
        <v>-52</v>
      </c>
      <c r="AO89" s="1">
        <f t="shared" si="105"/>
        <v>-52</v>
      </c>
      <c r="AP89" s="1">
        <f t="shared" si="106"/>
        <v>-55</v>
      </c>
      <c r="AQ89" s="1">
        <f t="shared" si="107"/>
        <v>-54</v>
      </c>
      <c r="AR89" s="1">
        <f t="shared" si="108"/>
        <v>-51</v>
      </c>
      <c r="AS89" s="1">
        <f t="shared" si="109"/>
        <v>-52</v>
      </c>
      <c r="AT89" s="1">
        <f t="shared" si="110"/>
        <v>-53</v>
      </c>
      <c r="AU89" s="4">
        <f t="shared" si="111"/>
        <v>-55</v>
      </c>
      <c r="AW89" s="3">
        <f t="shared" si="112"/>
        <v>-57</v>
      </c>
      <c r="AX89" s="1">
        <f t="shared" si="113"/>
        <v>-57</v>
      </c>
      <c r="AY89" s="1">
        <f t="shared" si="114"/>
        <v>-57</v>
      </c>
      <c r="AZ89" s="1">
        <f t="shared" si="115"/>
        <v>-56</v>
      </c>
      <c r="BA89" s="1">
        <f t="shared" si="116"/>
        <v>-53</v>
      </c>
      <c r="BB89" s="1">
        <f t="shared" si="117"/>
        <v>-54</v>
      </c>
      <c r="BC89" s="1">
        <f t="shared" si="118"/>
        <v>-55</v>
      </c>
      <c r="BD89" s="4">
        <f t="shared" si="119"/>
        <v>-57</v>
      </c>
      <c r="BF89" s="3">
        <v>-9</v>
      </c>
      <c r="BG89" s="1">
        <v>-9</v>
      </c>
      <c r="BH89" s="1">
        <v>-11</v>
      </c>
      <c r="BI89" s="1">
        <v>-10</v>
      </c>
      <c r="BJ89" s="1">
        <v>-9</v>
      </c>
      <c r="BK89" s="1">
        <v>-7</v>
      </c>
      <c r="BL89" s="1">
        <v>-5</v>
      </c>
      <c r="BM89" s="4">
        <v>-4</v>
      </c>
      <c r="BO89" s="3">
        <v>-15</v>
      </c>
      <c r="BP89" s="1">
        <v>-15</v>
      </c>
      <c r="BQ89" s="1">
        <v>-15</v>
      </c>
      <c r="BR89" s="1">
        <v>-14</v>
      </c>
      <c r="BS89" s="1">
        <v>-12</v>
      </c>
      <c r="BT89" s="1">
        <v>-11</v>
      </c>
      <c r="BU89" s="1">
        <v>-9</v>
      </c>
      <c r="BV89" s="4">
        <v>-9</v>
      </c>
      <c r="BX89" s="3">
        <v>-11</v>
      </c>
      <c r="BY89" s="1">
        <v>-11</v>
      </c>
      <c r="BZ89" s="1">
        <v>-15</v>
      </c>
      <c r="CA89" s="1">
        <v>-15</v>
      </c>
      <c r="CB89" s="1">
        <v>-12</v>
      </c>
      <c r="CC89" s="1">
        <v>-10</v>
      </c>
      <c r="CD89" s="1">
        <v>-8</v>
      </c>
      <c r="CE89" s="4">
        <v>-9</v>
      </c>
      <c r="CG89" s="3">
        <v>-7</v>
      </c>
      <c r="CH89" s="1">
        <v>-7</v>
      </c>
      <c r="CI89" s="1">
        <v>-4</v>
      </c>
      <c r="CJ89" s="1">
        <v>-4</v>
      </c>
      <c r="CK89" s="1">
        <v>-4</v>
      </c>
      <c r="CL89" s="1">
        <v>-3</v>
      </c>
      <c r="CM89" s="1">
        <v>-3</v>
      </c>
      <c r="CN89" s="4">
        <v>-3</v>
      </c>
      <c r="CP89" s="3">
        <v>-12</v>
      </c>
      <c r="CQ89" s="1">
        <v>-12</v>
      </c>
      <c r="CR89" s="1">
        <v>-6</v>
      </c>
      <c r="CS89" s="1">
        <v>-6</v>
      </c>
      <c r="CT89" s="1">
        <v>-6</v>
      </c>
      <c r="CU89" s="1">
        <v>-5</v>
      </c>
      <c r="CV89" s="1">
        <v>-5</v>
      </c>
      <c r="CW89" s="4">
        <v>-5</v>
      </c>
    </row>
    <row r="90" spans="1:101">
      <c r="A90" s="8" t="str">
        <f>VLOOKUP(B90,List!W:X,2,1)</f>
        <v>0.48 - 0.49</v>
      </c>
      <c r="B90" s="8">
        <v>0.48</v>
      </c>
      <c r="C90" s="8" t="s">
        <v>15</v>
      </c>
      <c r="D90" s="3">
        <v>-40</v>
      </c>
      <c r="E90" s="1">
        <v>-40</v>
      </c>
      <c r="F90" s="1">
        <v>-41</v>
      </c>
      <c r="G90" s="1">
        <v>-40</v>
      </c>
      <c r="H90" s="1">
        <v>-38</v>
      </c>
      <c r="I90" s="1">
        <v>-41</v>
      </c>
      <c r="J90" s="1">
        <v>-38</v>
      </c>
      <c r="K90" s="4">
        <v>-40</v>
      </c>
      <c r="M90" s="3">
        <f t="shared" si="80"/>
        <v>-44</v>
      </c>
      <c r="N90" s="1">
        <f t="shared" si="81"/>
        <v>-44</v>
      </c>
      <c r="O90" s="1">
        <f t="shared" si="82"/>
        <v>-44</v>
      </c>
      <c r="P90" s="1">
        <f t="shared" si="83"/>
        <v>-43</v>
      </c>
      <c r="Q90" s="1">
        <f t="shared" si="84"/>
        <v>-42</v>
      </c>
      <c r="R90" s="1">
        <f t="shared" si="85"/>
        <v>-45</v>
      </c>
      <c r="S90" s="1">
        <f t="shared" si="86"/>
        <v>-41</v>
      </c>
      <c r="T90" s="4">
        <f t="shared" si="87"/>
        <v>-43</v>
      </c>
      <c r="V90" s="3">
        <f t="shared" si="88"/>
        <v>-52</v>
      </c>
      <c r="W90" s="1">
        <f t="shared" si="89"/>
        <v>-52</v>
      </c>
      <c r="X90" s="1">
        <f t="shared" si="90"/>
        <v>-50</v>
      </c>
      <c r="Y90" s="1">
        <f t="shared" si="91"/>
        <v>-50</v>
      </c>
      <c r="Z90" s="1">
        <f t="shared" si="92"/>
        <v>-50</v>
      </c>
      <c r="AA90" s="1">
        <f t="shared" si="93"/>
        <v>-52</v>
      </c>
      <c r="AB90" s="1">
        <f t="shared" si="94"/>
        <v>-48</v>
      </c>
      <c r="AC90" s="4">
        <f t="shared" si="95"/>
        <v>-50</v>
      </c>
      <c r="AE90" s="3">
        <f t="shared" si="96"/>
        <v>-50</v>
      </c>
      <c r="AF90" s="1">
        <f t="shared" si="97"/>
        <v>-50</v>
      </c>
      <c r="AG90" s="1">
        <f t="shared" si="98"/>
        <v>-48</v>
      </c>
      <c r="AH90" s="1">
        <f t="shared" si="99"/>
        <v>-48</v>
      </c>
      <c r="AI90" s="1">
        <f t="shared" si="100"/>
        <v>-46</v>
      </c>
      <c r="AJ90" s="1">
        <f t="shared" si="101"/>
        <v>-47</v>
      </c>
      <c r="AK90" s="1">
        <f t="shared" si="102"/>
        <v>-46</v>
      </c>
      <c r="AL90" s="4">
        <f t="shared" si="103"/>
        <v>-48</v>
      </c>
      <c r="AN90" s="3">
        <f t="shared" si="104"/>
        <v>-53</v>
      </c>
      <c r="AO90" s="1">
        <f t="shared" si="105"/>
        <v>-53</v>
      </c>
      <c r="AP90" s="1">
        <f t="shared" si="106"/>
        <v>-52</v>
      </c>
      <c r="AQ90" s="1">
        <f t="shared" si="107"/>
        <v>-51</v>
      </c>
      <c r="AR90" s="1">
        <f t="shared" si="108"/>
        <v>-51</v>
      </c>
      <c r="AS90" s="1">
        <f t="shared" si="109"/>
        <v>-52</v>
      </c>
      <c r="AT90" s="1">
        <f t="shared" si="110"/>
        <v>-50</v>
      </c>
      <c r="AU90" s="4">
        <f t="shared" si="111"/>
        <v>-52</v>
      </c>
      <c r="AW90" s="3">
        <f t="shared" si="112"/>
        <v>-56</v>
      </c>
      <c r="AX90" s="1">
        <f t="shared" si="113"/>
        <v>-56</v>
      </c>
      <c r="AY90" s="1">
        <f t="shared" si="114"/>
        <v>-55</v>
      </c>
      <c r="AZ90" s="1">
        <f t="shared" si="115"/>
        <v>-55</v>
      </c>
      <c r="BA90" s="1">
        <f t="shared" si="116"/>
        <v>-54</v>
      </c>
      <c r="BB90" s="1">
        <f t="shared" si="117"/>
        <v>-57</v>
      </c>
      <c r="BC90" s="1">
        <f t="shared" si="118"/>
        <v>-55</v>
      </c>
      <c r="BD90" s="4">
        <f t="shared" si="119"/>
        <v>-57</v>
      </c>
      <c r="BF90" s="3">
        <v>-4</v>
      </c>
      <c r="BG90" s="1">
        <v>-4</v>
      </c>
      <c r="BH90" s="1">
        <v>-3</v>
      </c>
      <c r="BI90" s="1">
        <v>-3</v>
      </c>
      <c r="BJ90" s="1">
        <v>-4</v>
      </c>
      <c r="BK90" s="1">
        <v>-4</v>
      </c>
      <c r="BL90" s="1">
        <v>-3</v>
      </c>
      <c r="BM90" s="4">
        <v>-3</v>
      </c>
      <c r="BO90" s="3">
        <v>-8</v>
      </c>
      <c r="BP90" s="1">
        <v>-8</v>
      </c>
      <c r="BQ90" s="1">
        <v>-6</v>
      </c>
      <c r="BR90" s="1">
        <v>-7</v>
      </c>
      <c r="BS90" s="1">
        <v>-8</v>
      </c>
      <c r="BT90" s="1">
        <v>-7</v>
      </c>
      <c r="BU90" s="1">
        <v>-7</v>
      </c>
      <c r="BV90" s="4">
        <v>-7</v>
      </c>
      <c r="BX90" s="3">
        <v>-10</v>
      </c>
      <c r="BY90" s="1">
        <v>-10</v>
      </c>
      <c r="BZ90" s="1">
        <v>-7</v>
      </c>
      <c r="CA90" s="1">
        <v>-8</v>
      </c>
      <c r="CB90" s="1">
        <v>-8</v>
      </c>
      <c r="CC90" s="1">
        <v>-6</v>
      </c>
      <c r="CD90" s="1">
        <v>-8</v>
      </c>
      <c r="CE90" s="4">
        <v>-8</v>
      </c>
      <c r="CG90" s="3">
        <v>-3</v>
      </c>
      <c r="CH90" s="1">
        <v>-3</v>
      </c>
      <c r="CI90" s="1">
        <v>-4</v>
      </c>
      <c r="CJ90" s="1">
        <v>-3</v>
      </c>
      <c r="CK90" s="1">
        <v>-5</v>
      </c>
      <c r="CL90" s="1">
        <v>-5</v>
      </c>
      <c r="CM90" s="1">
        <v>-4</v>
      </c>
      <c r="CN90" s="4">
        <v>-4</v>
      </c>
      <c r="CP90" s="3">
        <v>-6</v>
      </c>
      <c r="CQ90" s="1">
        <v>-6</v>
      </c>
      <c r="CR90" s="1">
        <v>-7</v>
      </c>
      <c r="CS90" s="1">
        <v>-7</v>
      </c>
      <c r="CT90" s="1">
        <v>-8</v>
      </c>
      <c r="CU90" s="1">
        <v>-10</v>
      </c>
      <c r="CV90" s="1">
        <v>-9</v>
      </c>
      <c r="CW90" s="4">
        <v>-9</v>
      </c>
    </row>
    <row r="91" spans="1:101">
      <c r="A91" s="8" t="str">
        <f>VLOOKUP(B91,List!W:X,2,1)</f>
        <v>0.50 - 0.59</v>
      </c>
      <c r="B91" s="8">
        <v>0.5</v>
      </c>
      <c r="C91" s="8" t="s">
        <v>8</v>
      </c>
      <c r="D91" s="3">
        <v>-48</v>
      </c>
      <c r="E91" s="1">
        <v>-48</v>
      </c>
      <c r="F91" s="1">
        <v>-45</v>
      </c>
      <c r="G91" s="1">
        <v>-45</v>
      </c>
      <c r="H91" s="1">
        <v>-45</v>
      </c>
      <c r="I91" s="1">
        <v>-43</v>
      </c>
      <c r="J91" s="1">
        <v>-45</v>
      </c>
      <c r="K91" s="4">
        <v>-38</v>
      </c>
      <c r="M91" s="3">
        <f t="shared" si="80"/>
        <v>-53</v>
      </c>
      <c r="N91" s="1">
        <f t="shared" si="81"/>
        <v>-53</v>
      </c>
      <c r="O91" s="1">
        <f t="shared" si="82"/>
        <v>-52</v>
      </c>
      <c r="P91" s="1">
        <f t="shared" si="83"/>
        <v>-54</v>
      </c>
      <c r="Q91" s="1">
        <f t="shared" si="84"/>
        <v>-49</v>
      </c>
      <c r="R91" s="1">
        <f t="shared" si="85"/>
        <v>-46</v>
      </c>
      <c r="S91" s="1">
        <f t="shared" si="86"/>
        <v>-49</v>
      </c>
      <c r="T91" s="4">
        <f t="shared" si="87"/>
        <v>-42</v>
      </c>
      <c r="V91" s="3">
        <f t="shared" si="88"/>
        <v>-62</v>
      </c>
      <c r="W91" s="1">
        <f t="shared" si="89"/>
        <v>-62</v>
      </c>
      <c r="X91" s="1">
        <f t="shared" si="90"/>
        <v>-67</v>
      </c>
      <c r="Y91" s="1">
        <f t="shared" si="91"/>
        <v>-68</v>
      </c>
      <c r="Z91" s="1">
        <f t="shared" si="92"/>
        <v>-57</v>
      </c>
      <c r="AA91" s="1">
        <f t="shared" si="93"/>
        <v>-51</v>
      </c>
      <c r="AB91" s="1">
        <f t="shared" si="94"/>
        <v>-56</v>
      </c>
      <c r="AC91" s="4">
        <f t="shared" si="95"/>
        <v>-52</v>
      </c>
      <c r="AE91" s="3">
        <f t="shared" si="96"/>
        <v>-56</v>
      </c>
      <c r="AF91" s="1">
        <f t="shared" si="97"/>
        <v>-56</v>
      </c>
      <c r="AG91" s="1">
        <f t="shared" si="98"/>
        <v>-56</v>
      </c>
      <c r="AH91" s="1">
        <f t="shared" si="99"/>
        <v>-57</v>
      </c>
      <c r="AI91" s="1">
        <f t="shared" si="100"/>
        <v>-55</v>
      </c>
      <c r="AJ91" s="1">
        <f t="shared" si="101"/>
        <v>-51</v>
      </c>
      <c r="AK91" s="1">
        <f t="shared" si="102"/>
        <v>-52</v>
      </c>
      <c r="AL91" s="4">
        <f t="shared" si="103"/>
        <v>-48</v>
      </c>
      <c r="AN91" s="3">
        <f t="shared" si="104"/>
        <v>-59</v>
      </c>
      <c r="AO91" s="1">
        <f t="shared" si="105"/>
        <v>-59</v>
      </c>
      <c r="AP91" s="1">
        <f t="shared" si="106"/>
        <v>-62</v>
      </c>
      <c r="AQ91" s="1">
        <f t="shared" si="107"/>
        <v>-61</v>
      </c>
      <c r="AR91" s="1">
        <f t="shared" si="108"/>
        <v>-60</v>
      </c>
      <c r="AS91" s="1">
        <f t="shared" si="109"/>
        <v>-55</v>
      </c>
      <c r="AT91" s="1">
        <f t="shared" si="110"/>
        <v>-56</v>
      </c>
      <c r="AU91" s="4">
        <f t="shared" si="111"/>
        <v>-52</v>
      </c>
      <c r="AW91" s="3">
        <f t="shared" si="112"/>
        <v>-62</v>
      </c>
      <c r="AX91" s="1">
        <f t="shared" si="113"/>
        <v>-62</v>
      </c>
      <c r="AY91" s="1">
        <f t="shared" si="114"/>
        <v>-66</v>
      </c>
      <c r="AZ91" s="1">
        <f t="shared" si="115"/>
        <v>-65</v>
      </c>
      <c r="BA91" s="1">
        <f t="shared" si="116"/>
        <v>-63</v>
      </c>
      <c r="BB91" s="1">
        <f t="shared" si="117"/>
        <v>-59</v>
      </c>
      <c r="BC91" s="1">
        <f t="shared" si="118"/>
        <v>-58</v>
      </c>
      <c r="BD91" s="4">
        <f t="shared" si="119"/>
        <v>-54</v>
      </c>
      <c r="BF91" s="3">
        <v>-5</v>
      </c>
      <c r="BG91" s="1">
        <v>-5</v>
      </c>
      <c r="BH91" s="1">
        <v>-7</v>
      </c>
      <c r="BI91" s="1">
        <v>-9</v>
      </c>
      <c r="BJ91" s="1">
        <v>-4</v>
      </c>
      <c r="BK91" s="1">
        <v>-3</v>
      </c>
      <c r="BL91" s="1">
        <v>-4</v>
      </c>
      <c r="BM91" s="4">
        <v>-4</v>
      </c>
      <c r="BO91" s="3">
        <v>-9</v>
      </c>
      <c r="BP91" s="1">
        <v>-9</v>
      </c>
      <c r="BQ91" s="1">
        <v>-15</v>
      </c>
      <c r="BR91" s="1">
        <v>-14</v>
      </c>
      <c r="BS91" s="1">
        <v>-8</v>
      </c>
      <c r="BT91" s="1">
        <v>-5</v>
      </c>
      <c r="BU91" s="1">
        <v>-7</v>
      </c>
      <c r="BV91" s="4">
        <v>-10</v>
      </c>
      <c r="BX91" s="3">
        <v>-8</v>
      </c>
      <c r="BY91" s="1">
        <v>-8</v>
      </c>
      <c r="BZ91" s="1">
        <v>-11</v>
      </c>
      <c r="CA91" s="1">
        <v>-12</v>
      </c>
      <c r="CB91" s="1">
        <v>-10</v>
      </c>
      <c r="CC91" s="1">
        <v>-8</v>
      </c>
      <c r="CD91" s="1">
        <v>-7</v>
      </c>
      <c r="CE91" s="4">
        <v>-10</v>
      </c>
      <c r="CG91" s="3">
        <v>-3</v>
      </c>
      <c r="CH91" s="1">
        <v>-3</v>
      </c>
      <c r="CI91" s="1">
        <v>-6</v>
      </c>
      <c r="CJ91" s="1">
        <v>-4</v>
      </c>
      <c r="CK91" s="1">
        <v>-5</v>
      </c>
      <c r="CL91" s="1">
        <v>-4</v>
      </c>
      <c r="CM91" s="1">
        <v>-4</v>
      </c>
      <c r="CN91" s="4">
        <v>-4</v>
      </c>
      <c r="CP91" s="3">
        <v>-6</v>
      </c>
      <c r="CQ91" s="1">
        <v>-6</v>
      </c>
      <c r="CR91" s="1">
        <v>-10</v>
      </c>
      <c r="CS91" s="1">
        <v>-8</v>
      </c>
      <c r="CT91" s="1">
        <v>-8</v>
      </c>
      <c r="CU91" s="1">
        <v>-8</v>
      </c>
      <c r="CV91" s="1">
        <v>-6</v>
      </c>
      <c r="CW91" s="4">
        <v>-6</v>
      </c>
    </row>
    <row r="92" spans="1:101">
      <c r="A92" s="8" t="str">
        <f>VLOOKUP(B92,List!W:X,2,1)</f>
        <v>0.50 - 0.59</v>
      </c>
      <c r="B92" s="8">
        <v>0.5</v>
      </c>
      <c r="C92" s="8" t="s">
        <v>9</v>
      </c>
      <c r="D92" s="3">
        <v>-48</v>
      </c>
      <c r="E92" s="1">
        <v>-48</v>
      </c>
      <c r="F92" s="1">
        <v>-47</v>
      </c>
      <c r="G92" s="1">
        <v>-50</v>
      </c>
      <c r="H92" s="1">
        <v>-50</v>
      </c>
      <c r="I92" s="1">
        <v>-49</v>
      </c>
      <c r="J92" s="1">
        <v>-47</v>
      </c>
      <c r="K92" s="4">
        <v>-43</v>
      </c>
      <c r="M92" s="3">
        <f t="shared" si="80"/>
        <v>-54</v>
      </c>
      <c r="N92" s="1">
        <f t="shared" si="81"/>
        <v>-54</v>
      </c>
      <c r="O92" s="1">
        <f t="shared" si="82"/>
        <v>-54</v>
      </c>
      <c r="P92" s="1">
        <f t="shared" si="83"/>
        <v>-55</v>
      </c>
      <c r="Q92" s="1">
        <f t="shared" si="84"/>
        <v>-55</v>
      </c>
      <c r="R92" s="1">
        <f t="shared" si="85"/>
        <v>-52</v>
      </c>
      <c r="S92" s="1">
        <f t="shared" si="86"/>
        <v>-50</v>
      </c>
      <c r="T92" s="4">
        <f t="shared" si="87"/>
        <v>-47</v>
      </c>
      <c r="V92" s="3">
        <f t="shared" si="88"/>
        <v>-66</v>
      </c>
      <c r="W92" s="1">
        <f t="shared" si="89"/>
        <v>-66</v>
      </c>
      <c r="X92" s="1">
        <f t="shared" si="90"/>
        <v>-67</v>
      </c>
      <c r="Y92" s="1">
        <f t="shared" si="91"/>
        <v>-65</v>
      </c>
      <c r="Z92" s="1">
        <f t="shared" si="92"/>
        <v>-63</v>
      </c>
      <c r="AA92" s="1">
        <f t="shared" si="93"/>
        <v>-59</v>
      </c>
      <c r="AB92" s="1">
        <f t="shared" si="94"/>
        <v>-56</v>
      </c>
      <c r="AC92" s="4">
        <f t="shared" si="95"/>
        <v>-56</v>
      </c>
      <c r="AE92" s="3">
        <f t="shared" si="96"/>
        <v>-57</v>
      </c>
      <c r="AF92" s="1">
        <f t="shared" si="97"/>
        <v>-57</v>
      </c>
      <c r="AG92" s="1">
        <f t="shared" si="98"/>
        <v>-57</v>
      </c>
      <c r="AH92" s="1">
        <f t="shared" si="99"/>
        <v>-58</v>
      </c>
      <c r="AI92" s="1">
        <f t="shared" si="100"/>
        <v>-57</v>
      </c>
      <c r="AJ92" s="1">
        <f t="shared" si="101"/>
        <v>-55</v>
      </c>
      <c r="AK92" s="1">
        <f t="shared" si="102"/>
        <v>-54</v>
      </c>
      <c r="AL92" s="4">
        <f t="shared" si="103"/>
        <v>-53</v>
      </c>
      <c r="AN92" s="3">
        <f t="shared" si="104"/>
        <v>-60</v>
      </c>
      <c r="AO92" s="1">
        <f t="shared" si="105"/>
        <v>-60</v>
      </c>
      <c r="AP92" s="1">
        <f t="shared" si="106"/>
        <v>-61</v>
      </c>
      <c r="AQ92" s="1">
        <f t="shared" si="107"/>
        <v>-61</v>
      </c>
      <c r="AR92" s="1">
        <f t="shared" si="108"/>
        <v>-60</v>
      </c>
      <c r="AS92" s="1">
        <f t="shared" si="109"/>
        <v>-57</v>
      </c>
      <c r="AT92" s="1">
        <f t="shared" si="110"/>
        <v>-56</v>
      </c>
      <c r="AU92" s="4">
        <f t="shared" si="111"/>
        <v>-56</v>
      </c>
      <c r="AW92" s="3">
        <f t="shared" si="112"/>
        <v>-66</v>
      </c>
      <c r="AX92" s="1">
        <f t="shared" si="113"/>
        <v>-66</v>
      </c>
      <c r="AY92" s="1">
        <f t="shared" si="114"/>
        <v>-67</v>
      </c>
      <c r="AZ92" s="1">
        <f t="shared" si="115"/>
        <v>-65</v>
      </c>
      <c r="BA92" s="1">
        <f t="shared" si="116"/>
        <v>-62</v>
      </c>
      <c r="BB92" s="1">
        <f t="shared" si="117"/>
        <v>-59</v>
      </c>
      <c r="BC92" s="1">
        <f t="shared" si="118"/>
        <v>-58</v>
      </c>
      <c r="BD92" s="4">
        <f t="shared" si="119"/>
        <v>-58</v>
      </c>
      <c r="BF92" s="3">
        <v>-6</v>
      </c>
      <c r="BG92" s="1">
        <v>-6</v>
      </c>
      <c r="BH92" s="1">
        <v>-7</v>
      </c>
      <c r="BI92" s="1">
        <v>-5</v>
      </c>
      <c r="BJ92" s="1">
        <v>-5</v>
      </c>
      <c r="BK92" s="1">
        <v>-3</v>
      </c>
      <c r="BL92" s="1">
        <v>-3</v>
      </c>
      <c r="BM92" s="4">
        <v>-4</v>
      </c>
      <c r="BO92" s="3">
        <v>-12</v>
      </c>
      <c r="BP92" s="1">
        <v>-12</v>
      </c>
      <c r="BQ92" s="1">
        <v>-13</v>
      </c>
      <c r="BR92" s="1">
        <v>-10</v>
      </c>
      <c r="BS92" s="1">
        <v>-8</v>
      </c>
      <c r="BT92" s="1">
        <v>-7</v>
      </c>
      <c r="BU92" s="1">
        <v>-6</v>
      </c>
      <c r="BV92" s="4">
        <v>-9</v>
      </c>
      <c r="BX92" s="3">
        <v>-9</v>
      </c>
      <c r="BY92" s="1">
        <v>-9</v>
      </c>
      <c r="BZ92" s="1">
        <v>-10</v>
      </c>
      <c r="CA92" s="1">
        <v>-8</v>
      </c>
      <c r="CB92" s="1">
        <v>-7</v>
      </c>
      <c r="CC92" s="1">
        <v>-6</v>
      </c>
      <c r="CD92" s="1">
        <v>-7</v>
      </c>
      <c r="CE92" s="4">
        <v>-10</v>
      </c>
      <c r="CG92" s="3">
        <v>-3</v>
      </c>
      <c r="CH92" s="1">
        <v>-3</v>
      </c>
      <c r="CI92" s="1">
        <v>-4</v>
      </c>
      <c r="CJ92" s="1">
        <v>-3</v>
      </c>
      <c r="CK92" s="1">
        <v>-3</v>
      </c>
      <c r="CL92" s="1">
        <v>-2</v>
      </c>
      <c r="CM92" s="1">
        <v>-2</v>
      </c>
      <c r="CN92" s="4">
        <v>-3</v>
      </c>
      <c r="CP92" s="3">
        <v>-9</v>
      </c>
      <c r="CQ92" s="1">
        <v>-9</v>
      </c>
      <c r="CR92" s="1">
        <v>-10</v>
      </c>
      <c r="CS92" s="1">
        <v>-7</v>
      </c>
      <c r="CT92" s="1">
        <v>-5</v>
      </c>
      <c r="CU92" s="1">
        <v>-4</v>
      </c>
      <c r="CV92" s="1">
        <v>-4</v>
      </c>
      <c r="CW92" s="4">
        <v>-5</v>
      </c>
    </row>
    <row r="93" spans="1:101">
      <c r="A93" s="8" t="str">
        <f>VLOOKUP(B93,List!W:X,2,1)</f>
        <v>0.50 - 0.59</v>
      </c>
      <c r="B93" s="8">
        <v>0.5</v>
      </c>
      <c r="C93" s="8" t="s">
        <v>10</v>
      </c>
      <c r="D93" s="3">
        <v>-54</v>
      </c>
      <c r="E93" s="1">
        <v>-54</v>
      </c>
      <c r="F93" s="1">
        <v>-51</v>
      </c>
      <c r="G93" s="1">
        <v>-50</v>
      </c>
      <c r="H93" s="1">
        <v>-48</v>
      </c>
      <c r="I93" s="1">
        <v>-47</v>
      </c>
      <c r="J93" s="1">
        <v>-46</v>
      </c>
      <c r="K93" s="4">
        <v>-42</v>
      </c>
      <c r="M93" s="3">
        <f t="shared" si="80"/>
        <v>-58</v>
      </c>
      <c r="N93" s="1">
        <f t="shared" si="81"/>
        <v>-58</v>
      </c>
      <c r="O93" s="1">
        <f t="shared" si="82"/>
        <v>-56</v>
      </c>
      <c r="P93" s="1">
        <f t="shared" si="83"/>
        <v>-54</v>
      </c>
      <c r="Q93" s="1">
        <f t="shared" si="84"/>
        <v>-52</v>
      </c>
      <c r="R93" s="1">
        <f t="shared" si="85"/>
        <v>-52</v>
      </c>
      <c r="S93" s="1">
        <f t="shared" si="86"/>
        <v>-50</v>
      </c>
      <c r="T93" s="4">
        <f t="shared" si="87"/>
        <v>-47</v>
      </c>
      <c r="V93" s="3">
        <f t="shared" si="88"/>
        <v>-66</v>
      </c>
      <c r="W93" s="1">
        <f t="shared" si="89"/>
        <v>-66</v>
      </c>
      <c r="X93" s="1">
        <f t="shared" si="90"/>
        <v>-66</v>
      </c>
      <c r="Y93" s="1">
        <f t="shared" si="91"/>
        <v>-62</v>
      </c>
      <c r="Z93" s="1">
        <f t="shared" si="92"/>
        <v>-59</v>
      </c>
      <c r="AA93" s="1">
        <f t="shared" si="93"/>
        <v>-60</v>
      </c>
      <c r="AB93" s="1">
        <f t="shared" si="94"/>
        <v>-57</v>
      </c>
      <c r="AC93" s="4">
        <f t="shared" si="95"/>
        <v>-55</v>
      </c>
      <c r="AE93" s="3">
        <f t="shared" si="96"/>
        <v>-60</v>
      </c>
      <c r="AF93" s="1">
        <f t="shared" si="97"/>
        <v>-60</v>
      </c>
      <c r="AG93" s="1">
        <f t="shared" si="98"/>
        <v>-59</v>
      </c>
      <c r="AH93" s="1">
        <f t="shared" si="99"/>
        <v>-57</v>
      </c>
      <c r="AI93" s="1">
        <f t="shared" si="100"/>
        <v>-55</v>
      </c>
      <c r="AJ93" s="1">
        <f t="shared" si="101"/>
        <v>-54</v>
      </c>
      <c r="AK93" s="1">
        <f t="shared" si="102"/>
        <v>-54</v>
      </c>
      <c r="AL93" s="4">
        <f t="shared" si="103"/>
        <v>-51</v>
      </c>
      <c r="AN93" s="3">
        <f t="shared" si="104"/>
        <v>-63</v>
      </c>
      <c r="AO93" s="1">
        <f t="shared" si="105"/>
        <v>-63</v>
      </c>
      <c r="AP93" s="1">
        <f t="shared" si="106"/>
        <v>-63</v>
      </c>
      <c r="AQ93" s="1">
        <f t="shared" si="107"/>
        <v>-60</v>
      </c>
      <c r="AR93" s="1">
        <f t="shared" si="108"/>
        <v>-57</v>
      </c>
      <c r="AS93" s="1">
        <f t="shared" si="109"/>
        <v>-56</v>
      </c>
      <c r="AT93" s="1">
        <f t="shared" si="110"/>
        <v>-56</v>
      </c>
      <c r="AU93" s="4">
        <f t="shared" si="111"/>
        <v>-54</v>
      </c>
      <c r="AW93" s="3">
        <f t="shared" si="112"/>
        <v>-66</v>
      </c>
      <c r="AX93" s="1">
        <f t="shared" si="113"/>
        <v>-66</v>
      </c>
      <c r="AY93" s="1">
        <f t="shared" si="114"/>
        <v>-66</v>
      </c>
      <c r="AZ93" s="1">
        <f t="shared" si="115"/>
        <v>-63</v>
      </c>
      <c r="BA93" s="1">
        <f t="shared" si="116"/>
        <v>-59</v>
      </c>
      <c r="BB93" s="1">
        <f t="shared" si="117"/>
        <v>-58</v>
      </c>
      <c r="BC93" s="1">
        <f t="shared" si="118"/>
        <v>-58</v>
      </c>
      <c r="BD93" s="4">
        <f t="shared" si="119"/>
        <v>-56</v>
      </c>
      <c r="BF93" s="3">
        <v>-4</v>
      </c>
      <c r="BG93" s="1">
        <v>-4</v>
      </c>
      <c r="BH93" s="1">
        <v>-5</v>
      </c>
      <c r="BI93" s="1">
        <v>-4</v>
      </c>
      <c r="BJ93" s="1">
        <v>-4</v>
      </c>
      <c r="BK93" s="1">
        <v>-5</v>
      </c>
      <c r="BL93" s="1">
        <v>-4</v>
      </c>
      <c r="BM93" s="4">
        <v>-5</v>
      </c>
      <c r="BO93" s="3">
        <v>-8</v>
      </c>
      <c r="BP93" s="1">
        <v>-8</v>
      </c>
      <c r="BQ93" s="1">
        <v>-10</v>
      </c>
      <c r="BR93" s="1">
        <v>-8</v>
      </c>
      <c r="BS93" s="1">
        <v>-7</v>
      </c>
      <c r="BT93" s="1">
        <v>-8</v>
      </c>
      <c r="BU93" s="1">
        <v>-7</v>
      </c>
      <c r="BV93" s="4">
        <v>-8</v>
      </c>
      <c r="BX93" s="3">
        <v>-6</v>
      </c>
      <c r="BY93" s="1">
        <v>-6</v>
      </c>
      <c r="BZ93" s="1">
        <v>-8</v>
      </c>
      <c r="CA93" s="1">
        <v>-7</v>
      </c>
      <c r="CB93" s="1">
        <v>-7</v>
      </c>
      <c r="CC93" s="1">
        <v>-7</v>
      </c>
      <c r="CD93" s="1">
        <v>-8</v>
      </c>
      <c r="CE93" s="4">
        <v>-9</v>
      </c>
      <c r="CG93" s="3">
        <v>-3</v>
      </c>
      <c r="CH93" s="1">
        <v>-3</v>
      </c>
      <c r="CI93" s="1">
        <v>-4</v>
      </c>
      <c r="CJ93" s="1">
        <v>-3</v>
      </c>
      <c r="CK93" s="1">
        <v>-2</v>
      </c>
      <c r="CL93" s="1">
        <v>-2</v>
      </c>
      <c r="CM93" s="1">
        <v>-2</v>
      </c>
      <c r="CN93" s="4">
        <v>-3</v>
      </c>
      <c r="CP93" s="3">
        <v>-6</v>
      </c>
      <c r="CQ93" s="1">
        <v>-6</v>
      </c>
      <c r="CR93" s="1">
        <v>-7</v>
      </c>
      <c r="CS93" s="1">
        <v>-6</v>
      </c>
      <c r="CT93" s="1">
        <v>-4</v>
      </c>
      <c r="CU93" s="1">
        <v>-4</v>
      </c>
      <c r="CV93" s="1">
        <v>-4</v>
      </c>
      <c r="CW93" s="4">
        <v>-5</v>
      </c>
    </row>
    <row r="94" spans="1:101">
      <c r="A94" s="8" t="str">
        <f>VLOOKUP(B94,List!W:X,2,1)</f>
        <v>0.50 - 0.59</v>
      </c>
      <c r="B94" s="8">
        <v>0.5</v>
      </c>
      <c r="C94" s="8" t="s">
        <v>11</v>
      </c>
      <c r="D94" s="3">
        <v>-54</v>
      </c>
      <c r="E94" s="1">
        <v>-54</v>
      </c>
      <c r="F94" s="1">
        <v>-51</v>
      </c>
      <c r="G94" s="1">
        <v>-50</v>
      </c>
      <c r="H94" s="1">
        <v>-47</v>
      </c>
      <c r="I94" s="1">
        <v>-48</v>
      </c>
      <c r="J94" s="1">
        <v>-45</v>
      </c>
      <c r="K94" s="4">
        <v>-39</v>
      </c>
      <c r="M94" s="3">
        <f t="shared" si="80"/>
        <v>-58</v>
      </c>
      <c r="N94" s="1">
        <f t="shared" si="81"/>
        <v>-58</v>
      </c>
      <c r="O94" s="1">
        <f t="shared" si="82"/>
        <v>-57</v>
      </c>
      <c r="P94" s="1">
        <f t="shared" si="83"/>
        <v>-54</v>
      </c>
      <c r="Q94" s="1">
        <f t="shared" si="84"/>
        <v>-51</v>
      </c>
      <c r="R94" s="1">
        <f t="shared" si="85"/>
        <v>-50</v>
      </c>
      <c r="S94" s="1">
        <f t="shared" si="86"/>
        <v>-48</v>
      </c>
      <c r="T94" s="4">
        <f t="shared" si="87"/>
        <v>-45</v>
      </c>
      <c r="V94" s="3">
        <f t="shared" si="88"/>
        <v>-64</v>
      </c>
      <c r="W94" s="1">
        <f t="shared" si="89"/>
        <v>-64</v>
      </c>
      <c r="X94" s="1">
        <f t="shared" si="90"/>
        <v>-65</v>
      </c>
      <c r="Y94" s="1">
        <f t="shared" si="91"/>
        <v>-61</v>
      </c>
      <c r="Z94" s="1">
        <f t="shared" si="92"/>
        <v>-58</v>
      </c>
      <c r="AA94" s="1">
        <f t="shared" si="93"/>
        <v>-56</v>
      </c>
      <c r="AB94" s="1">
        <f t="shared" si="94"/>
        <v>-55</v>
      </c>
      <c r="AC94" s="4">
        <f t="shared" si="95"/>
        <v>-54</v>
      </c>
      <c r="AE94" s="3">
        <f t="shared" si="96"/>
        <v>-60</v>
      </c>
      <c r="AF94" s="1">
        <f t="shared" si="97"/>
        <v>-60</v>
      </c>
      <c r="AG94" s="1">
        <f t="shared" si="98"/>
        <v>-58</v>
      </c>
      <c r="AH94" s="1">
        <f t="shared" si="99"/>
        <v>-57</v>
      </c>
      <c r="AI94" s="1">
        <f t="shared" si="100"/>
        <v>-53</v>
      </c>
      <c r="AJ94" s="1">
        <f t="shared" si="101"/>
        <v>-53</v>
      </c>
      <c r="AK94" s="1">
        <f t="shared" si="102"/>
        <v>-52</v>
      </c>
      <c r="AL94" s="4">
        <f t="shared" si="103"/>
        <v>-49</v>
      </c>
      <c r="AN94" s="3">
        <f t="shared" si="104"/>
        <v>-62</v>
      </c>
      <c r="AO94" s="1">
        <f t="shared" si="105"/>
        <v>-62</v>
      </c>
      <c r="AP94" s="1">
        <f t="shared" si="106"/>
        <v>-61</v>
      </c>
      <c r="AQ94" s="1">
        <f t="shared" si="107"/>
        <v>-59</v>
      </c>
      <c r="AR94" s="1">
        <f t="shared" si="108"/>
        <v>-56</v>
      </c>
      <c r="AS94" s="1">
        <f t="shared" si="109"/>
        <v>-55</v>
      </c>
      <c r="AT94" s="1">
        <f t="shared" si="110"/>
        <v>-54</v>
      </c>
      <c r="AU94" s="4">
        <f t="shared" si="111"/>
        <v>-52</v>
      </c>
      <c r="AW94" s="3">
        <f t="shared" si="112"/>
        <v>-64</v>
      </c>
      <c r="AX94" s="1">
        <f t="shared" si="113"/>
        <v>-64</v>
      </c>
      <c r="AY94" s="1">
        <f t="shared" si="114"/>
        <v>-64</v>
      </c>
      <c r="AZ94" s="1">
        <f t="shared" si="115"/>
        <v>-61</v>
      </c>
      <c r="BA94" s="1">
        <f t="shared" si="116"/>
        <v>-58</v>
      </c>
      <c r="BB94" s="1">
        <f t="shared" si="117"/>
        <v>-57</v>
      </c>
      <c r="BC94" s="1">
        <f t="shared" si="118"/>
        <v>-57</v>
      </c>
      <c r="BD94" s="4">
        <f t="shared" si="119"/>
        <v>-55</v>
      </c>
      <c r="BF94" s="3">
        <v>-4</v>
      </c>
      <c r="BG94" s="1">
        <v>-4</v>
      </c>
      <c r="BH94" s="1">
        <v>-6</v>
      </c>
      <c r="BI94" s="1">
        <v>-4</v>
      </c>
      <c r="BJ94" s="1">
        <v>-4</v>
      </c>
      <c r="BK94" s="1">
        <v>-2</v>
      </c>
      <c r="BL94" s="1">
        <v>-3</v>
      </c>
      <c r="BM94" s="4">
        <v>-6</v>
      </c>
      <c r="BO94" s="3">
        <v>-6</v>
      </c>
      <c r="BP94" s="1">
        <v>-6</v>
      </c>
      <c r="BQ94" s="1">
        <v>-8</v>
      </c>
      <c r="BR94" s="1">
        <v>-7</v>
      </c>
      <c r="BS94" s="1">
        <v>-7</v>
      </c>
      <c r="BT94" s="1">
        <v>-6</v>
      </c>
      <c r="BU94" s="1">
        <v>-7</v>
      </c>
      <c r="BV94" s="4">
        <v>-9</v>
      </c>
      <c r="BX94" s="3">
        <v>-6</v>
      </c>
      <c r="BY94" s="1">
        <v>-6</v>
      </c>
      <c r="BZ94" s="1">
        <v>-7</v>
      </c>
      <c r="CA94" s="1">
        <v>-7</v>
      </c>
      <c r="CB94" s="1">
        <v>-6</v>
      </c>
      <c r="CC94" s="1">
        <v>-5</v>
      </c>
      <c r="CD94" s="1">
        <v>-7</v>
      </c>
      <c r="CE94" s="4">
        <v>-10</v>
      </c>
      <c r="CG94" s="3">
        <v>-2</v>
      </c>
      <c r="CH94" s="1">
        <v>-2</v>
      </c>
      <c r="CI94" s="1">
        <v>-3</v>
      </c>
      <c r="CJ94" s="1">
        <v>-2</v>
      </c>
      <c r="CK94" s="1">
        <v>-3</v>
      </c>
      <c r="CL94" s="1">
        <v>-2</v>
      </c>
      <c r="CM94" s="1">
        <v>-2</v>
      </c>
      <c r="CN94" s="4">
        <v>-3</v>
      </c>
      <c r="CP94" s="3">
        <v>-4</v>
      </c>
      <c r="CQ94" s="1">
        <v>-4</v>
      </c>
      <c r="CR94" s="1">
        <v>-6</v>
      </c>
      <c r="CS94" s="1">
        <v>-4</v>
      </c>
      <c r="CT94" s="1">
        <v>-5</v>
      </c>
      <c r="CU94" s="1">
        <v>-4</v>
      </c>
      <c r="CV94" s="1">
        <v>-5</v>
      </c>
      <c r="CW94" s="4">
        <v>-6</v>
      </c>
    </row>
    <row r="95" spans="1:101">
      <c r="A95" s="8" t="str">
        <f>VLOOKUP(B95,List!W:X,2,1)</f>
        <v>0.50 - 0.59</v>
      </c>
      <c r="B95" s="8">
        <v>0.5</v>
      </c>
      <c r="C95" s="8" t="s">
        <v>12</v>
      </c>
      <c r="D95" s="3">
        <v>-53</v>
      </c>
      <c r="E95" s="1">
        <v>-53</v>
      </c>
      <c r="F95" s="1">
        <v>-51</v>
      </c>
      <c r="G95" s="1">
        <v>-49</v>
      </c>
      <c r="H95" s="1">
        <v>-48</v>
      </c>
      <c r="I95" s="1">
        <v>-46</v>
      </c>
      <c r="J95" s="1">
        <v>-42</v>
      </c>
      <c r="K95" s="4">
        <v>-37</v>
      </c>
      <c r="M95" s="3">
        <f t="shared" si="80"/>
        <v>-56</v>
      </c>
      <c r="N95" s="1">
        <f t="shared" si="81"/>
        <v>-56</v>
      </c>
      <c r="O95" s="1">
        <f t="shared" si="82"/>
        <v>-55</v>
      </c>
      <c r="P95" s="1">
        <f t="shared" si="83"/>
        <v>-54</v>
      </c>
      <c r="Q95" s="1">
        <f t="shared" si="84"/>
        <v>-51</v>
      </c>
      <c r="R95" s="1">
        <f t="shared" si="85"/>
        <v>-49</v>
      </c>
      <c r="S95" s="1">
        <f t="shared" si="86"/>
        <v>-45</v>
      </c>
      <c r="T95" s="4">
        <f t="shared" si="87"/>
        <v>-43</v>
      </c>
      <c r="V95" s="3">
        <f t="shared" si="88"/>
        <v>-61</v>
      </c>
      <c r="W95" s="1">
        <f t="shared" si="89"/>
        <v>-61</v>
      </c>
      <c r="X95" s="1">
        <f t="shared" si="90"/>
        <v>-61</v>
      </c>
      <c r="Y95" s="1">
        <f t="shared" si="91"/>
        <v>-62</v>
      </c>
      <c r="Z95" s="1">
        <f t="shared" si="92"/>
        <v>-56</v>
      </c>
      <c r="AA95" s="1">
        <f t="shared" si="93"/>
        <v>-55</v>
      </c>
      <c r="AB95" s="1">
        <f t="shared" si="94"/>
        <v>-53</v>
      </c>
      <c r="AC95" s="4">
        <f t="shared" si="95"/>
        <v>-55</v>
      </c>
      <c r="AE95" s="3">
        <f t="shared" si="96"/>
        <v>-60</v>
      </c>
      <c r="AF95" s="1">
        <f t="shared" si="97"/>
        <v>-60</v>
      </c>
      <c r="AG95" s="1">
        <f t="shared" si="98"/>
        <v>-59</v>
      </c>
      <c r="AH95" s="1">
        <f t="shared" si="99"/>
        <v>-57</v>
      </c>
      <c r="AI95" s="1">
        <f t="shared" si="100"/>
        <v>-54</v>
      </c>
      <c r="AJ95" s="1">
        <f t="shared" si="101"/>
        <v>-53</v>
      </c>
      <c r="AK95" s="1">
        <f t="shared" si="102"/>
        <v>-50</v>
      </c>
      <c r="AL95" s="4">
        <f t="shared" si="103"/>
        <v>-48</v>
      </c>
      <c r="AN95" s="3">
        <f t="shared" si="104"/>
        <v>-62</v>
      </c>
      <c r="AO95" s="1">
        <f t="shared" si="105"/>
        <v>-62</v>
      </c>
      <c r="AP95" s="1">
        <f t="shared" si="106"/>
        <v>-62</v>
      </c>
      <c r="AQ95" s="1">
        <f t="shared" si="107"/>
        <v>-60</v>
      </c>
      <c r="AR95" s="1">
        <f t="shared" si="108"/>
        <v>-57</v>
      </c>
      <c r="AS95" s="1">
        <f t="shared" si="109"/>
        <v>-55</v>
      </c>
      <c r="AT95" s="1">
        <f t="shared" si="110"/>
        <v>-53</v>
      </c>
      <c r="AU95" s="4">
        <f t="shared" si="111"/>
        <v>-52</v>
      </c>
      <c r="AW95" s="3">
        <f t="shared" si="112"/>
        <v>-64</v>
      </c>
      <c r="AX95" s="1">
        <f t="shared" si="113"/>
        <v>-64</v>
      </c>
      <c r="AY95" s="1">
        <f t="shared" si="114"/>
        <v>-64</v>
      </c>
      <c r="AZ95" s="1">
        <f t="shared" si="115"/>
        <v>-62</v>
      </c>
      <c r="BA95" s="1">
        <f t="shared" si="116"/>
        <v>-59</v>
      </c>
      <c r="BB95" s="1">
        <f t="shared" si="117"/>
        <v>-58</v>
      </c>
      <c r="BC95" s="1">
        <f t="shared" si="118"/>
        <v>-55</v>
      </c>
      <c r="BD95" s="4">
        <f t="shared" si="119"/>
        <v>-55</v>
      </c>
      <c r="BF95" s="3">
        <v>-3</v>
      </c>
      <c r="BG95" s="1">
        <v>-3</v>
      </c>
      <c r="BH95" s="1">
        <v>-4</v>
      </c>
      <c r="BI95" s="1">
        <v>-5</v>
      </c>
      <c r="BJ95" s="1">
        <v>-3</v>
      </c>
      <c r="BK95" s="1">
        <v>-3</v>
      </c>
      <c r="BL95" s="1">
        <v>-3</v>
      </c>
      <c r="BM95" s="4">
        <v>-6</v>
      </c>
      <c r="BO95" s="3">
        <v>-5</v>
      </c>
      <c r="BP95" s="1">
        <v>-5</v>
      </c>
      <c r="BQ95" s="1">
        <v>-6</v>
      </c>
      <c r="BR95" s="1">
        <v>-8</v>
      </c>
      <c r="BS95" s="1">
        <v>-5</v>
      </c>
      <c r="BT95" s="1">
        <v>-6</v>
      </c>
      <c r="BU95" s="1">
        <v>-8</v>
      </c>
      <c r="BV95" s="4">
        <v>-12</v>
      </c>
      <c r="BX95" s="3">
        <v>-7</v>
      </c>
      <c r="BY95" s="1">
        <v>-7</v>
      </c>
      <c r="BZ95" s="1">
        <v>-8</v>
      </c>
      <c r="CA95" s="1">
        <v>-8</v>
      </c>
      <c r="CB95" s="1">
        <v>-6</v>
      </c>
      <c r="CC95" s="1">
        <v>-7</v>
      </c>
      <c r="CD95" s="1">
        <v>-8</v>
      </c>
      <c r="CE95" s="4">
        <v>-11</v>
      </c>
      <c r="CG95" s="3">
        <v>-2</v>
      </c>
      <c r="CH95" s="1">
        <v>-2</v>
      </c>
      <c r="CI95" s="1">
        <v>-3</v>
      </c>
      <c r="CJ95" s="1">
        <v>-3</v>
      </c>
      <c r="CK95" s="1">
        <v>-3</v>
      </c>
      <c r="CL95" s="1">
        <v>-2</v>
      </c>
      <c r="CM95" s="1">
        <v>-3</v>
      </c>
      <c r="CN95" s="4">
        <v>-4</v>
      </c>
      <c r="CP95" s="3">
        <v>-4</v>
      </c>
      <c r="CQ95" s="1">
        <v>-4</v>
      </c>
      <c r="CR95" s="1">
        <v>-5</v>
      </c>
      <c r="CS95" s="1">
        <v>-5</v>
      </c>
      <c r="CT95" s="1">
        <v>-5</v>
      </c>
      <c r="CU95" s="1">
        <v>-5</v>
      </c>
      <c r="CV95" s="1">
        <v>-5</v>
      </c>
      <c r="CW95" s="4">
        <v>-7</v>
      </c>
    </row>
    <row r="96" spans="1:101">
      <c r="A96" s="8" t="str">
        <f>VLOOKUP(B96,List!W:X,2,1)</f>
        <v>0.50 - 0.59</v>
      </c>
      <c r="B96" s="8">
        <v>0.5</v>
      </c>
      <c r="C96" s="8" t="s">
        <v>13</v>
      </c>
      <c r="D96" s="3">
        <v>-49</v>
      </c>
      <c r="E96" s="1">
        <v>-49</v>
      </c>
      <c r="F96" s="1">
        <v>-46</v>
      </c>
      <c r="G96" s="1">
        <v>-43</v>
      </c>
      <c r="H96" s="1">
        <v>-44</v>
      </c>
      <c r="I96" s="1">
        <v>-45</v>
      </c>
      <c r="J96" s="1">
        <v>-46</v>
      </c>
      <c r="K96" s="4">
        <v>-44</v>
      </c>
      <c r="M96" s="3">
        <f t="shared" si="80"/>
        <v>-52</v>
      </c>
      <c r="N96" s="1">
        <f t="shared" si="81"/>
        <v>-52</v>
      </c>
      <c r="O96" s="1">
        <f t="shared" si="82"/>
        <v>-50</v>
      </c>
      <c r="P96" s="1">
        <f t="shared" si="83"/>
        <v>-48</v>
      </c>
      <c r="Q96" s="1">
        <f t="shared" si="84"/>
        <v>-48</v>
      </c>
      <c r="R96" s="1">
        <f t="shared" si="85"/>
        <v>-49</v>
      </c>
      <c r="S96" s="1">
        <f t="shared" si="86"/>
        <v>-49</v>
      </c>
      <c r="T96" s="4">
        <f t="shared" si="87"/>
        <v>-47</v>
      </c>
      <c r="V96" s="3">
        <f t="shared" si="88"/>
        <v>-60</v>
      </c>
      <c r="W96" s="1">
        <f t="shared" si="89"/>
        <v>-60</v>
      </c>
      <c r="X96" s="1">
        <f t="shared" si="90"/>
        <v>-57</v>
      </c>
      <c r="Y96" s="1">
        <f t="shared" si="91"/>
        <v>-57</v>
      </c>
      <c r="Z96" s="1">
        <f t="shared" si="92"/>
        <v>-55</v>
      </c>
      <c r="AA96" s="1">
        <f t="shared" si="93"/>
        <v>-56</v>
      </c>
      <c r="AB96" s="1">
        <f t="shared" si="94"/>
        <v>-54</v>
      </c>
      <c r="AC96" s="4">
        <f t="shared" si="95"/>
        <v>-55</v>
      </c>
      <c r="AE96" s="3">
        <f t="shared" si="96"/>
        <v>-57</v>
      </c>
      <c r="AF96" s="1">
        <f t="shared" si="97"/>
        <v>-57</v>
      </c>
      <c r="AG96" s="1">
        <f t="shared" si="98"/>
        <v>-57</v>
      </c>
      <c r="AH96" s="1">
        <f t="shared" si="99"/>
        <v>-53</v>
      </c>
      <c r="AI96" s="1">
        <f t="shared" si="100"/>
        <v>-52</v>
      </c>
      <c r="AJ96" s="1">
        <f t="shared" si="101"/>
        <v>-51</v>
      </c>
      <c r="AK96" s="1">
        <f t="shared" si="102"/>
        <v>-53</v>
      </c>
      <c r="AL96" s="4">
        <f t="shared" si="103"/>
        <v>-52</v>
      </c>
      <c r="AN96" s="3">
        <f t="shared" si="104"/>
        <v>-60</v>
      </c>
      <c r="AO96" s="1">
        <f t="shared" si="105"/>
        <v>-60</v>
      </c>
      <c r="AP96" s="1">
        <f t="shared" si="106"/>
        <v>-60</v>
      </c>
      <c r="AQ96" s="1">
        <f t="shared" si="107"/>
        <v>-56</v>
      </c>
      <c r="AR96" s="1">
        <f t="shared" si="108"/>
        <v>-55</v>
      </c>
      <c r="AS96" s="1">
        <f t="shared" si="109"/>
        <v>-55</v>
      </c>
      <c r="AT96" s="1">
        <f t="shared" si="110"/>
        <v>-55</v>
      </c>
      <c r="AU96" s="4">
        <f t="shared" si="111"/>
        <v>-55</v>
      </c>
      <c r="AW96" s="3">
        <f t="shared" si="112"/>
        <v>-63</v>
      </c>
      <c r="AX96" s="1">
        <f t="shared" si="113"/>
        <v>-63</v>
      </c>
      <c r="AY96" s="1">
        <f t="shared" si="114"/>
        <v>-62</v>
      </c>
      <c r="AZ96" s="1">
        <f t="shared" si="115"/>
        <v>-58</v>
      </c>
      <c r="BA96" s="1">
        <f t="shared" si="116"/>
        <v>-58</v>
      </c>
      <c r="BB96" s="1">
        <f t="shared" si="117"/>
        <v>-57</v>
      </c>
      <c r="BC96" s="1">
        <f t="shared" si="118"/>
        <v>-57</v>
      </c>
      <c r="BD96" s="4">
        <f t="shared" si="119"/>
        <v>-57</v>
      </c>
      <c r="BF96" s="3">
        <v>-3</v>
      </c>
      <c r="BG96" s="1">
        <v>-3</v>
      </c>
      <c r="BH96" s="1">
        <v>-4</v>
      </c>
      <c r="BI96" s="1">
        <v>-5</v>
      </c>
      <c r="BJ96" s="1">
        <v>-4</v>
      </c>
      <c r="BK96" s="1">
        <v>-4</v>
      </c>
      <c r="BL96" s="1">
        <v>-3</v>
      </c>
      <c r="BM96" s="4">
        <v>-3</v>
      </c>
      <c r="BO96" s="3">
        <v>-8</v>
      </c>
      <c r="BP96" s="1">
        <v>-8</v>
      </c>
      <c r="BQ96" s="1">
        <v>-7</v>
      </c>
      <c r="BR96" s="1">
        <v>-9</v>
      </c>
      <c r="BS96" s="1">
        <v>-7</v>
      </c>
      <c r="BT96" s="1">
        <v>-7</v>
      </c>
      <c r="BU96" s="1">
        <v>-5</v>
      </c>
      <c r="BV96" s="4">
        <v>-8</v>
      </c>
      <c r="BX96" s="3">
        <v>-8</v>
      </c>
      <c r="BY96" s="1">
        <v>-8</v>
      </c>
      <c r="BZ96" s="1">
        <v>-11</v>
      </c>
      <c r="CA96" s="1">
        <v>-10</v>
      </c>
      <c r="CB96" s="1">
        <v>-8</v>
      </c>
      <c r="CC96" s="1">
        <v>-6</v>
      </c>
      <c r="CD96" s="1">
        <v>-7</v>
      </c>
      <c r="CE96" s="4">
        <v>-8</v>
      </c>
      <c r="CG96" s="3">
        <v>-3</v>
      </c>
      <c r="CH96" s="1">
        <v>-3</v>
      </c>
      <c r="CI96" s="1">
        <v>-3</v>
      </c>
      <c r="CJ96" s="1">
        <v>-3</v>
      </c>
      <c r="CK96" s="1">
        <v>-3</v>
      </c>
      <c r="CL96" s="1">
        <v>-4</v>
      </c>
      <c r="CM96" s="1">
        <v>-2</v>
      </c>
      <c r="CN96" s="4">
        <v>-3</v>
      </c>
      <c r="CP96" s="3">
        <v>-6</v>
      </c>
      <c r="CQ96" s="1">
        <v>-6</v>
      </c>
      <c r="CR96" s="1">
        <v>-5</v>
      </c>
      <c r="CS96" s="1">
        <v>-5</v>
      </c>
      <c r="CT96" s="1">
        <v>-6</v>
      </c>
      <c r="CU96" s="1">
        <v>-6</v>
      </c>
      <c r="CV96" s="1">
        <v>-4</v>
      </c>
      <c r="CW96" s="4">
        <v>-5</v>
      </c>
    </row>
    <row r="97" spans="1:101">
      <c r="A97" s="8" t="str">
        <f>VLOOKUP(B97,List!W:X,2,1)</f>
        <v>0.50 - 0.59</v>
      </c>
      <c r="B97" s="8">
        <v>0.5</v>
      </c>
      <c r="C97" s="8" t="s">
        <v>14</v>
      </c>
      <c r="D97" s="3">
        <v>-51</v>
      </c>
      <c r="E97" s="1">
        <v>-51</v>
      </c>
      <c r="F97" s="1">
        <v>-46</v>
      </c>
      <c r="G97" s="1">
        <v>-45</v>
      </c>
      <c r="H97" s="1">
        <v>-45</v>
      </c>
      <c r="I97" s="1">
        <v>-45</v>
      </c>
      <c r="J97" s="1">
        <v>-47</v>
      </c>
      <c r="K97" s="4">
        <v>-45</v>
      </c>
      <c r="M97" s="3">
        <f t="shared" si="80"/>
        <v>-54</v>
      </c>
      <c r="N97" s="1">
        <f t="shared" si="81"/>
        <v>-54</v>
      </c>
      <c r="O97" s="1">
        <f t="shared" si="82"/>
        <v>-52</v>
      </c>
      <c r="P97" s="1">
        <f t="shared" si="83"/>
        <v>-50</v>
      </c>
      <c r="Q97" s="1">
        <f t="shared" si="84"/>
        <v>-49</v>
      </c>
      <c r="R97" s="1">
        <f t="shared" si="85"/>
        <v>-48</v>
      </c>
      <c r="S97" s="1">
        <f t="shared" si="86"/>
        <v>-50</v>
      </c>
      <c r="T97" s="4">
        <f t="shared" si="87"/>
        <v>-49</v>
      </c>
      <c r="V97" s="3">
        <f t="shared" si="88"/>
        <v>-59</v>
      </c>
      <c r="W97" s="1">
        <f t="shared" si="89"/>
        <v>-59</v>
      </c>
      <c r="X97" s="1">
        <f t="shared" si="90"/>
        <v>-61</v>
      </c>
      <c r="Y97" s="1">
        <f t="shared" si="91"/>
        <v>-58</v>
      </c>
      <c r="Z97" s="1">
        <f t="shared" si="92"/>
        <v>-56</v>
      </c>
      <c r="AA97" s="1">
        <f t="shared" si="93"/>
        <v>-53</v>
      </c>
      <c r="AB97" s="1">
        <f t="shared" si="94"/>
        <v>-55</v>
      </c>
      <c r="AC97" s="4">
        <f t="shared" si="95"/>
        <v>-57</v>
      </c>
      <c r="AE97" s="3">
        <f t="shared" si="96"/>
        <v>-57</v>
      </c>
      <c r="AF97" s="1">
        <f t="shared" si="97"/>
        <v>-57</v>
      </c>
      <c r="AG97" s="1">
        <f t="shared" si="98"/>
        <v>-55</v>
      </c>
      <c r="AH97" s="1">
        <f t="shared" si="99"/>
        <v>-54</v>
      </c>
      <c r="AI97" s="1">
        <f t="shared" si="100"/>
        <v>-53</v>
      </c>
      <c r="AJ97" s="1">
        <f t="shared" si="101"/>
        <v>-51</v>
      </c>
      <c r="AK97" s="1">
        <f t="shared" si="102"/>
        <v>-54</v>
      </c>
      <c r="AL97" s="4">
        <f t="shared" si="103"/>
        <v>-53</v>
      </c>
      <c r="AN97" s="3">
        <f t="shared" si="104"/>
        <v>-59</v>
      </c>
      <c r="AO97" s="1">
        <f t="shared" si="105"/>
        <v>-59</v>
      </c>
      <c r="AP97" s="1">
        <f t="shared" si="106"/>
        <v>-58</v>
      </c>
      <c r="AQ97" s="1">
        <f t="shared" si="107"/>
        <v>-56</v>
      </c>
      <c r="AR97" s="1">
        <f t="shared" si="108"/>
        <v>-55</v>
      </c>
      <c r="AS97" s="1">
        <f t="shared" si="109"/>
        <v>-53</v>
      </c>
      <c r="AT97" s="1">
        <f t="shared" si="110"/>
        <v>-56</v>
      </c>
      <c r="AU97" s="4">
        <f t="shared" si="111"/>
        <v>-56</v>
      </c>
      <c r="AW97" s="3">
        <f t="shared" si="112"/>
        <v>-61</v>
      </c>
      <c r="AX97" s="1">
        <f t="shared" si="113"/>
        <v>-61</v>
      </c>
      <c r="AY97" s="1">
        <f t="shared" si="114"/>
        <v>-60</v>
      </c>
      <c r="AZ97" s="1">
        <f t="shared" si="115"/>
        <v>-58</v>
      </c>
      <c r="BA97" s="1">
        <f t="shared" si="116"/>
        <v>-57</v>
      </c>
      <c r="BB97" s="1">
        <f t="shared" si="117"/>
        <v>-55</v>
      </c>
      <c r="BC97" s="1">
        <f t="shared" si="118"/>
        <v>-58</v>
      </c>
      <c r="BD97" s="4">
        <f t="shared" si="119"/>
        <v>-58</v>
      </c>
      <c r="BF97" s="3">
        <v>-3</v>
      </c>
      <c r="BG97" s="1">
        <v>-3</v>
      </c>
      <c r="BH97" s="1">
        <v>-6</v>
      </c>
      <c r="BI97" s="1">
        <v>-5</v>
      </c>
      <c r="BJ97" s="1">
        <v>-4</v>
      </c>
      <c r="BK97" s="1">
        <v>-3</v>
      </c>
      <c r="BL97" s="1">
        <v>-3</v>
      </c>
      <c r="BM97" s="4">
        <v>-4</v>
      </c>
      <c r="BO97" s="3">
        <v>-5</v>
      </c>
      <c r="BP97" s="1">
        <v>-5</v>
      </c>
      <c r="BQ97" s="1">
        <v>-9</v>
      </c>
      <c r="BR97" s="1">
        <v>-8</v>
      </c>
      <c r="BS97" s="1">
        <v>-7</v>
      </c>
      <c r="BT97" s="1">
        <v>-5</v>
      </c>
      <c r="BU97" s="1">
        <v>-5</v>
      </c>
      <c r="BV97" s="4">
        <v>-8</v>
      </c>
      <c r="BX97" s="3">
        <v>-6</v>
      </c>
      <c r="BY97" s="1">
        <v>-6</v>
      </c>
      <c r="BZ97" s="1">
        <v>-9</v>
      </c>
      <c r="CA97" s="1">
        <v>-9</v>
      </c>
      <c r="CB97" s="1">
        <v>-8</v>
      </c>
      <c r="CC97" s="1">
        <v>-6</v>
      </c>
      <c r="CD97" s="1">
        <v>-7</v>
      </c>
      <c r="CE97" s="4">
        <v>-8</v>
      </c>
      <c r="CG97" s="3">
        <v>-2</v>
      </c>
      <c r="CH97" s="1">
        <v>-2</v>
      </c>
      <c r="CI97" s="1">
        <v>-3</v>
      </c>
      <c r="CJ97" s="1">
        <v>-2</v>
      </c>
      <c r="CK97" s="1">
        <v>-2</v>
      </c>
      <c r="CL97" s="1">
        <v>-2</v>
      </c>
      <c r="CM97" s="1">
        <v>-2</v>
      </c>
      <c r="CN97" s="4">
        <v>-3</v>
      </c>
      <c r="CP97" s="3">
        <v>-4</v>
      </c>
      <c r="CQ97" s="1">
        <v>-4</v>
      </c>
      <c r="CR97" s="1">
        <v>-5</v>
      </c>
      <c r="CS97" s="1">
        <v>-4</v>
      </c>
      <c r="CT97" s="1">
        <v>-4</v>
      </c>
      <c r="CU97" s="1">
        <v>-4</v>
      </c>
      <c r="CV97" s="1">
        <v>-4</v>
      </c>
      <c r="CW97" s="4">
        <v>-5</v>
      </c>
    </row>
    <row r="98" spans="1:101">
      <c r="A98" s="8" t="str">
        <f>VLOOKUP(B98,List!W:X,2,1)</f>
        <v>0.50 - 0.59</v>
      </c>
      <c r="B98" s="8">
        <v>0.5</v>
      </c>
      <c r="C98" s="8" t="s">
        <v>15</v>
      </c>
      <c r="D98" s="3">
        <v>-59</v>
      </c>
      <c r="E98" s="1">
        <v>-59</v>
      </c>
      <c r="F98" s="1">
        <v>-56</v>
      </c>
      <c r="G98" s="1">
        <v>-53</v>
      </c>
      <c r="H98" s="1">
        <v>-50</v>
      </c>
      <c r="I98" s="1">
        <v>-49</v>
      </c>
      <c r="J98" s="1">
        <v>-51</v>
      </c>
      <c r="K98" s="4">
        <v>-50</v>
      </c>
      <c r="M98" s="3">
        <f t="shared" si="80"/>
        <v>-63</v>
      </c>
      <c r="N98" s="1">
        <f t="shared" si="81"/>
        <v>-63</v>
      </c>
      <c r="O98" s="1">
        <f t="shared" si="82"/>
        <v>-60</v>
      </c>
      <c r="P98" s="1">
        <f t="shared" si="83"/>
        <v>-56</v>
      </c>
      <c r="Q98" s="1">
        <f t="shared" si="84"/>
        <v>-54</v>
      </c>
      <c r="R98" s="1">
        <f t="shared" si="85"/>
        <v>-53</v>
      </c>
      <c r="S98" s="1">
        <f t="shared" si="86"/>
        <v>-55</v>
      </c>
      <c r="T98" s="4">
        <f t="shared" si="87"/>
        <v>-54</v>
      </c>
      <c r="V98" s="3">
        <f t="shared" si="88"/>
        <v>-70</v>
      </c>
      <c r="W98" s="1">
        <f t="shared" si="89"/>
        <v>-70</v>
      </c>
      <c r="X98" s="1">
        <f t="shared" si="90"/>
        <v>-67</v>
      </c>
      <c r="Y98" s="1">
        <f t="shared" si="91"/>
        <v>-63</v>
      </c>
      <c r="Z98" s="1">
        <f t="shared" si="92"/>
        <v>-61</v>
      </c>
      <c r="AA98" s="1">
        <f t="shared" si="93"/>
        <v>-60</v>
      </c>
      <c r="AB98" s="1">
        <f t="shared" si="94"/>
        <v>-62</v>
      </c>
      <c r="AC98" s="4">
        <f t="shared" si="95"/>
        <v>-62</v>
      </c>
      <c r="AE98" s="3">
        <f t="shared" si="96"/>
        <v>-68</v>
      </c>
      <c r="AF98" s="1">
        <f t="shared" si="97"/>
        <v>-68</v>
      </c>
      <c r="AG98" s="1">
        <f t="shared" si="98"/>
        <v>-65</v>
      </c>
      <c r="AH98" s="1">
        <f t="shared" si="99"/>
        <v>-62</v>
      </c>
      <c r="AI98" s="1">
        <f t="shared" si="100"/>
        <v>-60</v>
      </c>
      <c r="AJ98" s="1">
        <f t="shared" si="101"/>
        <v>-59</v>
      </c>
      <c r="AK98" s="1">
        <f t="shared" si="102"/>
        <v>-61</v>
      </c>
      <c r="AL98" s="4">
        <f t="shared" si="103"/>
        <v>-59</v>
      </c>
      <c r="AN98" s="3">
        <f t="shared" si="104"/>
        <v>-72</v>
      </c>
      <c r="AO98" s="1">
        <f t="shared" si="105"/>
        <v>-72</v>
      </c>
      <c r="AP98" s="1">
        <f t="shared" si="106"/>
        <v>-68</v>
      </c>
      <c r="AQ98" s="1">
        <f t="shared" si="107"/>
        <v>-65</v>
      </c>
      <c r="AR98" s="1">
        <f t="shared" si="108"/>
        <v>-63</v>
      </c>
      <c r="AS98" s="1">
        <f t="shared" si="109"/>
        <v>-62</v>
      </c>
      <c r="AT98" s="1">
        <f t="shared" si="110"/>
        <v>-64</v>
      </c>
      <c r="AU98" s="4">
        <f t="shared" si="111"/>
        <v>-62</v>
      </c>
      <c r="AW98" s="3">
        <f t="shared" si="112"/>
        <v>-75</v>
      </c>
      <c r="AX98" s="1">
        <f t="shared" si="113"/>
        <v>-75</v>
      </c>
      <c r="AY98" s="1">
        <f t="shared" si="114"/>
        <v>-72</v>
      </c>
      <c r="AZ98" s="1">
        <f t="shared" si="115"/>
        <v>-69</v>
      </c>
      <c r="BA98" s="1">
        <f t="shared" si="116"/>
        <v>-67</v>
      </c>
      <c r="BB98" s="1">
        <f t="shared" si="117"/>
        <v>-66</v>
      </c>
      <c r="BC98" s="1">
        <f t="shared" si="118"/>
        <v>-66</v>
      </c>
      <c r="BD98" s="4">
        <f t="shared" si="119"/>
        <v>-66</v>
      </c>
      <c r="BF98" s="3">
        <v>-4</v>
      </c>
      <c r="BG98" s="1">
        <v>-4</v>
      </c>
      <c r="BH98" s="1">
        <v>-4</v>
      </c>
      <c r="BI98" s="1">
        <v>-3</v>
      </c>
      <c r="BJ98" s="1">
        <v>-4</v>
      </c>
      <c r="BK98" s="1">
        <v>-4</v>
      </c>
      <c r="BL98" s="1">
        <v>-4</v>
      </c>
      <c r="BM98" s="4">
        <v>-4</v>
      </c>
      <c r="BO98" s="3">
        <v>-7</v>
      </c>
      <c r="BP98" s="1">
        <v>-7</v>
      </c>
      <c r="BQ98" s="1">
        <v>-7</v>
      </c>
      <c r="BR98" s="1">
        <v>-7</v>
      </c>
      <c r="BS98" s="1">
        <v>-7</v>
      </c>
      <c r="BT98" s="1">
        <v>-7</v>
      </c>
      <c r="BU98" s="1">
        <v>-7</v>
      </c>
      <c r="BV98" s="4">
        <v>-8</v>
      </c>
      <c r="BX98" s="3">
        <v>-9</v>
      </c>
      <c r="BY98" s="1">
        <v>-9</v>
      </c>
      <c r="BZ98" s="1">
        <v>-9</v>
      </c>
      <c r="CA98" s="1">
        <v>-9</v>
      </c>
      <c r="CB98" s="1">
        <v>-10</v>
      </c>
      <c r="CC98" s="1">
        <v>-10</v>
      </c>
      <c r="CD98" s="1">
        <v>-10</v>
      </c>
      <c r="CE98" s="4">
        <v>-9</v>
      </c>
      <c r="CG98" s="3">
        <v>-4</v>
      </c>
      <c r="CH98" s="1">
        <v>-4</v>
      </c>
      <c r="CI98" s="1">
        <v>-3</v>
      </c>
      <c r="CJ98" s="1">
        <v>-3</v>
      </c>
      <c r="CK98" s="1">
        <v>-3</v>
      </c>
      <c r="CL98" s="1">
        <v>-3</v>
      </c>
      <c r="CM98" s="1">
        <v>-3</v>
      </c>
      <c r="CN98" s="4">
        <v>-3</v>
      </c>
      <c r="CP98" s="3">
        <v>-7</v>
      </c>
      <c r="CQ98" s="1">
        <v>-7</v>
      </c>
      <c r="CR98" s="1">
        <v>-7</v>
      </c>
      <c r="CS98" s="1">
        <v>-7</v>
      </c>
      <c r="CT98" s="1">
        <v>-7</v>
      </c>
      <c r="CU98" s="1">
        <v>-7</v>
      </c>
      <c r="CV98" s="1">
        <v>-5</v>
      </c>
      <c r="CW98" s="4">
        <v>-7</v>
      </c>
    </row>
    <row r="99" spans="1:101">
      <c r="A99" s="8" t="str">
        <f>VLOOKUP(B99,List!W:X,2,1)</f>
        <v>0.60 - 0.69</v>
      </c>
      <c r="B99" s="8">
        <v>0.6</v>
      </c>
      <c r="C99" s="8" t="s">
        <v>8</v>
      </c>
      <c r="D99" s="3">
        <v>-44</v>
      </c>
      <c r="E99" s="1">
        <v>-44</v>
      </c>
      <c r="F99" s="1">
        <v>-45</v>
      </c>
      <c r="G99" s="1">
        <v>-46</v>
      </c>
      <c r="H99" s="1">
        <v>-45</v>
      </c>
      <c r="I99" s="1">
        <v>-42</v>
      </c>
      <c r="J99" s="1">
        <v>-42</v>
      </c>
      <c r="K99" s="4">
        <v>-42</v>
      </c>
      <c r="M99" s="3">
        <f t="shared" ref="M99:M130" si="120">IFERROR(IF(AND(D99="",BF99=""),"",D99+BF99),"")</f>
        <v>-51</v>
      </c>
      <c r="N99" s="1">
        <f t="shared" ref="N99:N130" si="121">IFERROR(IF(AND(E99="",BG99=""),"",E99+BG99),"")</f>
        <v>-51</v>
      </c>
      <c r="O99" s="1">
        <f t="shared" ref="O99:O130" si="122">IFERROR(IF(AND(F99="",BH99=""),"",F99+BH99),"")</f>
        <v>-55</v>
      </c>
      <c r="P99" s="1">
        <f t="shared" ref="P99:P130" si="123">IFERROR(IF(AND(G99="",BI99=""),"",G99+BI99),"")</f>
        <v>-53</v>
      </c>
      <c r="Q99" s="1">
        <f t="shared" ref="Q99:Q130" si="124">IFERROR(IF(AND(H99="",BJ99=""),"",H99+BJ99),"")</f>
        <v>-49</v>
      </c>
      <c r="R99" s="1">
        <f t="shared" ref="R99:R130" si="125">IFERROR(IF(AND(I99="",BK99=""),"",I99+BK99),"")</f>
        <v>-47</v>
      </c>
      <c r="S99" s="1">
        <f t="shared" ref="S99:S130" si="126">IFERROR(IF(AND(J99="",BL99=""),"",J99+BL99),"")</f>
        <v>-46</v>
      </c>
      <c r="T99" s="4">
        <f t="shared" ref="T99:T130" si="127">IFERROR(IF(AND(K99="",BM99=""),"",K99+BM99),"")</f>
        <v>-46</v>
      </c>
      <c r="V99" s="3">
        <f t="shared" ref="V99:V130" si="128">IFERROR(IF(AND(M99="",BO99=""),"",M99+BO99),"")</f>
        <v>-64</v>
      </c>
      <c r="W99" s="1">
        <f t="shared" ref="W99:W130" si="129">IFERROR(IF(AND(N99="",BP99=""),"",N99+BP99),"")</f>
        <v>-64</v>
      </c>
      <c r="X99" s="1">
        <f t="shared" ref="X99:X130" si="130">IFERROR(IF(AND(O99="",BQ99=""),"",O99+BQ99),"")</f>
        <v>-69</v>
      </c>
      <c r="Y99" s="1">
        <f t="shared" ref="Y99:Y130" si="131">IFERROR(IF(AND(P99="",BR99=""),"",P99+BR99),"")</f>
        <v>-64</v>
      </c>
      <c r="Z99" s="1">
        <f t="shared" ref="Z99:Z130" si="132">IFERROR(IF(AND(Q99="",BS99=""),"",Q99+BS99),"")</f>
        <v>-58</v>
      </c>
      <c r="AA99" s="1">
        <f t="shared" ref="AA99:AA130" si="133">IFERROR(IF(AND(R99="",BT99=""),"",R99+BT99),"")</f>
        <v>-54</v>
      </c>
      <c r="AB99" s="1">
        <f t="shared" ref="AB99:AB130" si="134">IFERROR(IF(AND(S99="",BU99=""),"",S99+BU99),"")</f>
        <v>-57</v>
      </c>
      <c r="AC99" s="4">
        <f t="shared" ref="AC99:AC130" si="135">IFERROR(IF(AND(T99="",BV99=""),"",T99+BV99),"")</f>
        <v>-54</v>
      </c>
      <c r="AE99" s="3">
        <f t="shared" ref="AE99:AE130" si="136">IFERROR(IF(AND(D99="",BX99=""),"",D99+BX99),"")</f>
        <v>-52</v>
      </c>
      <c r="AF99" s="1">
        <f t="shared" ref="AF99:AF130" si="137">IFERROR(IF(AND(E99="",BY99=""),"",E99+BY99),"")</f>
        <v>-52</v>
      </c>
      <c r="AG99" s="1">
        <f t="shared" ref="AG99:AG130" si="138">IFERROR(IF(AND(F99="",BZ99=""),"",F99+BZ99),"")</f>
        <v>-52</v>
      </c>
      <c r="AH99" s="1">
        <f t="shared" ref="AH99:AH130" si="139">IFERROR(IF(AND(G99="",CA99=""),"",G99+CA99),"")</f>
        <v>-54</v>
      </c>
      <c r="AI99" s="1">
        <f t="shared" ref="AI99:AI130" si="140">IFERROR(IF(AND(H99="",CB99=""),"",H99+CB99),"")</f>
        <v>-52</v>
      </c>
      <c r="AJ99" s="1">
        <f t="shared" ref="AJ99:AJ130" si="141">IFERROR(IF(AND(I99="",CC99=""),"",I99+CC99),"")</f>
        <v>-51</v>
      </c>
      <c r="AK99" s="1">
        <f t="shared" ref="AK99:AK130" si="142">IFERROR(IF(AND(J99="",CD99=""),"",J99+CD99),"")</f>
        <v>-50</v>
      </c>
      <c r="AL99" s="4">
        <f t="shared" ref="AL99:AL130" si="143">IFERROR(IF(AND(K99="",CE99=""),"",K99+CE99),"")</f>
        <v>-50</v>
      </c>
      <c r="AN99" s="3">
        <f t="shared" ref="AN99:AN130" si="144">IFERROR(IF(AND(AE99="",CG99=""),"",AE99+CG99),"")</f>
        <v>-58</v>
      </c>
      <c r="AO99" s="1">
        <f t="shared" ref="AO99:AO130" si="145">IFERROR(IF(AND(AF99="",CH99=""),"",AF99+CH99),"")</f>
        <v>-58</v>
      </c>
      <c r="AP99" s="1">
        <f t="shared" ref="AP99:AP130" si="146">IFERROR(IF(AND(AG99="",CI99=""),"",AG99+CI99),"")</f>
        <v>-60</v>
      </c>
      <c r="AQ99" s="1">
        <f t="shared" ref="AQ99:AQ130" si="147">IFERROR(IF(AND(AH99="",CJ99=""),"",AH99+CJ99),"")</f>
        <v>-59</v>
      </c>
      <c r="AR99" s="1">
        <f t="shared" ref="AR99:AR130" si="148">IFERROR(IF(AND(AI99="",CK99=""),"",AI99+CK99),"")</f>
        <v>-55</v>
      </c>
      <c r="AS99" s="1">
        <f t="shared" ref="AS99:AS130" si="149">IFERROR(IF(AND(AJ99="",CL99=""),"",AJ99+CL99),"")</f>
        <v>-53</v>
      </c>
      <c r="AT99" s="1">
        <f t="shared" ref="AT99:AT130" si="150">IFERROR(IF(AND(AK99="",CM99=""),"",AK99+CM99),"")</f>
        <v>-52</v>
      </c>
      <c r="AU99" s="4">
        <f t="shared" ref="AU99:AU130" si="151">IFERROR(IF(AND(AL99="",CN99=""),"",AL99+CN99),"")</f>
        <v>-52</v>
      </c>
      <c r="AW99" s="3">
        <f t="shared" ref="AW99:AW130" si="152">IFERROR(IF(AND(AE99="",CP99=""),"",AE99+CP99),"")</f>
        <v>-62</v>
      </c>
      <c r="AX99" s="1">
        <f t="shared" ref="AX99:AX130" si="153">IFERROR(IF(AND(AF99="",CQ99=""),"",AF99+CQ99),"")</f>
        <v>-62</v>
      </c>
      <c r="AY99" s="1">
        <f t="shared" ref="AY99:AY130" si="154">IFERROR(IF(AND(AG99="",CR99=""),"",AG99+CR99),"")</f>
        <v>-64</v>
      </c>
      <c r="AZ99" s="1">
        <f t="shared" ref="AZ99:AZ130" si="155">IFERROR(IF(AND(AH99="",CS99=""),"",AH99+CS99),"")</f>
        <v>-62</v>
      </c>
      <c r="BA99" s="1">
        <f t="shared" ref="BA99:BA130" si="156">IFERROR(IF(AND(AI99="",CT99=""),"",AI99+CT99),"")</f>
        <v>-59</v>
      </c>
      <c r="BB99" s="1">
        <f t="shared" ref="BB99:BB130" si="157">IFERROR(IF(AND(AJ99="",CU99=""),"",AJ99+CU99),"")</f>
        <v>-57</v>
      </c>
      <c r="BC99" s="1">
        <f t="shared" ref="BC99:BC130" si="158">IFERROR(IF(AND(AK99="",CV99=""),"",AK99+CV99),"")</f>
        <v>-58</v>
      </c>
      <c r="BD99" s="4">
        <f t="shared" ref="BD99:BD130" si="159">IFERROR(IF(AND(AL99="",CW99=""),"",AL99+CW99),"")</f>
        <v>-55</v>
      </c>
      <c r="BF99" s="3">
        <v>-7</v>
      </c>
      <c r="BG99" s="1">
        <v>-7</v>
      </c>
      <c r="BH99" s="1">
        <v>-10</v>
      </c>
      <c r="BI99" s="1">
        <v>-7</v>
      </c>
      <c r="BJ99" s="1">
        <v>-4</v>
      </c>
      <c r="BK99" s="1">
        <v>-5</v>
      </c>
      <c r="BL99" s="1">
        <v>-4</v>
      </c>
      <c r="BM99" s="4">
        <v>-4</v>
      </c>
      <c r="BO99" s="3">
        <v>-13</v>
      </c>
      <c r="BP99" s="1">
        <v>-13</v>
      </c>
      <c r="BQ99" s="1">
        <v>-14</v>
      </c>
      <c r="BR99" s="1">
        <v>-11</v>
      </c>
      <c r="BS99" s="1">
        <v>-9</v>
      </c>
      <c r="BT99" s="1">
        <v>-7</v>
      </c>
      <c r="BU99" s="1">
        <v>-11</v>
      </c>
      <c r="BV99" s="4">
        <v>-8</v>
      </c>
      <c r="BX99" s="3">
        <v>-8</v>
      </c>
      <c r="BY99" s="1">
        <v>-8</v>
      </c>
      <c r="BZ99" s="1">
        <v>-7</v>
      </c>
      <c r="CA99" s="1">
        <v>-8</v>
      </c>
      <c r="CB99" s="1">
        <v>-7</v>
      </c>
      <c r="CC99" s="1">
        <v>-9</v>
      </c>
      <c r="CD99" s="1">
        <v>-8</v>
      </c>
      <c r="CE99" s="4">
        <v>-8</v>
      </c>
      <c r="CG99" s="3">
        <v>-6</v>
      </c>
      <c r="CH99" s="1">
        <v>-6</v>
      </c>
      <c r="CI99" s="1">
        <v>-8</v>
      </c>
      <c r="CJ99" s="1">
        <v>-5</v>
      </c>
      <c r="CK99" s="1">
        <v>-3</v>
      </c>
      <c r="CL99" s="1">
        <v>-2</v>
      </c>
      <c r="CM99" s="1">
        <v>-2</v>
      </c>
      <c r="CN99" s="4">
        <v>-2</v>
      </c>
      <c r="CP99" s="3">
        <v>-10</v>
      </c>
      <c r="CQ99" s="1">
        <v>-10</v>
      </c>
      <c r="CR99" s="1">
        <v>-12</v>
      </c>
      <c r="CS99" s="1">
        <v>-8</v>
      </c>
      <c r="CT99" s="1">
        <v>-7</v>
      </c>
      <c r="CU99" s="1">
        <v>-6</v>
      </c>
      <c r="CV99" s="1">
        <v>-8</v>
      </c>
      <c r="CW99" s="4">
        <v>-5</v>
      </c>
    </row>
    <row r="100" spans="1:101">
      <c r="A100" s="8" t="str">
        <f>VLOOKUP(B100,List!W:X,2,1)</f>
        <v>0.60 - 0.69</v>
      </c>
      <c r="B100" s="8">
        <v>0.6</v>
      </c>
      <c r="C100" s="8" t="s">
        <v>9</v>
      </c>
      <c r="D100" s="3">
        <v>-44</v>
      </c>
      <c r="E100" s="1">
        <v>-44</v>
      </c>
      <c r="F100" s="1">
        <v>-40</v>
      </c>
      <c r="G100" s="1">
        <v>-47</v>
      </c>
      <c r="H100" s="1">
        <v>-47</v>
      </c>
      <c r="I100" s="1">
        <v>-45</v>
      </c>
      <c r="J100" s="1">
        <v>-45</v>
      </c>
      <c r="K100" s="4">
        <v>-45</v>
      </c>
      <c r="M100" s="3">
        <f t="shared" si="120"/>
        <v>-52</v>
      </c>
      <c r="N100" s="1">
        <f t="shared" si="121"/>
        <v>-52</v>
      </c>
      <c r="O100" s="1">
        <f t="shared" si="122"/>
        <v>-52</v>
      </c>
      <c r="P100" s="1">
        <f t="shared" si="123"/>
        <v>-52</v>
      </c>
      <c r="Q100" s="1">
        <f t="shared" si="124"/>
        <v>-51</v>
      </c>
      <c r="R100" s="1">
        <f t="shared" si="125"/>
        <v>-49</v>
      </c>
      <c r="S100" s="1">
        <f t="shared" si="126"/>
        <v>-49</v>
      </c>
      <c r="T100" s="4">
        <f t="shared" si="127"/>
        <v>-48</v>
      </c>
      <c r="V100" s="3">
        <f t="shared" si="128"/>
        <v>-67</v>
      </c>
      <c r="W100" s="1">
        <f t="shared" si="129"/>
        <v>-67</v>
      </c>
      <c r="X100" s="1">
        <f t="shared" si="130"/>
        <v>-69</v>
      </c>
      <c r="Y100" s="1">
        <f t="shared" si="131"/>
        <v>-61</v>
      </c>
      <c r="Z100" s="1">
        <f t="shared" si="132"/>
        <v>-60</v>
      </c>
      <c r="AA100" s="1">
        <f t="shared" si="133"/>
        <v>-57</v>
      </c>
      <c r="AB100" s="1">
        <f t="shared" si="134"/>
        <v>-57</v>
      </c>
      <c r="AC100" s="4">
        <f t="shared" si="135"/>
        <v>-56</v>
      </c>
      <c r="AE100" s="3">
        <f t="shared" si="136"/>
        <v>-52</v>
      </c>
      <c r="AF100" s="1">
        <f t="shared" si="137"/>
        <v>-52</v>
      </c>
      <c r="AG100" s="1">
        <f t="shared" si="138"/>
        <v>-50</v>
      </c>
      <c r="AH100" s="1">
        <f t="shared" si="139"/>
        <v>-55</v>
      </c>
      <c r="AI100" s="1">
        <f t="shared" si="140"/>
        <v>-54</v>
      </c>
      <c r="AJ100" s="1">
        <f t="shared" si="141"/>
        <v>-52</v>
      </c>
      <c r="AK100" s="1">
        <f t="shared" si="142"/>
        <v>-52</v>
      </c>
      <c r="AL100" s="4">
        <f t="shared" si="143"/>
        <v>-53</v>
      </c>
      <c r="AN100" s="3">
        <f t="shared" si="144"/>
        <v>-60</v>
      </c>
      <c r="AO100" s="1">
        <f t="shared" si="145"/>
        <v>-60</v>
      </c>
      <c r="AP100" s="1">
        <f t="shared" si="146"/>
        <v>-59</v>
      </c>
      <c r="AQ100" s="1">
        <f t="shared" si="147"/>
        <v>-58</v>
      </c>
      <c r="AR100" s="1">
        <f t="shared" si="148"/>
        <v>-56</v>
      </c>
      <c r="AS100" s="1">
        <f t="shared" si="149"/>
        <v>-54</v>
      </c>
      <c r="AT100" s="1">
        <f t="shared" si="150"/>
        <v>-55</v>
      </c>
      <c r="AU100" s="4">
        <f t="shared" si="151"/>
        <v>-55</v>
      </c>
      <c r="AW100" s="3">
        <f t="shared" si="152"/>
        <v>-64</v>
      </c>
      <c r="AX100" s="1">
        <f t="shared" si="153"/>
        <v>-64</v>
      </c>
      <c r="AY100" s="1">
        <f t="shared" si="154"/>
        <v>-62</v>
      </c>
      <c r="AZ100" s="1">
        <f t="shared" si="155"/>
        <v>-62</v>
      </c>
      <c r="BA100" s="1">
        <f t="shared" si="156"/>
        <v>-60</v>
      </c>
      <c r="BB100" s="1">
        <f t="shared" si="157"/>
        <v>-58</v>
      </c>
      <c r="BC100" s="1">
        <f t="shared" si="158"/>
        <v>-58</v>
      </c>
      <c r="BD100" s="4">
        <f t="shared" si="159"/>
        <v>-58</v>
      </c>
      <c r="BF100" s="3">
        <v>-8</v>
      </c>
      <c r="BG100" s="1">
        <v>-8</v>
      </c>
      <c r="BH100" s="1">
        <v>-12</v>
      </c>
      <c r="BI100" s="1">
        <v>-5</v>
      </c>
      <c r="BJ100" s="1">
        <v>-4</v>
      </c>
      <c r="BK100" s="1">
        <v>-4</v>
      </c>
      <c r="BL100" s="1">
        <v>-4</v>
      </c>
      <c r="BM100" s="4">
        <v>-3</v>
      </c>
      <c r="BO100" s="3">
        <v>-15</v>
      </c>
      <c r="BP100" s="1">
        <v>-15</v>
      </c>
      <c r="BQ100" s="1">
        <v>-17</v>
      </c>
      <c r="BR100" s="1">
        <v>-9</v>
      </c>
      <c r="BS100" s="1">
        <v>-9</v>
      </c>
      <c r="BT100" s="1">
        <v>-8</v>
      </c>
      <c r="BU100" s="1">
        <v>-8</v>
      </c>
      <c r="BV100" s="4">
        <v>-8</v>
      </c>
      <c r="BX100" s="3">
        <v>-8</v>
      </c>
      <c r="BY100" s="1">
        <v>-8</v>
      </c>
      <c r="BZ100" s="1">
        <v>-10</v>
      </c>
      <c r="CA100" s="1">
        <v>-8</v>
      </c>
      <c r="CB100" s="1">
        <v>-7</v>
      </c>
      <c r="CC100" s="1">
        <v>-7</v>
      </c>
      <c r="CD100" s="1">
        <v>-7</v>
      </c>
      <c r="CE100" s="4">
        <v>-8</v>
      </c>
      <c r="CG100" s="3">
        <v>-8</v>
      </c>
      <c r="CH100" s="1">
        <v>-8</v>
      </c>
      <c r="CI100" s="1">
        <v>-9</v>
      </c>
      <c r="CJ100" s="1">
        <v>-3</v>
      </c>
      <c r="CK100" s="1">
        <v>-2</v>
      </c>
      <c r="CL100" s="1">
        <v>-2</v>
      </c>
      <c r="CM100" s="1">
        <v>-3</v>
      </c>
      <c r="CN100" s="4">
        <v>-2</v>
      </c>
      <c r="CP100" s="3">
        <v>-12</v>
      </c>
      <c r="CQ100" s="1">
        <v>-12</v>
      </c>
      <c r="CR100" s="1">
        <v>-12</v>
      </c>
      <c r="CS100" s="1">
        <v>-7</v>
      </c>
      <c r="CT100" s="1">
        <v>-6</v>
      </c>
      <c r="CU100" s="1">
        <v>-6</v>
      </c>
      <c r="CV100" s="1">
        <v>-6</v>
      </c>
      <c r="CW100" s="4">
        <v>-5</v>
      </c>
    </row>
    <row r="101" spans="1:101">
      <c r="A101" s="8" t="str">
        <f>VLOOKUP(B101,List!W:X,2,1)</f>
        <v>0.60 - 0.69</v>
      </c>
      <c r="B101" s="8">
        <v>0.6</v>
      </c>
      <c r="C101" s="8" t="s">
        <v>10</v>
      </c>
      <c r="D101" s="3">
        <v>-43</v>
      </c>
      <c r="E101" s="1">
        <v>-43</v>
      </c>
      <c r="F101" s="1">
        <v>-41</v>
      </c>
      <c r="G101" s="1">
        <v>-47</v>
      </c>
      <c r="H101" s="1">
        <v>-43</v>
      </c>
      <c r="I101" s="1">
        <v>-43</v>
      </c>
      <c r="J101" s="1">
        <v>-43</v>
      </c>
      <c r="K101" s="4">
        <v>-42</v>
      </c>
      <c r="M101" s="3">
        <f t="shared" si="120"/>
        <v>-50</v>
      </c>
      <c r="N101" s="1">
        <f t="shared" si="121"/>
        <v>-50</v>
      </c>
      <c r="O101" s="1">
        <f t="shared" si="122"/>
        <v>-50</v>
      </c>
      <c r="P101" s="1">
        <f t="shared" si="123"/>
        <v>-51</v>
      </c>
      <c r="Q101" s="1">
        <f t="shared" si="124"/>
        <v>-49</v>
      </c>
      <c r="R101" s="1">
        <f t="shared" si="125"/>
        <v>-48</v>
      </c>
      <c r="S101" s="1">
        <f t="shared" si="126"/>
        <v>-47</v>
      </c>
      <c r="T101" s="4">
        <f t="shared" si="127"/>
        <v>-48</v>
      </c>
      <c r="V101" s="3">
        <f t="shared" si="128"/>
        <v>-63</v>
      </c>
      <c r="W101" s="1">
        <f t="shared" si="129"/>
        <v>-63</v>
      </c>
      <c r="X101" s="1">
        <f t="shared" si="130"/>
        <v>-66</v>
      </c>
      <c r="Y101" s="1">
        <f t="shared" si="131"/>
        <v>-60</v>
      </c>
      <c r="Z101" s="1">
        <f t="shared" si="132"/>
        <v>-60</v>
      </c>
      <c r="AA101" s="1">
        <f t="shared" si="133"/>
        <v>-56</v>
      </c>
      <c r="AB101" s="1">
        <f t="shared" si="134"/>
        <v>-55</v>
      </c>
      <c r="AC101" s="4">
        <f t="shared" si="135"/>
        <v>-58</v>
      </c>
      <c r="AE101" s="3">
        <f t="shared" si="136"/>
        <v>-51</v>
      </c>
      <c r="AF101" s="1">
        <f t="shared" si="137"/>
        <v>-51</v>
      </c>
      <c r="AG101" s="1">
        <f t="shared" si="138"/>
        <v>-48</v>
      </c>
      <c r="AH101" s="1">
        <f t="shared" si="139"/>
        <v>-53</v>
      </c>
      <c r="AI101" s="1">
        <f t="shared" si="140"/>
        <v>-50</v>
      </c>
      <c r="AJ101" s="1">
        <f t="shared" si="141"/>
        <v>-50</v>
      </c>
      <c r="AK101" s="1">
        <f t="shared" si="142"/>
        <v>-50</v>
      </c>
      <c r="AL101" s="4">
        <f t="shared" si="143"/>
        <v>-51</v>
      </c>
      <c r="AN101" s="3">
        <f t="shared" si="144"/>
        <v>-57</v>
      </c>
      <c r="AO101" s="1">
        <f t="shared" si="145"/>
        <v>-57</v>
      </c>
      <c r="AP101" s="1">
        <f t="shared" si="146"/>
        <v>-57</v>
      </c>
      <c r="AQ101" s="1">
        <f t="shared" si="147"/>
        <v>-56</v>
      </c>
      <c r="AR101" s="1">
        <f t="shared" si="148"/>
        <v>-54</v>
      </c>
      <c r="AS101" s="1">
        <f t="shared" si="149"/>
        <v>-52</v>
      </c>
      <c r="AT101" s="1">
        <f t="shared" si="150"/>
        <v>-53</v>
      </c>
      <c r="AU101" s="4">
        <f t="shared" si="151"/>
        <v>-54</v>
      </c>
      <c r="AW101" s="3">
        <f t="shared" si="152"/>
        <v>-62</v>
      </c>
      <c r="AX101" s="1">
        <f t="shared" si="153"/>
        <v>-62</v>
      </c>
      <c r="AY101" s="1">
        <f t="shared" si="154"/>
        <v>-62</v>
      </c>
      <c r="AZ101" s="1">
        <f t="shared" si="155"/>
        <v>-62</v>
      </c>
      <c r="BA101" s="1">
        <f t="shared" si="156"/>
        <v>-58</v>
      </c>
      <c r="BB101" s="1">
        <f t="shared" si="157"/>
        <v>-57</v>
      </c>
      <c r="BC101" s="1">
        <f t="shared" si="158"/>
        <v>-56</v>
      </c>
      <c r="BD101" s="4">
        <f t="shared" si="159"/>
        <v>-57</v>
      </c>
      <c r="BF101" s="3">
        <v>-7</v>
      </c>
      <c r="BG101" s="1">
        <v>-7</v>
      </c>
      <c r="BH101" s="1">
        <v>-9</v>
      </c>
      <c r="BI101" s="1">
        <v>-4</v>
      </c>
      <c r="BJ101" s="1">
        <v>-6</v>
      </c>
      <c r="BK101" s="1">
        <v>-5</v>
      </c>
      <c r="BL101" s="1">
        <v>-4</v>
      </c>
      <c r="BM101" s="4">
        <v>-6</v>
      </c>
      <c r="BO101" s="3">
        <v>-13</v>
      </c>
      <c r="BP101" s="1">
        <v>-13</v>
      </c>
      <c r="BQ101" s="1">
        <v>-16</v>
      </c>
      <c r="BR101" s="1">
        <v>-9</v>
      </c>
      <c r="BS101" s="1">
        <v>-11</v>
      </c>
      <c r="BT101" s="1">
        <v>-8</v>
      </c>
      <c r="BU101" s="1">
        <v>-8</v>
      </c>
      <c r="BV101" s="4">
        <v>-10</v>
      </c>
      <c r="BX101" s="3">
        <v>-8</v>
      </c>
      <c r="BY101" s="1">
        <v>-8</v>
      </c>
      <c r="BZ101" s="1">
        <v>-7</v>
      </c>
      <c r="CA101" s="1">
        <v>-6</v>
      </c>
      <c r="CB101" s="1">
        <v>-7</v>
      </c>
      <c r="CC101" s="1">
        <v>-7</v>
      </c>
      <c r="CD101" s="1">
        <v>-7</v>
      </c>
      <c r="CE101" s="4">
        <v>-9</v>
      </c>
      <c r="CG101" s="3">
        <v>-6</v>
      </c>
      <c r="CH101" s="1">
        <v>-6</v>
      </c>
      <c r="CI101" s="1">
        <v>-9</v>
      </c>
      <c r="CJ101" s="1">
        <v>-3</v>
      </c>
      <c r="CK101" s="1">
        <v>-4</v>
      </c>
      <c r="CL101" s="1">
        <v>-2</v>
      </c>
      <c r="CM101" s="1">
        <v>-3</v>
      </c>
      <c r="CN101" s="4">
        <v>-3</v>
      </c>
      <c r="CP101" s="3">
        <v>-11</v>
      </c>
      <c r="CQ101" s="1">
        <v>-11</v>
      </c>
      <c r="CR101" s="1">
        <v>-14</v>
      </c>
      <c r="CS101" s="1">
        <v>-9</v>
      </c>
      <c r="CT101" s="1">
        <v>-8</v>
      </c>
      <c r="CU101" s="1">
        <v>-7</v>
      </c>
      <c r="CV101" s="1">
        <v>-6</v>
      </c>
      <c r="CW101" s="4">
        <v>-6</v>
      </c>
    </row>
    <row r="102" spans="1:101">
      <c r="A102" s="8" t="str">
        <f>VLOOKUP(B102,List!W:X,2,1)</f>
        <v>0.60 - 0.69</v>
      </c>
      <c r="B102" s="8">
        <v>0.6</v>
      </c>
      <c r="C102" s="8" t="s">
        <v>11</v>
      </c>
      <c r="D102" s="3">
        <v>-49</v>
      </c>
      <c r="E102" s="1">
        <v>-49</v>
      </c>
      <c r="F102" s="1">
        <v>-47</v>
      </c>
      <c r="G102" s="1">
        <v>-48</v>
      </c>
      <c r="H102" s="1">
        <v>-46</v>
      </c>
      <c r="I102" s="1">
        <v>-46</v>
      </c>
      <c r="J102" s="1">
        <v>-44</v>
      </c>
      <c r="K102" s="4">
        <v>-41</v>
      </c>
      <c r="M102" s="3">
        <f t="shared" si="120"/>
        <v>-57</v>
      </c>
      <c r="N102" s="1">
        <f t="shared" si="121"/>
        <v>-57</v>
      </c>
      <c r="O102" s="1">
        <f t="shared" si="122"/>
        <v>-53</v>
      </c>
      <c r="P102" s="1">
        <f t="shared" si="123"/>
        <v>-52</v>
      </c>
      <c r="Q102" s="1">
        <f t="shared" si="124"/>
        <v>-51</v>
      </c>
      <c r="R102" s="1">
        <f t="shared" si="125"/>
        <v>-50</v>
      </c>
      <c r="S102" s="1">
        <f t="shared" si="126"/>
        <v>-47</v>
      </c>
      <c r="T102" s="4">
        <f t="shared" si="127"/>
        <v>-46</v>
      </c>
      <c r="V102" s="3">
        <f t="shared" si="128"/>
        <v>-69</v>
      </c>
      <c r="W102" s="1">
        <f t="shared" si="129"/>
        <v>-69</v>
      </c>
      <c r="X102" s="1">
        <f t="shared" si="130"/>
        <v>-63</v>
      </c>
      <c r="Y102" s="1">
        <f t="shared" si="131"/>
        <v>-60</v>
      </c>
      <c r="Z102" s="1">
        <f t="shared" si="132"/>
        <v>-59</v>
      </c>
      <c r="AA102" s="1">
        <f t="shared" si="133"/>
        <v>-56</v>
      </c>
      <c r="AB102" s="1">
        <f t="shared" si="134"/>
        <v>-54</v>
      </c>
      <c r="AC102" s="4">
        <f t="shared" si="135"/>
        <v>-55</v>
      </c>
      <c r="AE102" s="3">
        <f t="shared" si="136"/>
        <v>-56</v>
      </c>
      <c r="AF102" s="1">
        <f t="shared" si="137"/>
        <v>-56</v>
      </c>
      <c r="AG102" s="1">
        <f t="shared" si="138"/>
        <v>-55</v>
      </c>
      <c r="AH102" s="1">
        <f t="shared" si="139"/>
        <v>-54</v>
      </c>
      <c r="AI102" s="1">
        <f t="shared" si="140"/>
        <v>-53</v>
      </c>
      <c r="AJ102" s="1">
        <f t="shared" si="141"/>
        <v>-53</v>
      </c>
      <c r="AK102" s="1">
        <f t="shared" si="142"/>
        <v>-52</v>
      </c>
      <c r="AL102" s="4">
        <f t="shared" si="143"/>
        <v>-52</v>
      </c>
      <c r="AN102" s="3">
        <f t="shared" si="144"/>
        <v>-64</v>
      </c>
      <c r="AO102" s="1">
        <f t="shared" si="145"/>
        <v>-64</v>
      </c>
      <c r="AP102" s="1">
        <f t="shared" si="146"/>
        <v>-60</v>
      </c>
      <c r="AQ102" s="1">
        <f t="shared" si="147"/>
        <v>-57</v>
      </c>
      <c r="AR102" s="1">
        <f t="shared" si="148"/>
        <v>-56</v>
      </c>
      <c r="AS102" s="1">
        <f t="shared" si="149"/>
        <v>-56</v>
      </c>
      <c r="AT102" s="1">
        <f t="shared" si="150"/>
        <v>-54</v>
      </c>
      <c r="AU102" s="4">
        <f t="shared" si="151"/>
        <v>-55</v>
      </c>
      <c r="AW102" s="3">
        <f t="shared" si="152"/>
        <v>-66</v>
      </c>
      <c r="AX102" s="1">
        <f t="shared" si="153"/>
        <v>-66</v>
      </c>
      <c r="AY102" s="1">
        <f t="shared" si="154"/>
        <v>-63</v>
      </c>
      <c r="AZ102" s="1">
        <f t="shared" si="155"/>
        <v>-61</v>
      </c>
      <c r="BA102" s="1">
        <f t="shared" si="156"/>
        <v>-59</v>
      </c>
      <c r="BB102" s="1">
        <f t="shared" si="157"/>
        <v>-58</v>
      </c>
      <c r="BC102" s="1">
        <f t="shared" si="158"/>
        <v>-56</v>
      </c>
      <c r="BD102" s="4">
        <f t="shared" si="159"/>
        <v>-57</v>
      </c>
      <c r="BF102" s="3">
        <v>-8</v>
      </c>
      <c r="BG102" s="1">
        <v>-8</v>
      </c>
      <c r="BH102" s="1">
        <v>-6</v>
      </c>
      <c r="BI102" s="1">
        <v>-4</v>
      </c>
      <c r="BJ102" s="1">
        <v>-5</v>
      </c>
      <c r="BK102" s="1">
        <v>-4</v>
      </c>
      <c r="BL102" s="1">
        <v>-3</v>
      </c>
      <c r="BM102" s="4">
        <v>-5</v>
      </c>
      <c r="BO102" s="3">
        <v>-12</v>
      </c>
      <c r="BP102" s="1">
        <v>-12</v>
      </c>
      <c r="BQ102" s="1">
        <v>-10</v>
      </c>
      <c r="BR102" s="1">
        <v>-8</v>
      </c>
      <c r="BS102" s="1">
        <v>-8</v>
      </c>
      <c r="BT102" s="1">
        <v>-6</v>
      </c>
      <c r="BU102" s="1">
        <v>-7</v>
      </c>
      <c r="BV102" s="4">
        <v>-9</v>
      </c>
      <c r="BX102" s="3">
        <v>-7</v>
      </c>
      <c r="BY102" s="1">
        <v>-7</v>
      </c>
      <c r="BZ102" s="1">
        <v>-8</v>
      </c>
      <c r="CA102" s="1">
        <v>-6</v>
      </c>
      <c r="CB102" s="1">
        <v>-7</v>
      </c>
      <c r="CC102" s="1">
        <v>-7</v>
      </c>
      <c r="CD102" s="1">
        <v>-8</v>
      </c>
      <c r="CE102" s="4">
        <v>-11</v>
      </c>
      <c r="CG102" s="3">
        <v>-8</v>
      </c>
      <c r="CH102" s="1">
        <v>-8</v>
      </c>
      <c r="CI102" s="1">
        <v>-5</v>
      </c>
      <c r="CJ102" s="1">
        <v>-3</v>
      </c>
      <c r="CK102" s="1">
        <v>-3</v>
      </c>
      <c r="CL102" s="1">
        <v>-3</v>
      </c>
      <c r="CM102" s="1">
        <v>-2</v>
      </c>
      <c r="CN102" s="4">
        <v>-3</v>
      </c>
      <c r="CP102" s="3">
        <v>-10</v>
      </c>
      <c r="CQ102" s="1">
        <v>-10</v>
      </c>
      <c r="CR102" s="1">
        <v>-8</v>
      </c>
      <c r="CS102" s="1">
        <v>-7</v>
      </c>
      <c r="CT102" s="1">
        <v>-6</v>
      </c>
      <c r="CU102" s="1">
        <v>-5</v>
      </c>
      <c r="CV102" s="1">
        <v>-4</v>
      </c>
      <c r="CW102" s="4">
        <v>-5</v>
      </c>
    </row>
    <row r="103" spans="1:101">
      <c r="A103" s="8" t="str">
        <f>VLOOKUP(B103,List!W:X,2,1)</f>
        <v>0.60 - 0.69</v>
      </c>
      <c r="B103" s="8">
        <v>0.6</v>
      </c>
      <c r="C103" s="8" t="s">
        <v>12</v>
      </c>
      <c r="D103" s="3">
        <v>-50</v>
      </c>
      <c r="E103" s="1">
        <v>-50</v>
      </c>
      <c r="F103" s="1">
        <v>-49</v>
      </c>
      <c r="G103" s="1">
        <v>-49</v>
      </c>
      <c r="H103" s="1">
        <v>-48</v>
      </c>
      <c r="I103" s="1">
        <v>-46</v>
      </c>
      <c r="J103" s="1">
        <v>-47</v>
      </c>
      <c r="K103" s="4">
        <v>-44</v>
      </c>
      <c r="M103" s="3">
        <f t="shared" si="120"/>
        <v>-55</v>
      </c>
      <c r="N103" s="1">
        <f t="shared" si="121"/>
        <v>-55</v>
      </c>
      <c r="O103" s="1">
        <f t="shared" si="122"/>
        <v>-54</v>
      </c>
      <c r="P103" s="1">
        <f t="shared" si="123"/>
        <v>-54</v>
      </c>
      <c r="Q103" s="1">
        <f t="shared" si="124"/>
        <v>-50</v>
      </c>
      <c r="R103" s="1">
        <f t="shared" si="125"/>
        <v>-49</v>
      </c>
      <c r="S103" s="1">
        <f t="shared" si="126"/>
        <v>-49</v>
      </c>
      <c r="T103" s="4">
        <f t="shared" si="127"/>
        <v>-49</v>
      </c>
      <c r="V103" s="3">
        <f t="shared" si="128"/>
        <v>-63</v>
      </c>
      <c r="W103" s="1">
        <f t="shared" si="129"/>
        <v>-63</v>
      </c>
      <c r="X103" s="1">
        <f t="shared" si="130"/>
        <v>-63</v>
      </c>
      <c r="Y103" s="1">
        <f t="shared" si="131"/>
        <v>-62</v>
      </c>
      <c r="Z103" s="1">
        <f t="shared" si="132"/>
        <v>-55</v>
      </c>
      <c r="AA103" s="1">
        <f t="shared" si="133"/>
        <v>-55</v>
      </c>
      <c r="AB103" s="1">
        <f t="shared" si="134"/>
        <v>-54</v>
      </c>
      <c r="AC103" s="4">
        <f t="shared" si="135"/>
        <v>-57</v>
      </c>
      <c r="AE103" s="3">
        <f t="shared" si="136"/>
        <v>-57</v>
      </c>
      <c r="AF103" s="1">
        <f t="shared" si="137"/>
        <v>-57</v>
      </c>
      <c r="AG103" s="1">
        <f t="shared" si="138"/>
        <v>-57</v>
      </c>
      <c r="AH103" s="1">
        <f t="shared" si="139"/>
        <v>-57</v>
      </c>
      <c r="AI103" s="1">
        <f t="shared" si="140"/>
        <v>-54</v>
      </c>
      <c r="AJ103" s="1">
        <f t="shared" si="141"/>
        <v>-52</v>
      </c>
      <c r="AK103" s="1">
        <f t="shared" si="142"/>
        <v>-54</v>
      </c>
      <c r="AL103" s="4">
        <f t="shared" si="143"/>
        <v>-52</v>
      </c>
      <c r="AN103" s="3">
        <f t="shared" si="144"/>
        <v>-61</v>
      </c>
      <c r="AO103" s="1">
        <f t="shared" si="145"/>
        <v>-61</v>
      </c>
      <c r="AP103" s="1">
        <f t="shared" si="146"/>
        <v>-60</v>
      </c>
      <c r="AQ103" s="1">
        <f t="shared" si="147"/>
        <v>-59</v>
      </c>
      <c r="AR103" s="1">
        <f t="shared" si="148"/>
        <v>-57</v>
      </c>
      <c r="AS103" s="1">
        <f t="shared" si="149"/>
        <v>-55</v>
      </c>
      <c r="AT103" s="1">
        <f t="shared" si="150"/>
        <v>-56</v>
      </c>
      <c r="AU103" s="4">
        <f t="shared" si="151"/>
        <v>-55</v>
      </c>
      <c r="AW103" s="3">
        <f t="shared" si="152"/>
        <v>-63</v>
      </c>
      <c r="AX103" s="1">
        <f t="shared" si="153"/>
        <v>-63</v>
      </c>
      <c r="AY103" s="1">
        <f t="shared" si="154"/>
        <v>-63</v>
      </c>
      <c r="AZ103" s="1">
        <f t="shared" si="155"/>
        <v>-63</v>
      </c>
      <c r="BA103" s="1">
        <f t="shared" si="156"/>
        <v>-60</v>
      </c>
      <c r="BB103" s="1">
        <f t="shared" si="157"/>
        <v>-58</v>
      </c>
      <c r="BC103" s="1">
        <f t="shared" si="158"/>
        <v>-58</v>
      </c>
      <c r="BD103" s="4">
        <f t="shared" si="159"/>
        <v>-57</v>
      </c>
      <c r="BF103" s="3">
        <v>-5</v>
      </c>
      <c r="BG103" s="1">
        <v>-5</v>
      </c>
      <c r="BH103" s="1">
        <v>-5</v>
      </c>
      <c r="BI103" s="1">
        <v>-5</v>
      </c>
      <c r="BJ103" s="1">
        <v>-2</v>
      </c>
      <c r="BK103" s="1">
        <v>-3</v>
      </c>
      <c r="BL103" s="1">
        <v>-2</v>
      </c>
      <c r="BM103" s="4">
        <v>-5</v>
      </c>
      <c r="BO103" s="3">
        <v>-8</v>
      </c>
      <c r="BP103" s="1">
        <v>-8</v>
      </c>
      <c r="BQ103" s="1">
        <v>-9</v>
      </c>
      <c r="BR103" s="1">
        <v>-8</v>
      </c>
      <c r="BS103" s="1">
        <v>-5</v>
      </c>
      <c r="BT103" s="1">
        <v>-6</v>
      </c>
      <c r="BU103" s="1">
        <v>-5</v>
      </c>
      <c r="BV103" s="4">
        <v>-8</v>
      </c>
      <c r="BX103" s="3">
        <v>-7</v>
      </c>
      <c r="BY103" s="1">
        <v>-7</v>
      </c>
      <c r="BZ103" s="1">
        <v>-8</v>
      </c>
      <c r="CA103" s="1">
        <v>-8</v>
      </c>
      <c r="CB103" s="1">
        <v>-6</v>
      </c>
      <c r="CC103" s="1">
        <v>-6</v>
      </c>
      <c r="CD103" s="1">
        <v>-7</v>
      </c>
      <c r="CE103" s="4">
        <v>-8</v>
      </c>
      <c r="CG103" s="3">
        <v>-4</v>
      </c>
      <c r="CH103" s="1">
        <v>-4</v>
      </c>
      <c r="CI103" s="1">
        <v>-3</v>
      </c>
      <c r="CJ103" s="1">
        <v>-2</v>
      </c>
      <c r="CK103" s="1">
        <v>-3</v>
      </c>
      <c r="CL103" s="1">
        <v>-3</v>
      </c>
      <c r="CM103" s="1">
        <v>-2</v>
      </c>
      <c r="CN103" s="4">
        <v>-3</v>
      </c>
      <c r="CP103" s="3">
        <v>-6</v>
      </c>
      <c r="CQ103" s="1">
        <v>-6</v>
      </c>
      <c r="CR103" s="1">
        <v>-6</v>
      </c>
      <c r="CS103" s="1">
        <v>-6</v>
      </c>
      <c r="CT103" s="1">
        <v>-6</v>
      </c>
      <c r="CU103" s="1">
        <v>-6</v>
      </c>
      <c r="CV103" s="1">
        <v>-4</v>
      </c>
      <c r="CW103" s="4">
        <v>-5</v>
      </c>
    </row>
    <row r="104" spans="1:101">
      <c r="A104" s="8" t="str">
        <f>VLOOKUP(B104,List!W:X,2,1)</f>
        <v>0.60 - 0.69</v>
      </c>
      <c r="B104" s="8">
        <v>0.6</v>
      </c>
      <c r="C104" s="8" t="s">
        <v>13</v>
      </c>
      <c r="D104" s="3">
        <v>-47</v>
      </c>
      <c r="E104" s="1">
        <v>-47</v>
      </c>
      <c r="F104" s="1">
        <v>-46</v>
      </c>
      <c r="G104" s="1">
        <v>-41</v>
      </c>
      <c r="H104" s="1">
        <v>-44</v>
      </c>
      <c r="I104" s="1">
        <v>-44</v>
      </c>
      <c r="J104" s="1">
        <v>-46</v>
      </c>
      <c r="K104" s="4">
        <v>-44</v>
      </c>
      <c r="M104" s="3">
        <f t="shared" si="120"/>
        <v>-50</v>
      </c>
      <c r="N104" s="1">
        <f t="shared" si="121"/>
        <v>-50</v>
      </c>
      <c r="O104" s="1">
        <f t="shared" si="122"/>
        <v>-50</v>
      </c>
      <c r="P104" s="1">
        <f t="shared" si="123"/>
        <v>-47</v>
      </c>
      <c r="Q104" s="1">
        <f t="shared" si="124"/>
        <v>-49</v>
      </c>
      <c r="R104" s="1">
        <f t="shared" si="125"/>
        <v>-48</v>
      </c>
      <c r="S104" s="1">
        <f t="shared" si="126"/>
        <v>-49</v>
      </c>
      <c r="T104" s="4">
        <f t="shared" si="127"/>
        <v>-48</v>
      </c>
      <c r="V104" s="3">
        <f t="shared" si="128"/>
        <v>-56</v>
      </c>
      <c r="W104" s="1">
        <f t="shared" si="129"/>
        <v>-56</v>
      </c>
      <c r="X104" s="1">
        <f t="shared" si="130"/>
        <v>-58</v>
      </c>
      <c r="Y104" s="1">
        <f t="shared" si="131"/>
        <v>-56</v>
      </c>
      <c r="Z104" s="1">
        <f t="shared" si="132"/>
        <v>-57</v>
      </c>
      <c r="AA104" s="1">
        <f t="shared" si="133"/>
        <v>-56</v>
      </c>
      <c r="AB104" s="1">
        <f t="shared" si="134"/>
        <v>-55</v>
      </c>
      <c r="AC104" s="4">
        <f t="shared" si="135"/>
        <v>-56</v>
      </c>
      <c r="AE104" s="3">
        <f t="shared" si="136"/>
        <v>-54</v>
      </c>
      <c r="AF104" s="1">
        <f t="shared" si="137"/>
        <v>-54</v>
      </c>
      <c r="AG104" s="1">
        <f t="shared" si="138"/>
        <v>-53</v>
      </c>
      <c r="AH104" s="1">
        <f t="shared" si="139"/>
        <v>-52</v>
      </c>
      <c r="AI104" s="1">
        <f t="shared" si="140"/>
        <v>-53</v>
      </c>
      <c r="AJ104" s="1">
        <f t="shared" si="141"/>
        <v>-53</v>
      </c>
      <c r="AK104" s="1">
        <f t="shared" si="142"/>
        <v>-53</v>
      </c>
      <c r="AL104" s="4">
        <f t="shared" si="143"/>
        <v>-53</v>
      </c>
      <c r="AN104" s="3">
        <f t="shared" si="144"/>
        <v>-58</v>
      </c>
      <c r="AO104" s="1">
        <f t="shared" si="145"/>
        <v>-58</v>
      </c>
      <c r="AP104" s="1">
        <f t="shared" si="146"/>
        <v>-57</v>
      </c>
      <c r="AQ104" s="1">
        <f t="shared" si="147"/>
        <v>-56</v>
      </c>
      <c r="AR104" s="1">
        <f t="shared" si="148"/>
        <v>-55</v>
      </c>
      <c r="AS104" s="1">
        <f t="shared" si="149"/>
        <v>-55</v>
      </c>
      <c r="AT104" s="1">
        <f t="shared" si="150"/>
        <v>-56</v>
      </c>
      <c r="AU104" s="4">
        <f t="shared" si="151"/>
        <v>-55</v>
      </c>
      <c r="AW104" s="3">
        <f t="shared" si="152"/>
        <v>-60</v>
      </c>
      <c r="AX104" s="1">
        <f t="shared" si="153"/>
        <v>-60</v>
      </c>
      <c r="AY104" s="1">
        <f t="shared" si="154"/>
        <v>-60</v>
      </c>
      <c r="AZ104" s="1">
        <f t="shared" si="155"/>
        <v>-59</v>
      </c>
      <c r="BA104" s="1">
        <f t="shared" si="156"/>
        <v>-58</v>
      </c>
      <c r="BB104" s="1">
        <f t="shared" si="157"/>
        <v>-57</v>
      </c>
      <c r="BC104" s="1">
        <f t="shared" si="158"/>
        <v>-58</v>
      </c>
      <c r="BD104" s="4">
        <f t="shared" si="159"/>
        <v>-58</v>
      </c>
      <c r="BF104" s="3">
        <v>-3</v>
      </c>
      <c r="BG104" s="1">
        <v>-3</v>
      </c>
      <c r="BH104" s="1">
        <v>-4</v>
      </c>
      <c r="BI104" s="1">
        <v>-6</v>
      </c>
      <c r="BJ104" s="1">
        <v>-5</v>
      </c>
      <c r="BK104" s="1">
        <v>-4</v>
      </c>
      <c r="BL104" s="1">
        <v>-3</v>
      </c>
      <c r="BM104" s="4">
        <v>-4</v>
      </c>
      <c r="BO104" s="3">
        <v>-6</v>
      </c>
      <c r="BP104" s="1">
        <v>-6</v>
      </c>
      <c r="BQ104" s="1">
        <v>-8</v>
      </c>
      <c r="BR104" s="1">
        <v>-9</v>
      </c>
      <c r="BS104" s="1">
        <v>-8</v>
      </c>
      <c r="BT104" s="1">
        <v>-8</v>
      </c>
      <c r="BU104" s="1">
        <v>-6</v>
      </c>
      <c r="BV104" s="4">
        <v>-8</v>
      </c>
      <c r="BX104" s="3">
        <v>-7</v>
      </c>
      <c r="BY104" s="1">
        <v>-7</v>
      </c>
      <c r="BZ104" s="1">
        <v>-7</v>
      </c>
      <c r="CA104" s="1">
        <v>-11</v>
      </c>
      <c r="CB104" s="1">
        <v>-9</v>
      </c>
      <c r="CC104" s="1">
        <v>-9</v>
      </c>
      <c r="CD104" s="1">
        <v>-7</v>
      </c>
      <c r="CE104" s="4">
        <v>-9</v>
      </c>
      <c r="CG104" s="3">
        <v>-4</v>
      </c>
      <c r="CH104" s="1">
        <v>-4</v>
      </c>
      <c r="CI104" s="1">
        <v>-4</v>
      </c>
      <c r="CJ104" s="1">
        <v>-4</v>
      </c>
      <c r="CK104" s="1">
        <v>-2</v>
      </c>
      <c r="CL104" s="1">
        <v>-2</v>
      </c>
      <c r="CM104" s="1">
        <v>-3</v>
      </c>
      <c r="CN104" s="4">
        <v>-2</v>
      </c>
      <c r="CP104" s="3">
        <v>-6</v>
      </c>
      <c r="CQ104" s="1">
        <v>-6</v>
      </c>
      <c r="CR104" s="1">
        <v>-7</v>
      </c>
      <c r="CS104" s="1">
        <v>-7</v>
      </c>
      <c r="CT104" s="1">
        <v>-5</v>
      </c>
      <c r="CU104" s="1">
        <v>-4</v>
      </c>
      <c r="CV104" s="1">
        <v>-5</v>
      </c>
      <c r="CW104" s="4">
        <v>-5</v>
      </c>
    </row>
    <row r="105" spans="1:101">
      <c r="A105" s="8" t="str">
        <f>VLOOKUP(B105,List!W:X,2,1)</f>
        <v>0.60 - 0.69</v>
      </c>
      <c r="B105" s="8">
        <v>0.6</v>
      </c>
      <c r="C105" s="8" t="s">
        <v>14</v>
      </c>
      <c r="D105" s="3">
        <v>-47</v>
      </c>
      <c r="E105" s="1">
        <v>-47</v>
      </c>
      <c r="F105" s="1">
        <v>-47</v>
      </c>
      <c r="G105" s="1">
        <v>-46</v>
      </c>
      <c r="H105" s="1">
        <v>-44</v>
      </c>
      <c r="I105" s="1">
        <v>-44</v>
      </c>
      <c r="J105" s="1">
        <v>-47</v>
      </c>
      <c r="K105" s="4">
        <v>-47</v>
      </c>
      <c r="M105" s="3">
        <f t="shared" si="120"/>
        <v>-52</v>
      </c>
      <c r="N105" s="1">
        <f t="shared" si="121"/>
        <v>-52</v>
      </c>
      <c r="O105" s="1">
        <f t="shared" si="122"/>
        <v>-50</v>
      </c>
      <c r="P105" s="1">
        <f t="shared" si="123"/>
        <v>-50</v>
      </c>
      <c r="Q105" s="1">
        <f t="shared" si="124"/>
        <v>-50</v>
      </c>
      <c r="R105" s="1">
        <f t="shared" si="125"/>
        <v>-49</v>
      </c>
      <c r="S105" s="1">
        <f t="shared" si="126"/>
        <v>-51</v>
      </c>
      <c r="T105" s="4">
        <f t="shared" si="127"/>
        <v>-51</v>
      </c>
      <c r="V105" s="3">
        <f t="shared" si="128"/>
        <v>-60</v>
      </c>
      <c r="W105" s="1">
        <f t="shared" si="129"/>
        <v>-60</v>
      </c>
      <c r="X105" s="1">
        <f t="shared" si="130"/>
        <v>-56</v>
      </c>
      <c r="Y105" s="1">
        <f t="shared" si="131"/>
        <v>-57</v>
      </c>
      <c r="Z105" s="1">
        <f t="shared" si="132"/>
        <v>-58</v>
      </c>
      <c r="AA105" s="1">
        <f t="shared" si="133"/>
        <v>-57</v>
      </c>
      <c r="AB105" s="1">
        <f t="shared" si="134"/>
        <v>-58</v>
      </c>
      <c r="AC105" s="4">
        <f t="shared" si="135"/>
        <v>-57</v>
      </c>
      <c r="AE105" s="3">
        <f t="shared" si="136"/>
        <v>-55</v>
      </c>
      <c r="AF105" s="1">
        <f t="shared" si="137"/>
        <v>-55</v>
      </c>
      <c r="AG105" s="1">
        <f t="shared" si="138"/>
        <v>-55</v>
      </c>
      <c r="AH105" s="1">
        <f t="shared" si="139"/>
        <v>-54</v>
      </c>
      <c r="AI105" s="1">
        <f t="shared" si="140"/>
        <v>-53</v>
      </c>
      <c r="AJ105" s="1">
        <f t="shared" si="141"/>
        <v>-52</v>
      </c>
      <c r="AK105" s="1">
        <f t="shared" si="142"/>
        <v>-55</v>
      </c>
      <c r="AL105" s="4">
        <f t="shared" si="143"/>
        <v>-55</v>
      </c>
      <c r="AN105" s="3">
        <f t="shared" si="144"/>
        <v>-58</v>
      </c>
      <c r="AO105" s="1">
        <f t="shared" si="145"/>
        <v>-58</v>
      </c>
      <c r="AP105" s="1">
        <f t="shared" si="146"/>
        <v>-57</v>
      </c>
      <c r="AQ105" s="1">
        <f t="shared" si="147"/>
        <v>-57</v>
      </c>
      <c r="AR105" s="1">
        <f t="shared" si="148"/>
        <v>-56</v>
      </c>
      <c r="AS105" s="1">
        <f t="shared" si="149"/>
        <v>-55</v>
      </c>
      <c r="AT105" s="1">
        <f t="shared" si="150"/>
        <v>-57</v>
      </c>
      <c r="AU105" s="4">
        <f t="shared" si="151"/>
        <v>-57</v>
      </c>
      <c r="AW105" s="3">
        <f t="shared" si="152"/>
        <v>-61</v>
      </c>
      <c r="AX105" s="1">
        <f t="shared" si="153"/>
        <v>-61</v>
      </c>
      <c r="AY105" s="1">
        <f t="shared" si="154"/>
        <v>-60</v>
      </c>
      <c r="AZ105" s="1">
        <f t="shared" si="155"/>
        <v>-59</v>
      </c>
      <c r="BA105" s="1">
        <f t="shared" si="156"/>
        <v>-58</v>
      </c>
      <c r="BB105" s="1">
        <f t="shared" si="157"/>
        <v>-57</v>
      </c>
      <c r="BC105" s="1">
        <f t="shared" si="158"/>
        <v>-59</v>
      </c>
      <c r="BD105" s="4">
        <f t="shared" si="159"/>
        <v>-59</v>
      </c>
      <c r="BF105" s="3">
        <v>-5</v>
      </c>
      <c r="BG105" s="1">
        <v>-5</v>
      </c>
      <c r="BH105" s="1">
        <v>-3</v>
      </c>
      <c r="BI105" s="1">
        <v>-4</v>
      </c>
      <c r="BJ105" s="1">
        <v>-6</v>
      </c>
      <c r="BK105" s="1">
        <v>-5</v>
      </c>
      <c r="BL105" s="1">
        <v>-4</v>
      </c>
      <c r="BM105" s="4">
        <v>-4</v>
      </c>
      <c r="BO105" s="3">
        <v>-8</v>
      </c>
      <c r="BP105" s="1">
        <v>-8</v>
      </c>
      <c r="BQ105" s="1">
        <v>-6</v>
      </c>
      <c r="BR105" s="1">
        <v>-7</v>
      </c>
      <c r="BS105" s="1">
        <v>-8</v>
      </c>
      <c r="BT105" s="1">
        <v>-8</v>
      </c>
      <c r="BU105" s="1">
        <v>-7</v>
      </c>
      <c r="BV105" s="4">
        <v>-6</v>
      </c>
      <c r="BX105" s="3">
        <v>-8</v>
      </c>
      <c r="BY105" s="1">
        <v>-8</v>
      </c>
      <c r="BZ105" s="1">
        <v>-8</v>
      </c>
      <c r="CA105" s="1">
        <v>-8</v>
      </c>
      <c r="CB105" s="1">
        <v>-9</v>
      </c>
      <c r="CC105" s="1">
        <v>-8</v>
      </c>
      <c r="CD105" s="1">
        <v>-8</v>
      </c>
      <c r="CE105" s="4">
        <v>-8</v>
      </c>
      <c r="CG105" s="3">
        <v>-3</v>
      </c>
      <c r="CH105" s="1">
        <v>-3</v>
      </c>
      <c r="CI105" s="1">
        <v>-2</v>
      </c>
      <c r="CJ105" s="1">
        <v>-3</v>
      </c>
      <c r="CK105" s="1">
        <v>-3</v>
      </c>
      <c r="CL105" s="1">
        <v>-3</v>
      </c>
      <c r="CM105" s="1">
        <v>-2</v>
      </c>
      <c r="CN105" s="4">
        <v>-2</v>
      </c>
      <c r="CP105" s="3">
        <v>-6</v>
      </c>
      <c r="CQ105" s="1">
        <v>-6</v>
      </c>
      <c r="CR105" s="1">
        <v>-5</v>
      </c>
      <c r="CS105" s="1">
        <v>-5</v>
      </c>
      <c r="CT105" s="1">
        <v>-5</v>
      </c>
      <c r="CU105" s="1">
        <v>-5</v>
      </c>
      <c r="CV105" s="1">
        <v>-4</v>
      </c>
      <c r="CW105" s="4">
        <v>-4</v>
      </c>
    </row>
    <row r="106" spans="1:101">
      <c r="A106" s="8" t="str">
        <f>VLOOKUP(B106,List!W:X,2,1)</f>
        <v>0.60 - 0.69</v>
      </c>
      <c r="B106" s="8">
        <v>0.6</v>
      </c>
      <c r="C106" s="8" t="s">
        <v>15</v>
      </c>
      <c r="D106" s="3">
        <v>-59</v>
      </c>
      <c r="E106" s="1">
        <v>-59</v>
      </c>
      <c r="F106" s="1">
        <v>-57</v>
      </c>
      <c r="G106" s="1">
        <v>-54</v>
      </c>
      <c r="H106" s="1">
        <v>-52</v>
      </c>
      <c r="I106" s="1">
        <v>-49</v>
      </c>
      <c r="J106" s="1">
        <v>-50</v>
      </c>
      <c r="K106" s="4">
        <v>-51</v>
      </c>
      <c r="M106" s="3">
        <f t="shared" si="120"/>
        <v>-62</v>
      </c>
      <c r="N106" s="1">
        <f t="shared" si="121"/>
        <v>-62</v>
      </c>
      <c r="O106" s="1">
        <f t="shared" si="122"/>
        <v>-60</v>
      </c>
      <c r="P106" s="1">
        <f t="shared" si="123"/>
        <v>-57</v>
      </c>
      <c r="Q106" s="1">
        <f t="shared" si="124"/>
        <v>-57</v>
      </c>
      <c r="R106" s="1">
        <f t="shared" si="125"/>
        <v>-52</v>
      </c>
      <c r="S106" s="1">
        <f t="shared" si="126"/>
        <v>-53</v>
      </c>
      <c r="T106" s="4">
        <f t="shared" si="127"/>
        <v>-53</v>
      </c>
      <c r="V106" s="3">
        <f t="shared" si="128"/>
        <v>-68</v>
      </c>
      <c r="W106" s="1">
        <f t="shared" si="129"/>
        <v>-68</v>
      </c>
      <c r="X106" s="1">
        <f t="shared" si="130"/>
        <v>-67</v>
      </c>
      <c r="Y106" s="1">
        <f t="shared" si="131"/>
        <v>-64</v>
      </c>
      <c r="Z106" s="1">
        <f t="shared" si="132"/>
        <v>-66</v>
      </c>
      <c r="AA106" s="1">
        <f t="shared" si="133"/>
        <v>-60</v>
      </c>
      <c r="AB106" s="1">
        <f t="shared" si="134"/>
        <v>-61</v>
      </c>
      <c r="AC106" s="4">
        <f t="shared" si="135"/>
        <v>-62</v>
      </c>
      <c r="AE106" s="3">
        <f t="shared" si="136"/>
        <v>-67</v>
      </c>
      <c r="AF106" s="1">
        <f t="shared" si="137"/>
        <v>-67</v>
      </c>
      <c r="AG106" s="1">
        <f t="shared" si="138"/>
        <v>-65</v>
      </c>
      <c r="AH106" s="1">
        <f t="shared" si="139"/>
        <v>-62</v>
      </c>
      <c r="AI106" s="1">
        <f t="shared" si="140"/>
        <v>-62</v>
      </c>
      <c r="AJ106" s="1">
        <f t="shared" si="141"/>
        <v>-58</v>
      </c>
      <c r="AK106" s="1">
        <f t="shared" si="142"/>
        <v>-59</v>
      </c>
      <c r="AL106" s="4">
        <f t="shared" si="143"/>
        <v>-60</v>
      </c>
      <c r="AN106" s="3">
        <f t="shared" si="144"/>
        <v>-71</v>
      </c>
      <c r="AO106" s="1">
        <f t="shared" si="145"/>
        <v>-71</v>
      </c>
      <c r="AP106" s="1">
        <f t="shared" si="146"/>
        <v>-70</v>
      </c>
      <c r="AQ106" s="1">
        <f t="shared" si="147"/>
        <v>-68</v>
      </c>
      <c r="AR106" s="1">
        <f t="shared" si="148"/>
        <v>-69</v>
      </c>
      <c r="AS106" s="1">
        <f t="shared" si="149"/>
        <v>-65</v>
      </c>
      <c r="AT106" s="1">
        <f t="shared" si="150"/>
        <v>-66</v>
      </c>
      <c r="AU106" s="4">
        <f t="shared" si="151"/>
        <v>-65</v>
      </c>
      <c r="AW106" s="3">
        <f t="shared" si="152"/>
        <v>-74</v>
      </c>
      <c r="AX106" s="1">
        <f t="shared" si="153"/>
        <v>-74</v>
      </c>
      <c r="AY106" s="1">
        <f t="shared" si="154"/>
        <v>-73</v>
      </c>
      <c r="AZ106" s="1">
        <f t="shared" si="155"/>
        <v>-71</v>
      </c>
      <c r="BA106" s="1">
        <f t="shared" si="156"/>
        <v>-72</v>
      </c>
      <c r="BB106" s="1">
        <f t="shared" si="157"/>
        <v>-68</v>
      </c>
      <c r="BC106" s="1">
        <f t="shared" si="158"/>
        <v>-69</v>
      </c>
      <c r="BD106" s="4">
        <f t="shared" si="159"/>
        <v>-68</v>
      </c>
      <c r="BF106" s="3">
        <v>-3</v>
      </c>
      <c r="BG106" s="1">
        <v>-3</v>
      </c>
      <c r="BH106" s="1">
        <v>-3</v>
      </c>
      <c r="BI106" s="1">
        <v>-3</v>
      </c>
      <c r="BJ106" s="1">
        <v>-5</v>
      </c>
      <c r="BK106" s="1">
        <v>-3</v>
      </c>
      <c r="BL106" s="1">
        <v>-3</v>
      </c>
      <c r="BM106" s="4">
        <v>-2</v>
      </c>
      <c r="BO106" s="3">
        <v>-6</v>
      </c>
      <c r="BP106" s="1">
        <v>-6</v>
      </c>
      <c r="BQ106" s="1">
        <v>-7</v>
      </c>
      <c r="BR106" s="1">
        <v>-7</v>
      </c>
      <c r="BS106" s="1">
        <v>-9</v>
      </c>
      <c r="BT106" s="1">
        <v>-8</v>
      </c>
      <c r="BU106" s="1">
        <v>-8</v>
      </c>
      <c r="BV106" s="4">
        <v>-9</v>
      </c>
      <c r="BX106" s="3">
        <v>-8</v>
      </c>
      <c r="BY106" s="1">
        <v>-8</v>
      </c>
      <c r="BZ106" s="1">
        <v>-8</v>
      </c>
      <c r="CA106" s="1">
        <v>-8</v>
      </c>
      <c r="CB106" s="1">
        <v>-10</v>
      </c>
      <c r="CC106" s="1">
        <v>-9</v>
      </c>
      <c r="CD106" s="1">
        <v>-9</v>
      </c>
      <c r="CE106" s="4">
        <v>-9</v>
      </c>
      <c r="CG106" s="3">
        <v>-4</v>
      </c>
      <c r="CH106" s="1">
        <v>-4</v>
      </c>
      <c r="CI106" s="1">
        <v>-5</v>
      </c>
      <c r="CJ106" s="1">
        <v>-6</v>
      </c>
      <c r="CK106" s="1">
        <v>-7</v>
      </c>
      <c r="CL106" s="1">
        <v>-7</v>
      </c>
      <c r="CM106" s="1">
        <v>-7</v>
      </c>
      <c r="CN106" s="4">
        <v>-5</v>
      </c>
      <c r="CP106" s="3">
        <v>-7</v>
      </c>
      <c r="CQ106" s="1">
        <v>-7</v>
      </c>
      <c r="CR106" s="1">
        <v>-8</v>
      </c>
      <c r="CS106" s="1">
        <v>-9</v>
      </c>
      <c r="CT106" s="1">
        <v>-10</v>
      </c>
      <c r="CU106" s="1">
        <v>-10</v>
      </c>
      <c r="CV106" s="1">
        <v>-10</v>
      </c>
      <c r="CW106" s="4">
        <v>-8</v>
      </c>
    </row>
    <row r="107" spans="1:101">
      <c r="A107" s="8" t="str">
        <f>VLOOKUP(B107,List!W:X,2,1)</f>
        <v>0.70 - 0.79</v>
      </c>
      <c r="B107" s="8">
        <v>0.7</v>
      </c>
      <c r="C107" s="8" t="s">
        <v>8</v>
      </c>
      <c r="D107" s="3">
        <v>-50</v>
      </c>
      <c r="E107" s="1">
        <v>-50</v>
      </c>
      <c r="F107" s="1">
        <v>-48</v>
      </c>
      <c r="G107" s="1">
        <v>-48</v>
      </c>
      <c r="H107" s="1">
        <v>-46</v>
      </c>
      <c r="I107" s="1">
        <v>-46</v>
      </c>
      <c r="J107" s="1">
        <v>-46</v>
      </c>
      <c r="K107" s="4">
        <v>-46</v>
      </c>
      <c r="M107" s="3">
        <f t="shared" si="120"/>
        <v>-58</v>
      </c>
      <c r="N107" s="1">
        <f t="shared" si="121"/>
        <v>-58</v>
      </c>
      <c r="O107" s="1">
        <f t="shared" si="122"/>
        <v>-58</v>
      </c>
      <c r="P107" s="1">
        <f t="shared" si="123"/>
        <v>-57</v>
      </c>
      <c r="Q107" s="1">
        <f t="shared" si="124"/>
        <v>-55</v>
      </c>
      <c r="R107" s="1">
        <f t="shared" si="125"/>
        <v>-53</v>
      </c>
      <c r="S107" s="1">
        <f t="shared" si="126"/>
        <v>-53</v>
      </c>
      <c r="T107" s="4">
        <f t="shared" si="127"/>
        <v>-53</v>
      </c>
      <c r="V107" s="3">
        <f t="shared" si="128"/>
        <v>-71</v>
      </c>
      <c r="W107" s="1">
        <f t="shared" si="129"/>
        <v>-71</v>
      </c>
      <c r="X107" s="1">
        <f t="shared" si="130"/>
        <v>-74</v>
      </c>
      <c r="Y107" s="1">
        <f t="shared" si="131"/>
        <v>-71</v>
      </c>
      <c r="Z107" s="1">
        <f t="shared" si="132"/>
        <v>-69</v>
      </c>
      <c r="AA107" s="1">
        <f t="shared" si="133"/>
        <v>-65</v>
      </c>
      <c r="AB107" s="1">
        <f t="shared" si="134"/>
        <v>-65</v>
      </c>
      <c r="AC107" s="4">
        <f t="shared" si="135"/>
        <v>-65</v>
      </c>
      <c r="AE107" s="3">
        <f t="shared" si="136"/>
        <v>-58</v>
      </c>
      <c r="AF107" s="1">
        <f t="shared" si="137"/>
        <v>-58</v>
      </c>
      <c r="AG107" s="1">
        <f t="shared" si="138"/>
        <v>-57</v>
      </c>
      <c r="AH107" s="1">
        <f t="shared" si="139"/>
        <v>-57</v>
      </c>
      <c r="AI107" s="1">
        <f t="shared" si="140"/>
        <v>-56</v>
      </c>
      <c r="AJ107" s="1">
        <f t="shared" si="141"/>
        <v>-54</v>
      </c>
      <c r="AK107" s="1">
        <f t="shared" si="142"/>
        <v>-55</v>
      </c>
      <c r="AL107" s="4">
        <f t="shared" si="143"/>
        <v>-55</v>
      </c>
      <c r="AN107" s="3">
        <f t="shared" si="144"/>
        <v>-63</v>
      </c>
      <c r="AO107" s="1">
        <f t="shared" si="145"/>
        <v>-63</v>
      </c>
      <c r="AP107" s="1">
        <f t="shared" si="146"/>
        <v>-64</v>
      </c>
      <c r="AQ107" s="1">
        <f t="shared" si="147"/>
        <v>-62</v>
      </c>
      <c r="AR107" s="1">
        <f t="shared" si="148"/>
        <v>-61</v>
      </c>
      <c r="AS107" s="1">
        <f t="shared" si="149"/>
        <v>-58</v>
      </c>
      <c r="AT107" s="1">
        <f t="shared" si="150"/>
        <v>-59</v>
      </c>
      <c r="AU107" s="4">
        <f t="shared" si="151"/>
        <v>-59</v>
      </c>
      <c r="AW107" s="3">
        <f t="shared" si="152"/>
        <v>-67</v>
      </c>
      <c r="AX107" s="1">
        <f t="shared" si="153"/>
        <v>-67</v>
      </c>
      <c r="AY107" s="1">
        <f t="shared" si="154"/>
        <v>-69</v>
      </c>
      <c r="AZ107" s="1">
        <f t="shared" si="155"/>
        <v>-67</v>
      </c>
      <c r="BA107" s="1">
        <f t="shared" si="156"/>
        <v>-65</v>
      </c>
      <c r="BB107" s="1">
        <f t="shared" si="157"/>
        <v>-62</v>
      </c>
      <c r="BC107" s="1">
        <f t="shared" si="158"/>
        <v>-63</v>
      </c>
      <c r="BD107" s="4">
        <f t="shared" si="159"/>
        <v>-63</v>
      </c>
      <c r="BF107" s="3">
        <v>-8</v>
      </c>
      <c r="BG107" s="1">
        <v>-8</v>
      </c>
      <c r="BH107" s="1">
        <v>-10</v>
      </c>
      <c r="BI107" s="1">
        <v>-9</v>
      </c>
      <c r="BJ107" s="1">
        <v>-9</v>
      </c>
      <c r="BK107" s="1">
        <v>-7</v>
      </c>
      <c r="BL107" s="1">
        <v>-7</v>
      </c>
      <c r="BM107" s="4">
        <v>-7</v>
      </c>
      <c r="BO107" s="3">
        <v>-13</v>
      </c>
      <c r="BP107" s="1">
        <v>-13</v>
      </c>
      <c r="BQ107" s="1">
        <v>-16</v>
      </c>
      <c r="BR107" s="1">
        <v>-14</v>
      </c>
      <c r="BS107" s="1">
        <v>-14</v>
      </c>
      <c r="BT107" s="1">
        <v>-12</v>
      </c>
      <c r="BU107" s="1">
        <v>-12</v>
      </c>
      <c r="BV107" s="4">
        <v>-12</v>
      </c>
      <c r="BX107" s="3">
        <v>-8</v>
      </c>
      <c r="BY107" s="1">
        <v>-8</v>
      </c>
      <c r="BZ107" s="1">
        <v>-9</v>
      </c>
      <c r="CA107" s="1">
        <v>-9</v>
      </c>
      <c r="CB107" s="1">
        <v>-10</v>
      </c>
      <c r="CC107" s="1">
        <v>-8</v>
      </c>
      <c r="CD107" s="1">
        <v>-9</v>
      </c>
      <c r="CE107" s="4">
        <v>-9</v>
      </c>
      <c r="CG107" s="3">
        <v>-5</v>
      </c>
      <c r="CH107" s="1">
        <v>-5</v>
      </c>
      <c r="CI107" s="1">
        <v>-7</v>
      </c>
      <c r="CJ107" s="1">
        <v>-5</v>
      </c>
      <c r="CK107" s="1">
        <v>-5</v>
      </c>
      <c r="CL107" s="1">
        <v>-4</v>
      </c>
      <c r="CM107" s="1">
        <v>-4</v>
      </c>
      <c r="CN107" s="4">
        <v>-4</v>
      </c>
      <c r="CP107" s="3">
        <v>-9</v>
      </c>
      <c r="CQ107" s="1">
        <v>-9</v>
      </c>
      <c r="CR107" s="1">
        <v>-12</v>
      </c>
      <c r="CS107" s="1">
        <v>-10</v>
      </c>
      <c r="CT107" s="1">
        <v>-9</v>
      </c>
      <c r="CU107" s="1">
        <v>-8</v>
      </c>
      <c r="CV107" s="1">
        <v>-8</v>
      </c>
      <c r="CW107" s="4">
        <v>-8</v>
      </c>
    </row>
    <row r="108" spans="1:101">
      <c r="A108" s="8" t="str">
        <f>VLOOKUP(B108,List!W:X,2,1)</f>
        <v>0.70 - 0.79</v>
      </c>
      <c r="B108" s="8">
        <v>0.7</v>
      </c>
      <c r="C108" s="8" t="s">
        <v>9</v>
      </c>
      <c r="D108" s="3">
        <v>-49</v>
      </c>
      <c r="E108" s="1">
        <v>-49</v>
      </c>
      <c r="F108" s="1">
        <v>-46</v>
      </c>
      <c r="G108" s="1">
        <v>-48</v>
      </c>
      <c r="H108" s="1">
        <v>-47</v>
      </c>
      <c r="I108" s="1">
        <v>-46</v>
      </c>
      <c r="J108" s="1">
        <v>-47</v>
      </c>
      <c r="K108" s="4">
        <v>-47</v>
      </c>
      <c r="M108" s="3">
        <f t="shared" si="120"/>
        <v>-55</v>
      </c>
      <c r="N108" s="1">
        <f t="shared" si="121"/>
        <v>-55</v>
      </c>
      <c r="O108" s="1">
        <f t="shared" si="122"/>
        <v>-57</v>
      </c>
      <c r="P108" s="1">
        <f t="shared" si="123"/>
        <v>-56</v>
      </c>
      <c r="Q108" s="1">
        <f t="shared" si="124"/>
        <v>-54</v>
      </c>
      <c r="R108" s="1">
        <f t="shared" si="125"/>
        <v>-53</v>
      </c>
      <c r="S108" s="1">
        <f t="shared" si="126"/>
        <v>-54</v>
      </c>
      <c r="T108" s="4">
        <f t="shared" si="127"/>
        <v>-54</v>
      </c>
      <c r="V108" s="3">
        <f t="shared" si="128"/>
        <v>-67</v>
      </c>
      <c r="W108" s="1">
        <f t="shared" si="129"/>
        <v>-67</v>
      </c>
      <c r="X108" s="1">
        <f t="shared" si="130"/>
        <v>-74</v>
      </c>
      <c r="Y108" s="1">
        <f t="shared" si="131"/>
        <v>-69</v>
      </c>
      <c r="Z108" s="1">
        <f t="shared" si="132"/>
        <v>-66</v>
      </c>
      <c r="AA108" s="1">
        <f t="shared" si="133"/>
        <v>-64</v>
      </c>
      <c r="AB108" s="1">
        <f t="shared" si="134"/>
        <v>-65</v>
      </c>
      <c r="AC108" s="4">
        <f t="shared" si="135"/>
        <v>-65</v>
      </c>
      <c r="AE108" s="3">
        <f t="shared" si="136"/>
        <v>-56</v>
      </c>
      <c r="AF108" s="1">
        <f t="shared" si="137"/>
        <v>-56</v>
      </c>
      <c r="AG108" s="1">
        <f t="shared" si="138"/>
        <v>-58</v>
      </c>
      <c r="AH108" s="1">
        <f t="shared" si="139"/>
        <v>-57</v>
      </c>
      <c r="AI108" s="1">
        <f t="shared" si="140"/>
        <v>-54</v>
      </c>
      <c r="AJ108" s="1">
        <f t="shared" si="141"/>
        <v>-52</v>
      </c>
      <c r="AK108" s="1">
        <f t="shared" si="142"/>
        <v>-55</v>
      </c>
      <c r="AL108" s="4">
        <f t="shared" si="143"/>
        <v>-56</v>
      </c>
      <c r="AN108" s="3">
        <f t="shared" si="144"/>
        <v>-61</v>
      </c>
      <c r="AO108" s="1">
        <f t="shared" si="145"/>
        <v>-61</v>
      </c>
      <c r="AP108" s="1">
        <f t="shared" si="146"/>
        <v>-62</v>
      </c>
      <c r="AQ108" s="1">
        <f t="shared" si="147"/>
        <v>-61</v>
      </c>
      <c r="AR108" s="1">
        <f t="shared" si="148"/>
        <v>-60</v>
      </c>
      <c r="AS108" s="1">
        <f t="shared" si="149"/>
        <v>-58</v>
      </c>
      <c r="AT108" s="1">
        <f t="shared" si="150"/>
        <v>-59</v>
      </c>
      <c r="AU108" s="4">
        <f t="shared" si="151"/>
        <v>-59</v>
      </c>
      <c r="AW108" s="3">
        <f t="shared" si="152"/>
        <v>-67</v>
      </c>
      <c r="AX108" s="1">
        <f t="shared" si="153"/>
        <v>-67</v>
      </c>
      <c r="AY108" s="1">
        <f t="shared" si="154"/>
        <v>-67</v>
      </c>
      <c r="AZ108" s="1">
        <f t="shared" si="155"/>
        <v>-66</v>
      </c>
      <c r="BA108" s="1">
        <f t="shared" si="156"/>
        <v>-64</v>
      </c>
      <c r="BB108" s="1">
        <f t="shared" si="157"/>
        <v>-62</v>
      </c>
      <c r="BC108" s="1">
        <f t="shared" si="158"/>
        <v>-63</v>
      </c>
      <c r="BD108" s="4">
        <f t="shared" si="159"/>
        <v>-63</v>
      </c>
      <c r="BF108" s="3">
        <v>-6</v>
      </c>
      <c r="BG108" s="1">
        <v>-6</v>
      </c>
      <c r="BH108" s="1">
        <v>-11</v>
      </c>
      <c r="BI108" s="1">
        <v>-8</v>
      </c>
      <c r="BJ108" s="1">
        <v>-7</v>
      </c>
      <c r="BK108" s="1">
        <v>-7</v>
      </c>
      <c r="BL108" s="1">
        <v>-7</v>
      </c>
      <c r="BM108" s="4">
        <v>-7</v>
      </c>
      <c r="BO108" s="3">
        <v>-12</v>
      </c>
      <c r="BP108" s="1">
        <v>-12</v>
      </c>
      <c r="BQ108" s="1">
        <v>-17</v>
      </c>
      <c r="BR108" s="1">
        <v>-13</v>
      </c>
      <c r="BS108" s="1">
        <v>-12</v>
      </c>
      <c r="BT108" s="1">
        <v>-11</v>
      </c>
      <c r="BU108" s="1">
        <v>-11</v>
      </c>
      <c r="BV108" s="4">
        <v>-11</v>
      </c>
      <c r="BX108" s="3">
        <v>-7</v>
      </c>
      <c r="BY108" s="1">
        <v>-7</v>
      </c>
      <c r="BZ108" s="1">
        <v>-12</v>
      </c>
      <c r="CA108" s="1">
        <v>-9</v>
      </c>
      <c r="CB108" s="1">
        <v>-7</v>
      </c>
      <c r="CC108" s="1">
        <v>-6</v>
      </c>
      <c r="CD108" s="1">
        <v>-8</v>
      </c>
      <c r="CE108" s="4">
        <v>-9</v>
      </c>
      <c r="CG108" s="3">
        <v>-5</v>
      </c>
      <c r="CH108" s="1">
        <v>-5</v>
      </c>
      <c r="CI108" s="1">
        <v>-4</v>
      </c>
      <c r="CJ108" s="1">
        <v>-4</v>
      </c>
      <c r="CK108" s="1">
        <v>-6</v>
      </c>
      <c r="CL108" s="1">
        <v>-6</v>
      </c>
      <c r="CM108" s="1">
        <v>-4</v>
      </c>
      <c r="CN108" s="4">
        <v>-3</v>
      </c>
      <c r="CP108" s="3">
        <v>-11</v>
      </c>
      <c r="CQ108" s="1">
        <v>-11</v>
      </c>
      <c r="CR108" s="1">
        <v>-9</v>
      </c>
      <c r="CS108" s="1">
        <v>-9</v>
      </c>
      <c r="CT108" s="1">
        <v>-10</v>
      </c>
      <c r="CU108" s="1">
        <v>-10</v>
      </c>
      <c r="CV108" s="1">
        <v>-8</v>
      </c>
      <c r="CW108" s="4">
        <v>-7</v>
      </c>
    </row>
    <row r="109" spans="1:101">
      <c r="A109" s="8" t="str">
        <f>VLOOKUP(B109,List!W:X,2,1)</f>
        <v>0.70 - 0.79</v>
      </c>
      <c r="B109" s="8">
        <v>0.7</v>
      </c>
      <c r="C109" s="8" t="s">
        <v>10</v>
      </c>
      <c r="D109" s="3">
        <v>-48</v>
      </c>
      <c r="E109" s="1">
        <v>-48</v>
      </c>
      <c r="F109" s="1">
        <v>-46</v>
      </c>
      <c r="G109" s="1">
        <v>-46</v>
      </c>
      <c r="H109" s="1">
        <v>-46</v>
      </c>
      <c r="I109" s="1">
        <v>-44</v>
      </c>
      <c r="J109" s="1">
        <v>-46</v>
      </c>
      <c r="K109" s="4">
        <v>-46</v>
      </c>
      <c r="M109" s="3">
        <f t="shared" si="120"/>
        <v>-56</v>
      </c>
      <c r="N109" s="1">
        <f t="shared" si="121"/>
        <v>-56</v>
      </c>
      <c r="O109" s="1">
        <f t="shared" si="122"/>
        <v>-57</v>
      </c>
      <c r="P109" s="1">
        <f t="shared" si="123"/>
        <v>-54</v>
      </c>
      <c r="Q109" s="1">
        <f t="shared" si="124"/>
        <v>-52</v>
      </c>
      <c r="R109" s="1">
        <f t="shared" si="125"/>
        <v>-51</v>
      </c>
      <c r="S109" s="1">
        <f t="shared" si="126"/>
        <v>-52</v>
      </c>
      <c r="T109" s="4">
        <f t="shared" si="127"/>
        <v>-52</v>
      </c>
      <c r="V109" s="3">
        <f t="shared" si="128"/>
        <v>-69</v>
      </c>
      <c r="W109" s="1">
        <f t="shared" si="129"/>
        <v>-69</v>
      </c>
      <c r="X109" s="1">
        <f t="shared" si="130"/>
        <v>-73</v>
      </c>
      <c r="Y109" s="1">
        <f t="shared" si="131"/>
        <v>-66</v>
      </c>
      <c r="Z109" s="1">
        <f t="shared" si="132"/>
        <v>-63</v>
      </c>
      <c r="AA109" s="1">
        <f t="shared" si="133"/>
        <v>-62</v>
      </c>
      <c r="AB109" s="1">
        <f t="shared" si="134"/>
        <v>-62</v>
      </c>
      <c r="AC109" s="4">
        <f t="shared" si="135"/>
        <v>-62</v>
      </c>
      <c r="AE109" s="3">
        <f t="shared" si="136"/>
        <v>-54</v>
      </c>
      <c r="AF109" s="1">
        <f t="shared" si="137"/>
        <v>-54</v>
      </c>
      <c r="AG109" s="1">
        <f t="shared" si="138"/>
        <v>-57</v>
      </c>
      <c r="AH109" s="1">
        <f t="shared" si="139"/>
        <v>-55</v>
      </c>
      <c r="AI109" s="1">
        <f t="shared" si="140"/>
        <v>-52</v>
      </c>
      <c r="AJ109" s="1">
        <f t="shared" si="141"/>
        <v>-50</v>
      </c>
      <c r="AK109" s="1">
        <f t="shared" si="142"/>
        <v>-54</v>
      </c>
      <c r="AL109" s="4">
        <f t="shared" si="143"/>
        <v>-54</v>
      </c>
      <c r="AN109" s="3">
        <f t="shared" si="144"/>
        <v>-59</v>
      </c>
      <c r="AO109" s="1">
        <f t="shared" si="145"/>
        <v>-59</v>
      </c>
      <c r="AP109" s="1">
        <f t="shared" si="146"/>
        <v>-62</v>
      </c>
      <c r="AQ109" s="1">
        <f t="shared" si="147"/>
        <v>-59</v>
      </c>
      <c r="AR109" s="1">
        <f t="shared" si="148"/>
        <v>-58</v>
      </c>
      <c r="AS109" s="1">
        <f t="shared" si="149"/>
        <v>-56</v>
      </c>
      <c r="AT109" s="1">
        <f t="shared" si="150"/>
        <v>-58</v>
      </c>
      <c r="AU109" s="4">
        <f t="shared" si="151"/>
        <v>-58</v>
      </c>
      <c r="AW109" s="3">
        <f t="shared" si="152"/>
        <v>-65</v>
      </c>
      <c r="AX109" s="1">
        <f t="shared" si="153"/>
        <v>-65</v>
      </c>
      <c r="AY109" s="1">
        <f t="shared" si="154"/>
        <v>-67</v>
      </c>
      <c r="AZ109" s="1">
        <f t="shared" si="155"/>
        <v>-64</v>
      </c>
      <c r="BA109" s="1">
        <f t="shared" si="156"/>
        <v>-62</v>
      </c>
      <c r="BB109" s="1">
        <f t="shared" si="157"/>
        <v>-60</v>
      </c>
      <c r="BC109" s="1">
        <f t="shared" si="158"/>
        <v>-61</v>
      </c>
      <c r="BD109" s="4">
        <f t="shared" si="159"/>
        <v>-61</v>
      </c>
      <c r="BF109" s="3">
        <v>-8</v>
      </c>
      <c r="BG109" s="1">
        <v>-8</v>
      </c>
      <c r="BH109" s="1">
        <v>-11</v>
      </c>
      <c r="BI109" s="1">
        <v>-8</v>
      </c>
      <c r="BJ109" s="1">
        <v>-6</v>
      </c>
      <c r="BK109" s="1">
        <v>-7</v>
      </c>
      <c r="BL109" s="1">
        <v>-6</v>
      </c>
      <c r="BM109" s="4">
        <v>-6</v>
      </c>
      <c r="BO109" s="3">
        <v>-13</v>
      </c>
      <c r="BP109" s="1">
        <v>-13</v>
      </c>
      <c r="BQ109" s="1">
        <v>-16</v>
      </c>
      <c r="BR109" s="1">
        <v>-12</v>
      </c>
      <c r="BS109" s="1">
        <v>-11</v>
      </c>
      <c r="BT109" s="1">
        <v>-11</v>
      </c>
      <c r="BU109" s="1">
        <v>-10</v>
      </c>
      <c r="BV109" s="4">
        <v>-10</v>
      </c>
      <c r="BX109" s="3">
        <v>-6</v>
      </c>
      <c r="BY109" s="1">
        <v>-6</v>
      </c>
      <c r="BZ109" s="1">
        <v>-11</v>
      </c>
      <c r="CA109" s="1">
        <v>-9</v>
      </c>
      <c r="CB109" s="1">
        <v>-6</v>
      </c>
      <c r="CC109" s="1">
        <v>-6</v>
      </c>
      <c r="CD109" s="1">
        <v>-8</v>
      </c>
      <c r="CE109" s="4">
        <v>-8</v>
      </c>
      <c r="CG109" s="3">
        <v>-5</v>
      </c>
      <c r="CH109" s="1">
        <v>-5</v>
      </c>
      <c r="CI109" s="1">
        <v>-5</v>
      </c>
      <c r="CJ109" s="1">
        <v>-4</v>
      </c>
      <c r="CK109" s="1">
        <v>-6</v>
      </c>
      <c r="CL109" s="1">
        <v>-6</v>
      </c>
      <c r="CM109" s="1">
        <v>-4</v>
      </c>
      <c r="CN109" s="4">
        <v>-4</v>
      </c>
      <c r="CP109" s="3">
        <v>-11</v>
      </c>
      <c r="CQ109" s="1">
        <v>-11</v>
      </c>
      <c r="CR109" s="1">
        <v>-10</v>
      </c>
      <c r="CS109" s="1">
        <v>-9</v>
      </c>
      <c r="CT109" s="1">
        <v>-10</v>
      </c>
      <c r="CU109" s="1">
        <v>-10</v>
      </c>
      <c r="CV109" s="1">
        <v>-7</v>
      </c>
      <c r="CW109" s="4">
        <v>-7</v>
      </c>
    </row>
    <row r="110" spans="1:101">
      <c r="A110" s="8" t="str">
        <f>VLOOKUP(B110,List!W:X,2,1)</f>
        <v>0.70 - 0.79</v>
      </c>
      <c r="B110" s="8">
        <v>0.7</v>
      </c>
      <c r="C110" s="8" t="s">
        <v>11</v>
      </c>
      <c r="D110" s="3">
        <v>-48</v>
      </c>
      <c r="E110" s="1">
        <v>-48</v>
      </c>
      <c r="F110" s="1">
        <v>-44</v>
      </c>
      <c r="G110" s="1">
        <v>-47</v>
      </c>
      <c r="H110" s="1">
        <v>-45</v>
      </c>
      <c r="I110" s="1">
        <v>-45</v>
      </c>
      <c r="J110" s="1">
        <v>-45</v>
      </c>
      <c r="K110" s="4">
        <v>-45</v>
      </c>
      <c r="M110" s="3">
        <f t="shared" si="120"/>
        <v>-57</v>
      </c>
      <c r="N110" s="1">
        <f t="shared" si="121"/>
        <v>-57</v>
      </c>
      <c r="O110" s="1">
        <f t="shared" si="122"/>
        <v>-56</v>
      </c>
      <c r="P110" s="1">
        <f t="shared" si="123"/>
        <v>-53</v>
      </c>
      <c r="Q110" s="1">
        <f t="shared" si="124"/>
        <v>-51</v>
      </c>
      <c r="R110" s="1">
        <f t="shared" si="125"/>
        <v>-51</v>
      </c>
      <c r="S110" s="1">
        <f t="shared" si="126"/>
        <v>-51</v>
      </c>
      <c r="T110" s="4">
        <f t="shared" si="127"/>
        <v>-51</v>
      </c>
      <c r="V110" s="3">
        <f t="shared" si="128"/>
        <v>-71</v>
      </c>
      <c r="W110" s="1">
        <f t="shared" si="129"/>
        <v>-71</v>
      </c>
      <c r="X110" s="1">
        <f t="shared" si="130"/>
        <v>-73</v>
      </c>
      <c r="Y110" s="1">
        <f t="shared" si="131"/>
        <v>-64</v>
      </c>
      <c r="Z110" s="1">
        <f t="shared" si="132"/>
        <v>-61</v>
      </c>
      <c r="AA110" s="1">
        <f t="shared" si="133"/>
        <v>-61</v>
      </c>
      <c r="AB110" s="1">
        <f t="shared" si="134"/>
        <v>-61</v>
      </c>
      <c r="AC110" s="4">
        <f t="shared" si="135"/>
        <v>-60</v>
      </c>
      <c r="AE110" s="3">
        <f t="shared" si="136"/>
        <v>-59</v>
      </c>
      <c r="AF110" s="1">
        <f t="shared" si="137"/>
        <v>-59</v>
      </c>
      <c r="AG110" s="1">
        <f t="shared" si="138"/>
        <v>-58</v>
      </c>
      <c r="AH110" s="1">
        <f t="shared" si="139"/>
        <v>-56</v>
      </c>
      <c r="AI110" s="1">
        <f t="shared" si="140"/>
        <v>-52</v>
      </c>
      <c r="AJ110" s="1">
        <f t="shared" si="141"/>
        <v>-51</v>
      </c>
      <c r="AK110" s="1">
        <f t="shared" si="142"/>
        <v>-52</v>
      </c>
      <c r="AL110" s="4">
        <f t="shared" si="143"/>
        <v>-52</v>
      </c>
      <c r="AN110" s="3">
        <f t="shared" si="144"/>
        <v>-64</v>
      </c>
      <c r="AO110" s="1">
        <f t="shared" si="145"/>
        <v>-64</v>
      </c>
      <c r="AP110" s="1">
        <f t="shared" si="146"/>
        <v>-62</v>
      </c>
      <c r="AQ110" s="1">
        <f t="shared" si="147"/>
        <v>-60</v>
      </c>
      <c r="AR110" s="1">
        <f t="shared" si="148"/>
        <v>-57</v>
      </c>
      <c r="AS110" s="1">
        <f t="shared" si="149"/>
        <v>-56</v>
      </c>
      <c r="AT110" s="1">
        <f t="shared" si="150"/>
        <v>-57</v>
      </c>
      <c r="AU110" s="4">
        <f t="shared" si="151"/>
        <v>-57</v>
      </c>
      <c r="AW110" s="3">
        <f t="shared" si="152"/>
        <v>-68</v>
      </c>
      <c r="AX110" s="1">
        <f t="shared" si="153"/>
        <v>-68</v>
      </c>
      <c r="AY110" s="1">
        <f t="shared" si="154"/>
        <v>-66</v>
      </c>
      <c r="AZ110" s="1">
        <f t="shared" si="155"/>
        <v>-63</v>
      </c>
      <c r="BA110" s="1">
        <f t="shared" si="156"/>
        <v>-61</v>
      </c>
      <c r="BB110" s="1">
        <f t="shared" si="157"/>
        <v>-60</v>
      </c>
      <c r="BC110" s="1">
        <f t="shared" si="158"/>
        <v>-60</v>
      </c>
      <c r="BD110" s="4">
        <f t="shared" si="159"/>
        <v>-60</v>
      </c>
      <c r="BF110" s="3">
        <v>-9</v>
      </c>
      <c r="BG110" s="1">
        <v>-9</v>
      </c>
      <c r="BH110" s="1">
        <v>-12</v>
      </c>
      <c r="BI110" s="1">
        <v>-6</v>
      </c>
      <c r="BJ110" s="1">
        <v>-6</v>
      </c>
      <c r="BK110" s="1">
        <v>-6</v>
      </c>
      <c r="BL110" s="1">
        <v>-6</v>
      </c>
      <c r="BM110" s="4">
        <v>-6</v>
      </c>
      <c r="BO110" s="3">
        <v>-14</v>
      </c>
      <c r="BP110" s="1">
        <v>-14</v>
      </c>
      <c r="BQ110" s="1">
        <v>-17</v>
      </c>
      <c r="BR110" s="1">
        <v>-11</v>
      </c>
      <c r="BS110" s="1">
        <v>-10</v>
      </c>
      <c r="BT110" s="1">
        <v>-10</v>
      </c>
      <c r="BU110" s="1">
        <v>-10</v>
      </c>
      <c r="BV110" s="4">
        <v>-9</v>
      </c>
      <c r="BX110" s="3">
        <v>-11</v>
      </c>
      <c r="BY110" s="1">
        <v>-11</v>
      </c>
      <c r="BZ110" s="1">
        <v>-14</v>
      </c>
      <c r="CA110" s="1">
        <v>-9</v>
      </c>
      <c r="CB110" s="1">
        <v>-7</v>
      </c>
      <c r="CC110" s="1">
        <v>-6</v>
      </c>
      <c r="CD110" s="1">
        <v>-7</v>
      </c>
      <c r="CE110" s="4">
        <v>-7</v>
      </c>
      <c r="CG110" s="3">
        <v>-5</v>
      </c>
      <c r="CH110" s="1">
        <v>-5</v>
      </c>
      <c r="CI110" s="1">
        <v>-4</v>
      </c>
      <c r="CJ110" s="1">
        <v>-4</v>
      </c>
      <c r="CK110" s="1">
        <v>-5</v>
      </c>
      <c r="CL110" s="1">
        <v>-5</v>
      </c>
      <c r="CM110" s="1">
        <v>-5</v>
      </c>
      <c r="CN110" s="4">
        <v>-5</v>
      </c>
      <c r="CP110" s="3">
        <v>-9</v>
      </c>
      <c r="CQ110" s="1">
        <v>-9</v>
      </c>
      <c r="CR110" s="1">
        <v>-8</v>
      </c>
      <c r="CS110" s="1">
        <v>-7</v>
      </c>
      <c r="CT110" s="1">
        <v>-9</v>
      </c>
      <c r="CU110" s="1">
        <v>-9</v>
      </c>
      <c r="CV110" s="1">
        <v>-8</v>
      </c>
      <c r="CW110" s="4">
        <v>-8</v>
      </c>
    </row>
    <row r="111" spans="1:101">
      <c r="A111" s="8" t="str">
        <f>VLOOKUP(B111,List!W:X,2,1)</f>
        <v>0.70 - 0.79</v>
      </c>
      <c r="B111" s="8">
        <v>0.7</v>
      </c>
      <c r="C111" s="8" t="s">
        <v>12</v>
      </c>
      <c r="D111" s="3">
        <v>-53</v>
      </c>
      <c r="E111" s="1">
        <v>-53</v>
      </c>
      <c r="F111" s="1">
        <v>-52</v>
      </c>
      <c r="G111" s="1">
        <v>-51</v>
      </c>
      <c r="H111" s="1">
        <v>-48</v>
      </c>
      <c r="I111" s="1">
        <v>-48</v>
      </c>
      <c r="J111" s="1">
        <v>-46</v>
      </c>
      <c r="K111" s="4">
        <v>-46</v>
      </c>
      <c r="M111" s="3">
        <f t="shared" si="120"/>
        <v>-57</v>
      </c>
      <c r="N111" s="1">
        <f t="shared" si="121"/>
        <v>-57</v>
      </c>
      <c r="O111" s="1">
        <f t="shared" si="122"/>
        <v>-58</v>
      </c>
      <c r="P111" s="1">
        <f t="shared" si="123"/>
        <v>-56</v>
      </c>
      <c r="Q111" s="1">
        <f t="shared" si="124"/>
        <v>-53</v>
      </c>
      <c r="R111" s="1">
        <f t="shared" si="125"/>
        <v>-52</v>
      </c>
      <c r="S111" s="1">
        <f t="shared" si="126"/>
        <v>-52</v>
      </c>
      <c r="T111" s="4">
        <f t="shared" si="127"/>
        <v>-52</v>
      </c>
      <c r="V111" s="3">
        <f t="shared" si="128"/>
        <v>-64</v>
      </c>
      <c r="W111" s="1">
        <f t="shared" si="129"/>
        <v>-64</v>
      </c>
      <c r="X111" s="1">
        <f t="shared" si="130"/>
        <v>-67</v>
      </c>
      <c r="Y111" s="1">
        <f t="shared" si="131"/>
        <v>-64</v>
      </c>
      <c r="Z111" s="1">
        <f t="shared" si="132"/>
        <v>-62</v>
      </c>
      <c r="AA111" s="1">
        <f t="shared" si="133"/>
        <v>-60</v>
      </c>
      <c r="AB111" s="1">
        <f t="shared" si="134"/>
        <v>-61</v>
      </c>
      <c r="AC111" s="4">
        <f t="shared" si="135"/>
        <v>-62</v>
      </c>
      <c r="AE111" s="3">
        <f t="shared" si="136"/>
        <v>-61</v>
      </c>
      <c r="AF111" s="1">
        <f t="shared" si="137"/>
        <v>-61</v>
      </c>
      <c r="AG111" s="1">
        <f t="shared" si="138"/>
        <v>-59</v>
      </c>
      <c r="AH111" s="1">
        <f t="shared" si="139"/>
        <v>-57</v>
      </c>
      <c r="AI111" s="1">
        <f t="shared" si="140"/>
        <v>-54</v>
      </c>
      <c r="AJ111" s="1">
        <f t="shared" si="141"/>
        <v>-54</v>
      </c>
      <c r="AK111" s="1">
        <f t="shared" si="142"/>
        <v>-53</v>
      </c>
      <c r="AL111" s="4">
        <f t="shared" si="143"/>
        <v>-53</v>
      </c>
      <c r="AN111" s="3">
        <f t="shared" si="144"/>
        <v>-65</v>
      </c>
      <c r="AO111" s="1">
        <f t="shared" si="145"/>
        <v>-65</v>
      </c>
      <c r="AP111" s="1">
        <f t="shared" si="146"/>
        <v>-64</v>
      </c>
      <c r="AQ111" s="1">
        <f t="shared" si="147"/>
        <v>-61</v>
      </c>
      <c r="AR111" s="1">
        <f t="shared" si="148"/>
        <v>-59</v>
      </c>
      <c r="AS111" s="1">
        <f t="shared" si="149"/>
        <v>-58</v>
      </c>
      <c r="AT111" s="1">
        <f t="shared" si="150"/>
        <v>-58</v>
      </c>
      <c r="AU111" s="4">
        <f t="shared" si="151"/>
        <v>-58</v>
      </c>
      <c r="AW111" s="3">
        <f t="shared" si="152"/>
        <v>-67</v>
      </c>
      <c r="AX111" s="1">
        <f t="shared" si="153"/>
        <v>-67</v>
      </c>
      <c r="AY111" s="1">
        <f t="shared" si="154"/>
        <v>-67</v>
      </c>
      <c r="AZ111" s="1">
        <f t="shared" si="155"/>
        <v>-64</v>
      </c>
      <c r="BA111" s="1">
        <f t="shared" si="156"/>
        <v>-62</v>
      </c>
      <c r="BB111" s="1">
        <f t="shared" si="157"/>
        <v>-61</v>
      </c>
      <c r="BC111" s="1">
        <f t="shared" si="158"/>
        <v>-61</v>
      </c>
      <c r="BD111" s="4">
        <f t="shared" si="159"/>
        <v>-61</v>
      </c>
      <c r="BF111" s="3">
        <v>-4</v>
      </c>
      <c r="BG111" s="1">
        <v>-4</v>
      </c>
      <c r="BH111" s="1">
        <v>-6</v>
      </c>
      <c r="BI111" s="1">
        <v>-5</v>
      </c>
      <c r="BJ111" s="1">
        <v>-5</v>
      </c>
      <c r="BK111" s="1">
        <v>-4</v>
      </c>
      <c r="BL111" s="1">
        <v>-6</v>
      </c>
      <c r="BM111" s="4">
        <v>-6</v>
      </c>
      <c r="BO111" s="3">
        <v>-7</v>
      </c>
      <c r="BP111" s="1">
        <v>-7</v>
      </c>
      <c r="BQ111" s="1">
        <v>-9</v>
      </c>
      <c r="BR111" s="1">
        <v>-8</v>
      </c>
      <c r="BS111" s="1">
        <v>-9</v>
      </c>
      <c r="BT111" s="1">
        <v>-8</v>
      </c>
      <c r="BU111" s="1">
        <v>-9</v>
      </c>
      <c r="BV111" s="4">
        <v>-10</v>
      </c>
      <c r="BX111" s="3">
        <v>-8</v>
      </c>
      <c r="BY111" s="1">
        <v>-8</v>
      </c>
      <c r="BZ111" s="1">
        <v>-7</v>
      </c>
      <c r="CA111" s="1">
        <v>-6</v>
      </c>
      <c r="CB111" s="1">
        <v>-6</v>
      </c>
      <c r="CC111" s="1">
        <v>-6</v>
      </c>
      <c r="CD111" s="1">
        <v>-7</v>
      </c>
      <c r="CE111" s="4">
        <v>-7</v>
      </c>
      <c r="CG111" s="3">
        <v>-4</v>
      </c>
      <c r="CH111" s="1">
        <v>-4</v>
      </c>
      <c r="CI111" s="1">
        <v>-5</v>
      </c>
      <c r="CJ111" s="1">
        <v>-4</v>
      </c>
      <c r="CK111" s="1">
        <v>-5</v>
      </c>
      <c r="CL111" s="1">
        <v>-4</v>
      </c>
      <c r="CM111" s="1">
        <v>-5</v>
      </c>
      <c r="CN111" s="4">
        <v>-5</v>
      </c>
      <c r="CP111" s="3">
        <v>-6</v>
      </c>
      <c r="CQ111" s="1">
        <v>-6</v>
      </c>
      <c r="CR111" s="1">
        <v>-8</v>
      </c>
      <c r="CS111" s="1">
        <v>-7</v>
      </c>
      <c r="CT111" s="1">
        <v>-8</v>
      </c>
      <c r="CU111" s="1">
        <v>-7</v>
      </c>
      <c r="CV111" s="1">
        <v>-8</v>
      </c>
      <c r="CW111" s="4">
        <v>-8</v>
      </c>
    </row>
    <row r="112" spans="1:101">
      <c r="A112" s="8" t="str">
        <f>VLOOKUP(B112,List!W:X,2,1)</f>
        <v>0.70 - 0.79</v>
      </c>
      <c r="B112" s="8">
        <v>0.7</v>
      </c>
      <c r="C112" s="8" t="s">
        <v>13</v>
      </c>
      <c r="D112" s="3">
        <v>-48</v>
      </c>
      <c r="E112" s="1">
        <v>-48</v>
      </c>
      <c r="F112" s="1">
        <v>-45</v>
      </c>
      <c r="G112" s="1">
        <v>-45</v>
      </c>
      <c r="H112" s="1">
        <v>-47</v>
      </c>
      <c r="I112" s="1">
        <v>-48</v>
      </c>
      <c r="J112" s="1">
        <v>-46</v>
      </c>
      <c r="K112" s="4">
        <v>-47</v>
      </c>
      <c r="M112" s="3">
        <f t="shared" si="120"/>
        <v>-54</v>
      </c>
      <c r="N112" s="1">
        <f t="shared" si="121"/>
        <v>-54</v>
      </c>
      <c r="O112" s="1">
        <f t="shared" si="122"/>
        <v>-51</v>
      </c>
      <c r="P112" s="1">
        <f t="shared" si="123"/>
        <v>-50</v>
      </c>
      <c r="Q112" s="1">
        <f t="shared" si="124"/>
        <v>-52</v>
      </c>
      <c r="R112" s="1">
        <f t="shared" si="125"/>
        <v>-52</v>
      </c>
      <c r="S112" s="1">
        <f t="shared" si="126"/>
        <v>-52</v>
      </c>
      <c r="T112" s="4">
        <f t="shared" si="127"/>
        <v>-53</v>
      </c>
      <c r="V112" s="3">
        <f t="shared" si="128"/>
        <v>-63</v>
      </c>
      <c r="W112" s="1">
        <f t="shared" si="129"/>
        <v>-63</v>
      </c>
      <c r="X112" s="1">
        <f t="shared" si="130"/>
        <v>-61</v>
      </c>
      <c r="Y112" s="1">
        <f t="shared" si="131"/>
        <v>-59</v>
      </c>
      <c r="Z112" s="1">
        <f t="shared" si="132"/>
        <v>-61</v>
      </c>
      <c r="AA112" s="1">
        <f t="shared" si="133"/>
        <v>-59</v>
      </c>
      <c r="AB112" s="1">
        <f t="shared" si="134"/>
        <v>-61</v>
      </c>
      <c r="AC112" s="4">
        <f t="shared" si="135"/>
        <v>-62</v>
      </c>
      <c r="AE112" s="3">
        <f t="shared" si="136"/>
        <v>-59</v>
      </c>
      <c r="AF112" s="1">
        <f t="shared" si="137"/>
        <v>-59</v>
      </c>
      <c r="AG112" s="1">
        <f t="shared" si="138"/>
        <v>-57</v>
      </c>
      <c r="AH112" s="1">
        <f t="shared" si="139"/>
        <v>-56</v>
      </c>
      <c r="AI112" s="1">
        <f t="shared" si="140"/>
        <v>-55</v>
      </c>
      <c r="AJ112" s="1">
        <f t="shared" si="141"/>
        <v>-53</v>
      </c>
      <c r="AK112" s="1">
        <f t="shared" si="142"/>
        <v>-54</v>
      </c>
      <c r="AL112" s="4">
        <f t="shared" si="143"/>
        <v>-55</v>
      </c>
      <c r="AN112" s="3">
        <f t="shared" si="144"/>
        <v>-63</v>
      </c>
      <c r="AO112" s="1">
        <f t="shared" si="145"/>
        <v>-63</v>
      </c>
      <c r="AP112" s="1">
        <f t="shared" si="146"/>
        <v>-62</v>
      </c>
      <c r="AQ112" s="1">
        <f t="shared" si="147"/>
        <v>-61</v>
      </c>
      <c r="AR112" s="1">
        <f t="shared" si="148"/>
        <v>-60</v>
      </c>
      <c r="AS112" s="1">
        <f t="shared" si="149"/>
        <v>-58</v>
      </c>
      <c r="AT112" s="1">
        <f t="shared" si="150"/>
        <v>-58</v>
      </c>
      <c r="AU112" s="4">
        <f t="shared" si="151"/>
        <v>-58</v>
      </c>
      <c r="AW112" s="3">
        <f t="shared" si="152"/>
        <v>-65</v>
      </c>
      <c r="AX112" s="1">
        <f t="shared" si="153"/>
        <v>-65</v>
      </c>
      <c r="AY112" s="1">
        <f t="shared" si="154"/>
        <v>-65</v>
      </c>
      <c r="AZ112" s="1">
        <f t="shared" si="155"/>
        <v>-63</v>
      </c>
      <c r="BA112" s="1">
        <f t="shared" si="156"/>
        <v>-62</v>
      </c>
      <c r="BB112" s="1">
        <f t="shared" si="157"/>
        <v>-60</v>
      </c>
      <c r="BC112" s="1">
        <f t="shared" si="158"/>
        <v>-60</v>
      </c>
      <c r="BD112" s="4">
        <f t="shared" si="159"/>
        <v>-60</v>
      </c>
      <c r="BF112" s="3">
        <v>-6</v>
      </c>
      <c r="BG112" s="1">
        <v>-6</v>
      </c>
      <c r="BH112" s="1">
        <v>-6</v>
      </c>
      <c r="BI112" s="1">
        <v>-5</v>
      </c>
      <c r="BJ112" s="1">
        <v>-5</v>
      </c>
      <c r="BK112" s="1">
        <v>-4</v>
      </c>
      <c r="BL112" s="1">
        <v>-6</v>
      </c>
      <c r="BM112" s="4">
        <v>-6</v>
      </c>
      <c r="BO112" s="3">
        <v>-9</v>
      </c>
      <c r="BP112" s="1">
        <v>-9</v>
      </c>
      <c r="BQ112" s="1">
        <v>-10</v>
      </c>
      <c r="BR112" s="1">
        <v>-9</v>
      </c>
      <c r="BS112" s="1">
        <v>-9</v>
      </c>
      <c r="BT112" s="1">
        <v>-7</v>
      </c>
      <c r="BU112" s="1">
        <v>-9</v>
      </c>
      <c r="BV112" s="4">
        <v>-9</v>
      </c>
      <c r="BX112" s="3">
        <v>-11</v>
      </c>
      <c r="BY112" s="1">
        <v>-11</v>
      </c>
      <c r="BZ112" s="1">
        <v>-12</v>
      </c>
      <c r="CA112" s="1">
        <v>-11</v>
      </c>
      <c r="CB112" s="1">
        <v>-8</v>
      </c>
      <c r="CC112" s="1">
        <v>-5</v>
      </c>
      <c r="CD112" s="1">
        <v>-8</v>
      </c>
      <c r="CE112" s="4">
        <v>-8</v>
      </c>
      <c r="CG112" s="3">
        <v>-4</v>
      </c>
      <c r="CH112" s="1">
        <v>-4</v>
      </c>
      <c r="CI112" s="1">
        <v>-5</v>
      </c>
      <c r="CJ112" s="1">
        <v>-5</v>
      </c>
      <c r="CK112" s="1">
        <v>-5</v>
      </c>
      <c r="CL112" s="1">
        <v>-5</v>
      </c>
      <c r="CM112" s="1">
        <v>-4</v>
      </c>
      <c r="CN112" s="4">
        <v>-3</v>
      </c>
      <c r="CP112" s="3">
        <v>-6</v>
      </c>
      <c r="CQ112" s="1">
        <v>-6</v>
      </c>
      <c r="CR112" s="1">
        <v>-8</v>
      </c>
      <c r="CS112" s="1">
        <v>-7</v>
      </c>
      <c r="CT112" s="1">
        <v>-7</v>
      </c>
      <c r="CU112" s="1">
        <v>-7</v>
      </c>
      <c r="CV112" s="1">
        <v>-6</v>
      </c>
      <c r="CW112" s="4">
        <v>-5</v>
      </c>
    </row>
    <row r="113" spans="1:101">
      <c r="A113" s="8" t="str">
        <f>VLOOKUP(B113,List!W:X,2,1)</f>
        <v>0.70 - 0.79</v>
      </c>
      <c r="B113" s="8">
        <v>0.7</v>
      </c>
      <c r="C113" s="8" t="s">
        <v>14</v>
      </c>
      <c r="D113" s="3">
        <v>-49</v>
      </c>
      <c r="E113" s="1">
        <v>-49</v>
      </c>
      <c r="F113" s="1">
        <v>-46</v>
      </c>
      <c r="G113" s="1">
        <v>-46</v>
      </c>
      <c r="H113" s="1">
        <v>-49</v>
      </c>
      <c r="I113" s="1">
        <v>-48</v>
      </c>
      <c r="J113" s="1">
        <v>-48</v>
      </c>
      <c r="K113" s="4">
        <v>-48</v>
      </c>
      <c r="M113" s="3">
        <f t="shared" si="120"/>
        <v>-57</v>
      </c>
      <c r="N113" s="1">
        <f t="shared" si="121"/>
        <v>-57</v>
      </c>
      <c r="O113" s="1">
        <f t="shared" si="122"/>
        <v>-55</v>
      </c>
      <c r="P113" s="1">
        <f t="shared" si="123"/>
        <v>-55</v>
      </c>
      <c r="Q113" s="1">
        <f t="shared" si="124"/>
        <v>-55</v>
      </c>
      <c r="R113" s="1">
        <f t="shared" si="125"/>
        <v>-53</v>
      </c>
      <c r="S113" s="1">
        <f t="shared" si="126"/>
        <v>-54</v>
      </c>
      <c r="T113" s="4">
        <f t="shared" si="127"/>
        <v>-55</v>
      </c>
      <c r="V113" s="3">
        <f t="shared" si="128"/>
        <v>-67</v>
      </c>
      <c r="W113" s="1">
        <f t="shared" si="129"/>
        <v>-67</v>
      </c>
      <c r="X113" s="1">
        <f t="shared" si="130"/>
        <v>-67</v>
      </c>
      <c r="Y113" s="1">
        <f t="shared" si="131"/>
        <v>-67</v>
      </c>
      <c r="Z113" s="1">
        <f t="shared" si="132"/>
        <v>-64</v>
      </c>
      <c r="AA113" s="1">
        <f t="shared" si="133"/>
        <v>-62</v>
      </c>
      <c r="AB113" s="1">
        <f t="shared" si="134"/>
        <v>-62</v>
      </c>
      <c r="AC113" s="4">
        <f t="shared" si="135"/>
        <v>-64</v>
      </c>
      <c r="AE113" s="3">
        <f t="shared" si="136"/>
        <v>-60</v>
      </c>
      <c r="AF113" s="1">
        <f t="shared" si="137"/>
        <v>-60</v>
      </c>
      <c r="AG113" s="1">
        <f t="shared" si="138"/>
        <v>-60</v>
      </c>
      <c r="AH113" s="1">
        <f t="shared" si="139"/>
        <v>-59</v>
      </c>
      <c r="AI113" s="1">
        <f t="shared" si="140"/>
        <v>-58</v>
      </c>
      <c r="AJ113" s="1">
        <f t="shared" si="141"/>
        <v>-55</v>
      </c>
      <c r="AK113" s="1">
        <f t="shared" si="142"/>
        <v>-55</v>
      </c>
      <c r="AL113" s="4">
        <f t="shared" si="143"/>
        <v>-56</v>
      </c>
      <c r="AN113" s="3">
        <f t="shared" si="144"/>
        <v>-65</v>
      </c>
      <c r="AO113" s="1">
        <f t="shared" si="145"/>
        <v>-65</v>
      </c>
      <c r="AP113" s="1">
        <f t="shared" si="146"/>
        <v>-64</v>
      </c>
      <c r="AQ113" s="1">
        <f t="shared" si="147"/>
        <v>-64</v>
      </c>
      <c r="AR113" s="1">
        <f t="shared" si="148"/>
        <v>-63</v>
      </c>
      <c r="AS113" s="1">
        <f t="shared" si="149"/>
        <v>-60</v>
      </c>
      <c r="AT113" s="1">
        <f t="shared" si="150"/>
        <v>-59</v>
      </c>
      <c r="AU113" s="4">
        <f t="shared" si="151"/>
        <v>-60</v>
      </c>
      <c r="AW113" s="3">
        <f t="shared" si="152"/>
        <v>-68</v>
      </c>
      <c r="AX113" s="1">
        <f t="shared" si="153"/>
        <v>-68</v>
      </c>
      <c r="AY113" s="1">
        <f t="shared" si="154"/>
        <v>-66</v>
      </c>
      <c r="AZ113" s="1">
        <f t="shared" si="155"/>
        <v>-66</v>
      </c>
      <c r="BA113" s="1">
        <f t="shared" si="156"/>
        <v>-65</v>
      </c>
      <c r="BB113" s="1">
        <f t="shared" si="157"/>
        <v>-62</v>
      </c>
      <c r="BC113" s="1">
        <f t="shared" si="158"/>
        <v>-62</v>
      </c>
      <c r="BD113" s="4">
        <f t="shared" si="159"/>
        <v>-62</v>
      </c>
      <c r="BF113" s="3">
        <v>-8</v>
      </c>
      <c r="BG113" s="1">
        <v>-8</v>
      </c>
      <c r="BH113" s="1">
        <v>-9</v>
      </c>
      <c r="BI113" s="1">
        <v>-9</v>
      </c>
      <c r="BJ113" s="1">
        <v>-6</v>
      </c>
      <c r="BK113" s="1">
        <v>-5</v>
      </c>
      <c r="BL113" s="1">
        <v>-6</v>
      </c>
      <c r="BM113" s="4">
        <v>-7</v>
      </c>
      <c r="BO113" s="3">
        <v>-10</v>
      </c>
      <c r="BP113" s="1">
        <v>-10</v>
      </c>
      <c r="BQ113" s="1">
        <v>-12</v>
      </c>
      <c r="BR113" s="1">
        <v>-12</v>
      </c>
      <c r="BS113" s="1">
        <v>-9</v>
      </c>
      <c r="BT113" s="1">
        <v>-9</v>
      </c>
      <c r="BU113" s="1">
        <v>-8</v>
      </c>
      <c r="BV113" s="4">
        <v>-9</v>
      </c>
      <c r="BX113" s="3">
        <v>-11</v>
      </c>
      <c r="BY113" s="1">
        <v>-11</v>
      </c>
      <c r="BZ113" s="1">
        <v>-14</v>
      </c>
      <c r="CA113" s="1">
        <v>-13</v>
      </c>
      <c r="CB113" s="1">
        <v>-9</v>
      </c>
      <c r="CC113" s="1">
        <v>-7</v>
      </c>
      <c r="CD113" s="1">
        <v>-7</v>
      </c>
      <c r="CE113" s="4">
        <v>-8</v>
      </c>
      <c r="CG113" s="3">
        <v>-5</v>
      </c>
      <c r="CH113" s="1">
        <v>-5</v>
      </c>
      <c r="CI113" s="1">
        <v>-4</v>
      </c>
      <c r="CJ113" s="1">
        <v>-5</v>
      </c>
      <c r="CK113" s="1">
        <v>-5</v>
      </c>
      <c r="CL113" s="1">
        <v>-5</v>
      </c>
      <c r="CM113" s="1">
        <v>-4</v>
      </c>
      <c r="CN113" s="4">
        <v>-4</v>
      </c>
      <c r="CP113" s="3">
        <v>-8</v>
      </c>
      <c r="CQ113" s="1">
        <v>-8</v>
      </c>
      <c r="CR113" s="1">
        <v>-6</v>
      </c>
      <c r="CS113" s="1">
        <v>-7</v>
      </c>
      <c r="CT113" s="1">
        <v>-7</v>
      </c>
      <c r="CU113" s="1">
        <v>-7</v>
      </c>
      <c r="CV113" s="1">
        <v>-7</v>
      </c>
      <c r="CW113" s="4">
        <v>-6</v>
      </c>
    </row>
    <row r="114" spans="1:101">
      <c r="A114" s="8" t="str">
        <f>VLOOKUP(B114,List!W:X,2,1)</f>
        <v>0.70 - 0.79</v>
      </c>
      <c r="B114" s="8">
        <v>0.7</v>
      </c>
      <c r="C114" s="8" t="s">
        <v>15</v>
      </c>
      <c r="D114" s="3">
        <v>-53</v>
      </c>
      <c r="E114" s="1">
        <v>-53</v>
      </c>
      <c r="F114" s="1">
        <v>-53</v>
      </c>
      <c r="G114" s="1">
        <v>-52</v>
      </c>
      <c r="H114" s="1">
        <v>-52</v>
      </c>
      <c r="I114" s="1">
        <v>-53</v>
      </c>
      <c r="J114" s="1">
        <v>-53</v>
      </c>
      <c r="K114" s="4">
        <v>-52</v>
      </c>
      <c r="M114" s="3">
        <f t="shared" si="120"/>
        <v>-57</v>
      </c>
      <c r="N114" s="1">
        <f t="shared" si="121"/>
        <v>-57</v>
      </c>
      <c r="O114" s="1">
        <f t="shared" si="122"/>
        <v>-58</v>
      </c>
      <c r="P114" s="1">
        <f t="shared" si="123"/>
        <v>-57</v>
      </c>
      <c r="Q114" s="1">
        <f t="shared" si="124"/>
        <v>-57</v>
      </c>
      <c r="R114" s="1">
        <f t="shared" si="125"/>
        <v>-58</v>
      </c>
      <c r="S114" s="1">
        <f t="shared" si="126"/>
        <v>-57</v>
      </c>
      <c r="T114" s="4">
        <f t="shared" si="127"/>
        <v>-57</v>
      </c>
      <c r="V114" s="3">
        <f t="shared" si="128"/>
        <v>-64</v>
      </c>
      <c r="W114" s="1">
        <f t="shared" si="129"/>
        <v>-64</v>
      </c>
      <c r="X114" s="1">
        <f t="shared" si="130"/>
        <v>-67</v>
      </c>
      <c r="Y114" s="1">
        <f t="shared" si="131"/>
        <v>-65</v>
      </c>
      <c r="Z114" s="1">
        <f t="shared" si="132"/>
        <v>-66</v>
      </c>
      <c r="AA114" s="1">
        <f t="shared" si="133"/>
        <v>-67</v>
      </c>
      <c r="AB114" s="1">
        <f t="shared" si="134"/>
        <v>-65</v>
      </c>
      <c r="AC114" s="4">
        <f t="shared" si="135"/>
        <v>-65</v>
      </c>
      <c r="AE114" s="3">
        <f t="shared" si="136"/>
        <v>-61</v>
      </c>
      <c r="AF114" s="1">
        <f t="shared" si="137"/>
        <v>-61</v>
      </c>
      <c r="AG114" s="1">
        <f t="shared" si="138"/>
        <v>-61</v>
      </c>
      <c r="AH114" s="1">
        <f t="shared" si="139"/>
        <v>-61</v>
      </c>
      <c r="AI114" s="1">
        <f t="shared" si="140"/>
        <v>-61</v>
      </c>
      <c r="AJ114" s="1">
        <f t="shared" si="141"/>
        <v>-60</v>
      </c>
      <c r="AK114" s="1">
        <f t="shared" si="142"/>
        <v>-61</v>
      </c>
      <c r="AL114" s="4">
        <f t="shared" si="143"/>
        <v>-60</v>
      </c>
      <c r="AN114" s="3">
        <f t="shared" si="144"/>
        <v>-64</v>
      </c>
      <c r="AO114" s="1">
        <f t="shared" si="145"/>
        <v>-64</v>
      </c>
      <c r="AP114" s="1">
        <f t="shared" si="146"/>
        <v>-64</v>
      </c>
      <c r="AQ114" s="1">
        <f t="shared" si="147"/>
        <v>-64</v>
      </c>
      <c r="AR114" s="1">
        <f t="shared" si="148"/>
        <v>-63</v>
      </c>
      <c r="AS114" s="1">
        <f t="shared" si="149"/>
        <v>-63</v>
      </c>
      <c r="AT114" s="1">
        <f t="shared" si="150"/>
        <v>-63</v>
      </c>
      <c r="AU114" s="4">
        <f t="shared" si="151"/>
        <v>-62</v>
      </c>
      <c r="AW114" s="3">
        <f t="shared" si="152"/>
        <v>-66</v>
      </c>
      <c r="AX114" s="1">
        <f t="shared" si="153"/>
        <v>-66</v>
      </c>
      <c r="AY114" s="1">
        <f t="shared" si="154"/>
        <v>-66</v>
      </c>
      <c r="AZ114" s="1">
        <f t="shared" si="155"/>
        <v>-66</v>
      </c>
      <c r="BA114" s="1">
        <f t="shared" si="156"/>
        <v>-66</v>
      </c>
      <c r="BB114" s="1">
        <f t="shared" si="157"/>
        <v>-65</v>
      </c>
      <c r="BC114" s="1">
        <f t="shared" si="158"/>
        <v>-65</v>
      </c>
      <c r="BD114" s="4">
        <f t="shared" si="159"/>
        <v>-64</v>
      </c>
      <c r="BF114" s="3">
        <v>-4</v>
      </c>
      <c r="BG114" s="1">
        <v>-4</v>
      </c>
      <c r="BH114" s="1">
        <v>-5</v>
      </c>
      <c r="BI114" s="1">
        <v>-5</v>
      </c>
      <c r="BJ114" s="1">
        <v>-5</v>
      </c>
      <c r="BK114" s="1">
        <v>-5</v>
      </c>
      <c r="BL114" s="1">
        <v>-4</v>
      </c>
      <c r="BM114" s="4">
        <v>-5</v>
      </c>
      <c r="BO114" s="3">
        <v>-7</v>
      </c>
      <c r="BP114" s="1">
        <v>-7</v>
      </c>
      <c r="BQ114" s="1">
        <v>-9</v>
      </c>
      <c r="BR114" s="1">
        <v>-8</v>
      </c>
      <c r="BS114" s="1">
        <v>-9</v>
      </c>
      <c r="BT114" s="1">
        <v>-9</v>
      </c>
      <c r="BU114" s="1">
        <v>-8</v>
      </c>
      <c r="BV114" s="4">
        <v>-8</v>
      </c>
      <c r="BX114" s="3">
        <v>-8</v>
      </c>
      <c r="BY114" s="1">
        <v>-8</v>
      </c>
      <c r="BZ114" s="1">
        <v>-8</v>
      </c>
      <c r="CA114" s="1">
        <v>-9</v>
      </c>
      <c r="CB114" s="1">
        <v>-9</v>
      </c>
      <c r="CC114" s="1">
        <v>-7</v>
      </c>
      <c r="CD114" s="1">
        <v>-8</v>
      </c>
      <c r="CE114" s="4">
        <v>-8</v>
      </c>
      <c r="CG114" s="3">
        <v>-3</v>
      </c>
      <c r="CH114" s="1">
        <v>-3</v>
      </c>
      <c r="CI114" s="1">
        <v>-3</v>
      </c>
      <c r="CJ114" s="1">
        <v>-3</v>
      </c>
      <c r="CK114" s="1">
        <v>-2</v>
      </c>
      <c r="CL114" s="1">
        <v>-3</v>
      </c>
      <c r="CM114" s="1">
        <v>-2</v>
      </c>
      <c r="CN114" s="4">
        <v>-2</v>
      </c>
      <c r="CP114" s="3">
        <v>-5</v>
      </c>
      <c r="CQ114" s="1">
        <v>-5</v>
      </c>
      <c r="CR114" s="1">
        <v>-5</v>
      </c>
      <c r="CS114" s="1">
        <v>-5</v>
      </c>
      <c r="CT114" s="1">
        <v>-5</v>
      </c>
      <c r="CU114" s="1">
        <v>-5</v>
      </c>
      <c r="CV114" s="1">
        <v>-4</v>
      </c>
      <c r="CW114" s="4">
        <v>-4</v>
      </c>
    </row>
    <row r="115" spans="1:101">
      <c r="A115" s="8" t="str">
        <f>VLOOKUP(B115,List!W:X,2,1)</f>
        <v>0.80 - 0.89</v>
      </c>
      <c r="B115" s="8">
        <v>0.8</v>
      </c>
      <c r="C115" s="8" t="s">
        <v>8</v>
      </c>
      <c r="D115" s="3">
        <v>-40</v>
      </c>
      <c r="E115" s="1">
        <v>-40</v>
      </c>
      <c r="F115" s="1">
        <v>-38</v>
      </c>
      <c r="G115" s="1">
        <v>-40</v>
      </c>
      <c r="H115" s="1">
        <v>-37</v>
      </c>
      <c r="I115" s="1">
        <v>-35</v>
      </c>
      <c r="J115" s="1">
        <v>-40</v>
      </c>
      <c r="K115" s="4">
        <v>-39</v>
      </c>
      <c r="M115" s="3">
        <f t="shared" si="120"/>
        <v>-44</v>
      </c>
      <c r="N115" s="1">
        <f t="shared" si="121"/>
        <v>-44</v>
      </c>
      <c r="O115" s="1">
        <f t="shared" si="122"/>
        <v>-44</v>
      </c>
      <c r="P115" s="1">
        <f t="shared" si="123"/>
        <v>-45</v>
      </c>
      <c r="Q115" s="1">
        <f t="shared" si="124"/>
        <v>-44</v>
      </c>
      <c r="R115" s="1">
        <f t="shared" si="125"/>
        <v>-42</v>
      </c>
      <c r="S115" s="1">
        <f t="shared" si="126"/>
        <v>-46</v>
      </c>
      <c r="T115" s="4">
        <f t="shared" si="127"/>
        <v>-46</v>
      </c>
      <c r="V115" s="3">
        <f t="shared" si="128"/>
        <v>-52</v>
      </c>
      <c r="W115" s="1">
        <f t="shared" si="129"/>
        <v>-52</v>
      </c>
      <c r="X115" s="1">
        <f t="shared" si="130"/>
        <v>-57</v>
      </c>
      <c r="Y115" s="1">
        <f t="shared" si="131"/>
        <v>-55</v>
      </c>
      <c r="Z115" s="1">
        <f t="shared" si="132"/>
        <v>-57</v>
      </c>
      <c r="AA115" s="1">
        <f t="shared" si="133"/>
        <v>-55</v>
      </c>
      <c r="AB115" s="1">
        <f t="shared" si="134"/>
        <v>-58</v>
      </c>
      <c r="AC115" s="4">
        <f t="shared" si="135"/>
        <v>-59</v>
      </c>
      <c r="AE115" s="3">
        <f t="shared" si="136"/>
        <v>-46</v>
      </c>
      <c r="AF115" s="1">
        <f t="shared" si="137"/>
        <v>-46</v>
      </c>
      <c r="AG115" s="1">
        <f t="shared" si="138"/>
        <v>-45</v>
      </c>
      <c r="AH115" s="1">
        <f t="shared" si="139"/>
        <v>-46</v>
      </c>
      <c r="AI115" s="1">
        <f t="shared" si="140"/>
        <v>-45</v>
      </c>
      <c r="AJ115" s="1">
        <f t="shared" si="141"/>
        <v>-43</v>
      </c>
      <c r="AK115" s="1">
        <f t="shared" si="142"/>
        <v>-49</v>
      </c>
      <c r="AL115" s="4">
        <f t="shared" si="143"/>
        <v>-48</v>
      </c>
      <c r="AN115" s="3">
        <f t="shared" si="144"/>
        <v>-49</v>
      </c>
      <c r="AO115" s="1">
        <f t="shared" si="145"/>
        <v>-49</v>
      </c>
      <c r="AP115" s="1">
        <f t="shared" si="146"/>
        <v>-50</v>
      </c>
      <c r="AQ115" s="1">
        <f t="shared" si="147"/>
        <v>-51</v>
      </c>
      <c r="AR115" s="1">
        <f t="shared" si="148"/>
        <v>-50</v>
      </c>
      <c r="AS115" s="1">
        <f t="shared" si="149"/>
        <v>-48</v>
      </c>
      <c r="AT115" s="1">
        <f t="shared" si="150"/>
        <v>-53</v>
      </c>
      <c r="AU115" s="4">
        <f t="shared" si="151"/>
        <v>-52</v>
      </c>
      <c r="AW115" s="3">
        <f t="shared" si="152"/>
        <v>-54</v>
      </c>
      <c r="AX115" s="1">
        <f t="shared" si="153"/>
        <v>-54</v>
      </c>
      <c r="AY115" s="1">
        <f t="shared" si="154"/>
        <v>-57</v>
      </c>
      <c r="AZ115" s="1">
        <f t="shared" si="155"/>
        <v>-57</v>
      </c>
      <c r="BA115" s="1">
        <f t="shared" si="156"/>
        <v>-55</v>
      </c>
      <c r="BB115" s="1">
        <f t="shared" si="157"/>
        <v>-54</v>
      </c>
      <c r="BC115" s="1">
        <f t="shared" si="158"/>
        <v>-57</v>
      </c>
      <c r="BD115" s="4">
        <f t="shared" si="159"/>
        <v>-58</v>
      </c>
      <c r="BF115" s="3">
        <v>-4</v>
      </c>
      <c r="BG115" s="1">
        <v>-4</v>
      </c>
      <c r="BH115" s="1">
        <v>-6</v>
      </c>
      <c r="BI115" s="1">
        <v>-5</v>
      </c>
      <c r="BJ115" s="1">
        <v>-7</v>
      </c>
      <c r="BK115" s="1">
        <v>-7</v>
      </c>
      <c r="BL115" s="1">
        <v>-6</v>
      </c>
      <c r="BM115" s="4">
        <v>-7</v>
      </c>
      <c r="BO115" s="3">
        <v>-8</v>
      </c>
      <c r="BP115" s="1">
        <v>-8</v>
      </c>
      <c r="BQ115" s="1">
        <v>-13</v>
      </c>
      <c r="BR115" s="1">
        <v>-10</v>
      </c>
      <c r="BS115" s="1">
        <v>-13</v>
      </c>
      <c r="BT115" s="1">
        <v>-13</v>
      </c>
      <c r="BU115" s="1">
        <v>-12</v>
      </c>
      <c r="BV115" s="4">
        <v>-13</v>
      </c>
      <c r="BX115" s="3">
        <v>-6</v>
      </c>
      <c r="BY115" s="1">
        <v>-6</v>
      </c>
      <c r="BZ115" s="1">
        <v>-7</v>
      </c>
      <c r="CA115" s="1">
        <v>-6</v>
      </c>
      <c r="CB115" s="1">
        <v>-8</v>
      </c>
      <c r="CC115" s="1">
        <v>-8</v>
      </c>
      <c r="CD115" s="1">
        <v>-9</v>
      </c>
      <c r="CE115" s="4">
        <v>-9</v>
      </c>
      <c r="CG115" s="3">
        <v>-3</v>
      </c>
      <c r="CH115" s="1">
        <v>-3</v>
      </c>
      <c r="CI115" s="1">
        <v>-5</v>
      </c>
      <c r="CJ115" s="1">
        <v>-5</v>
      </c>
      <c r="CK115" s="1">
        <v>-5</v>
      </c>
      <c r="CL115" s="1">
        <v>-5</v>
      </c>
      <c r="CM115" s="1">
        <v>-4</v>
      </c>
      <c r="CN115" s="4">
        <v>-4</v>
      </c>
      <c r="CP115" s="3">
        <v>-8</v>
      </c>
      <c r="CQ115" s="1">
        <v>-8</v>
      </c>
      <c r="CR115" s="1">
        <v>-12</v>
      </c>
      <c r="CS115" s="1">
        <v>-11</v>
      </c>
      <c r="CT115" s="1">
        <v>-10</v>
      </c>
      <c r="CU115" s="1">
        <v>-11</v>
      </c>
      <c r="CV115" s="1">
        <v>-8</v>
      </c>
      <c r="CW115" s="4">
        <v>-10</v>
      </c>
    </row>
    <row r="116" spans="1:101">
      <c r="A116" s="8" t="str">
        <f>VLOOKUP(B116,List!W:X,2,1)</f>
        <v>0.80 - 0.89</v>
      </c>
      <c r="B116" s="8">
        <v>0.8</v>
      </c>
      <c r="C116" s="8" t="s">
        <v>9</v>
      </c>
      <c r="D116" s="3">
        <v>-37</v>
      </c>
      <c r="E116" s="1">
        <v>-37</v>
      </c>
      <c r="F116" s="1">
        <v>-35</v>
      </c>
      <c r="G116" s="1">
        <v>-40</v>
      </c>
      <c r="H116" s="1">
        <v>-37</v>
      </c>
      <c r="I116" s="1">
        <v>-36</v>
      </c>
      <c r="J116" s="1">
        <v>-41</v>
      </c>
      <c r="K116" s="4">
        <v>-39</v>
      </c>
      <c r="M116" s="3">
        <f t="shared" si="120"/>
        <v>-46</v>
      </c>
      <c r="N116" s="1">
        <f t="shared" si="121"/>
        <v>-46</v>
      </c>
      <c r="O116" s="1">
        <f t="shared" si="122"/>
        <v>-45</v>
      </c>
      <c r="P116" s="1">
        <f t="shared" si="123"/>
        <v>-47</v>
      </c>
      <c r="Q116" s="1">
        <f t="shared" si="124"/>
        <v>-43</v>
      </c>
      <c r="R116" s="1">
        <f t="shared" si="125"/>
        <v>-43</v>
      </c>
      <c r="S116" s="1">
        <f t="shared" si="126"/>
        <v>-47</v>
      </c>
      <c r="T116" s="4">
        <f t="shared" si="127"/>
        <v>-46</v>
      </c>
      <c r="V116" s="3">
        <f t="shared" si="128"/>
        <v>-60</v>
      </c>
      <c r="W116" s="1">
        <f t="shared" si="129"/>
        <v>-60</v>
      </c>
      <c r="X116" s="1">
        <f t="shared" si="130"/>
        <v>-62</v>
      </c>
      <c r="Y116" s="1">
        <f t="shared" si="131"/>
        <v>-59</v>
      </c>
      <c r="Z116" s="1">
        <f t="shared" si="132"/>
        <v>-56</v>
      </c>
      <c r="AA116" s="1">
        <f t="shared" si="133"/>
        <v>-55</v>
      </c>
      <c r="AB116" s="1">
        <f t="shared" si="134"/>
        <v>-58</v>
      </c>
      <c r="AC116" s="4">
        <f t="shared" si="135"/>
        <v>-59</v>
      </c>
      <c r="AE116" s="3">
        <f t="shared" si="136"/>
        <v>-46</v>
      </c>
      <c r="AF116" s="1">
        <f t="shared" si="137"/>
        <v>-46</v>
      </c>
      <c r="AG116" s="1">
        <f t="shared" si="138"/>
        <v>-47</v>
      </c>
      <c r="AH116" s="1">
        <f t="shared" si="139"/>
        <v>-47</v>
      </c>
      <c r="AI116" s="1">
        <f t="shared" si="140"/>
        <v>-46</v>
      </c>
      <c r="AJ116" s="1">
        <f t="shared" si="141"/>
        <v>-44</v>
      </c>
      <c r="AK116" s="1">
        <f t="shared" si="142"/>
        <v>-50</v>
      </c>
      <c r="AL116" s="4">
        <f t="shared" si="143"/>
        <v>-49</v>
      </c>
      <c r="AN116" s="3">
        <f t="shared" si="144"/>
        <v>-51</v>
      </c>
      <c r="AO116" s="1">
        <f t="shared" si="145"/>
        <v>-51</v>
      </c>
      <c r="AP116" s="1">
        <f t="shared" si="146"/>
        <v>-51</v>
      </c>
      <c r="AQ116" s="1">
        <f t="shared" si="147"/>
        <v>-52</v>
      </c>
      <c r="AR116" s="1">
        <f t="shared" si="148"/>
        <v>-51</v>
      </c>
      <c r="AS116" s="1">
        <f t="shared" si="149"/>
        <v>-49</v>
      </c>
      <c r="AT116" s="1">
        <f t="shared" si="150"/>
        <v>-53</v>
      </c>
      <c r="AU116" s="4">
        <f t="shared" si="151"/>
        <v>-53</v>
      </c>
      <c r="AW116" s="3">
        <f t="shared" si="152"/>
        <v>-56</v>
      </c>
      <c r="AX116" s="1">
        <f t="shared" si="153"/>
        <v>-56</v>
      </c>
      <c r="AY116" s="1">
        <f t="shared" si="154"/>
        <v>-57</v>
      </c>
      <c r="AZ116" s="1">
        <f t="shared" si="155"/>
        <v>-58</v>
      </c>
      <c r="BA116" s="1">
        <f t="shared" si="156"/>
        <v>-57</v>
      </c>
      <c r="BB116" s="1">
        <f t="shared" si="157"/>
        <v>-54</v>
      </c>
      <c r="BC116" s="1">
        <f t="shared" si="158"/>
        <v>-57</v>
      </c>
      <c r="BD116" s="4">
        <f t="shared" si="159"/>
        <v>-57</v>
      </c>
      <c r="BF116" s="3">
        <v>-9</v>
      </c>
      <c r="BG116" s="1">
        <v>-9</v>
      </c>
      <c r="BH116" s="1">
        <v>-10</v>
      </c>
      <c r="BI116" s="1">
        <v>-7</v>
      </c>
      <c r="BJ116" s="1">
        <v>-6</v>
      </c>
      <c r="BK116" s="1">
        <v>-7</v>
      </c>
      <c r="BL116" s="1">
        <v>-6</v>
      </c>
      <c r="BM116" s="4">
        <v>-7</v>
      </c>
      <c r="BO116" s="3">
        <v>-14</v>
      </c>
      <c r="BP116" s="1">
        <v>-14</v>
      </c>
      <c r="BQ116" s="1">
        <v>-17</v>
      </c>
      <c r="BR116" s="1">
        <v>-12</v>
      </c>
      <c r="BS116" s="1">
        <v>-13</v>
      </c>
      <c r="BT116" s="1">
        <v>-12</v>
      </c>
      <c r="BU116" s="1">
        <v>-11</v>
      </c>
      <c r="BV116" s="4">
        <v>-13</v>
      </c>
      <c r="BX116" s="3">
        <v>-9</v>
      </c>
      <c r="BY116" s="1">
        <v>-9</v>
      </c>
      <c r="BZ116" s="1">
        <v>-12</v>
      </c>
      <c r="CA116" s="1">
        <v>-7</v>
      </c>
      <c r="CB116" s="1">
        <v>-9</v>
      </c>
      <c r="CC116" s="1">
        <v>-8</v>
      </c>
      <c r="CD116" s="1">
        <v>-9</v>
      </c>
      <c r="CE116" s="4">
        <v>-10</v>
      </c>
      <c r="CG116" s="3">
        <v>-5</v>
      </c>
      <c r="CH116" s="1">
        <v>-5</v>
      </c>
      <c r="CI116" s="1">
        <v>-4</v>
      </c>
      <c r="CJ116" s="1">
        <v>-5</v>
      </c>
      <c r="CK116" s="1">
        <v>-5</v>
      </c>
      <c r="CL116" s="1">
        <v>-5</v>
      </c>
      <c r="CM116" s="1">
        <v>-3</v>
      </c>
      <c r="CN116" s="4">
        <v>-4</v>
      </c>
      <c r="CP116" s="3">
        <v>-10</v>
      </c>
      <c r="CQ116" s="1">
        <v>-10</v>
      </c>
      <c r="CR116" s="1">
        <v>-10</v>
      </c>
      <c r="CS116" s="1">
        <v>-11</v>
      </c>
      <c r="CT116" s="1">
        <v>-11</v>
      </c>
      <c r="CU116" s="1">
        <v>-10</v>
      </c>
      <c r="CV116" s="1">
        <v>-7</v>
      </c>
      <c r="CW116" s="4">
        <v>-8</v>
      </c>
    </row>
    <row r="117" spans="1:101">
      <c r="A117" s="8" t="str">
        <f>VLOOKUP(B117,List!W:X,2,1)</f>
        <v>0.80 - 0.89</v>
      </c>
      <c r="B117" s="8">
        <v>0.8</v>
      </c>
      <c r="C117" s="8" t="s">
        <v>10</v>
      </c>
      <c r="D117" s="3">
        <v>-36</v>
      </c>
      <c r="E117" s="1">
        <v>-36</v>
      </c>
      <c r="F117" s="1">
        <v>-34</v>
      </c>
      <c r="G117" s="1">
        <v>-38</v>
      </c>
      <c r="H117" s="1">
        <v>-37</v>
      </c>
      <c r="I117" s="1">
        <v>-35</v>
      </c>
      <c r="J117" s="1">
        <v>-40</v>
      </c>
      <c r="K117" s="4">
        <v>-39</v>
      </c>
      <c r="M117" s="3">
        <f t="shared" si="120"/>
        <v>-47</v>
      </c>
      <c r="N117" s="1">
        <f t="shared" si="121"/>
        <v>-47</v>
      </c>
      <c r="O117" s="1">
        <f t="shared" si="122"/>
        <v>-47</v>
      </c>
      <c r="P117" s="1">
        <f t="shared" si="123"/>
        <v>-44</v>
      </c>
      <c r="Q117" s="1">
        <f t="shared" si="124"/>
        <v>-41</v>
      </c>
      <c r="R117" s="1">
        <f t="shared" si="125"/>
        <v>-41</v>
      </c>
      <c r="S117" s="1">
        <f t="shared" si="126"/>
        <v>-46</v>
      </c>
      <c r="T117" s="4">
        <f t="shared" si="127"/>
        <v>-46</v>
      </c>
      <c r="V117" s="3">
        <f t="shared" si="128"/>
        <v>-63</v>
      </c>
      <c r="W117" s="1">
        <f t="shared" si="129"/>
        <v>-63</v>
      </c>
      <c r="X117" s="1">
        <f t="shared" si="130"/>
        <v>-66</v>
      </c>
      <c r="Y117" s="1">
        <f t="shared" si="131"/>
        <v>-56</v>
      </c>
      <c r="Z117" s="1">
        <f t="shared" si="132"/>
        <v>-52</v>
      </c>
      <c r="AA117" s="1">
        <f t="shared" si="133"/>
        <v>-52</v>
      </c>
      <c r="AB117" s="1">
        <f t="shared" si="134"/>
        <v>-57</v>
      </c>
      <c r="AC117" s="4">
        <f t="shared" si="135"/>
        <v>-58</v>
      </c>
      <c r="AE117" s="3">
        <f t="shared" si="136"/>
        <v>-44</v>
      </c>
      <c r="AF117" s="1">
        <f t="shared" si="137"/>
        <v>-44</v>
      </c>
      <c r="AG117" s="1">
        <f t="shared" si="138"/>
        <v>-45</v>
      </c>
      <c r="AH117" s="1">
        <f t="shared" si="139"/>
        <v>-45</v>
      </c>
      <c r="AI117" s="1">
        <f t="shared" si="140"/>
        <v>-43</v>
      </c>
      <c r="AJ117" s="1">
        <f t="shared" si="141"/>
        <v>-42</v>
      </c>
      <c r="AK117" s="1">
        <f t="shared" si="142"/>
        <v>-49</v>
      </c>
      <c r="AL117" s="4">
        <f t="shared" si="143"/>
        <v>-49</v>
      </c>
      <c r="AN117" s="3">
        <f t="shared" si="144"/>
        <v>-51</v>
      </c>
      <c r="AO117" s="1">
        <f t="shared" si="145"/>
        <v>-51</v>
      </c>
      <c r="AP117" s="1">
        <f t="shared" si="146"/>
        <v>-52</v>
      </c>
      <c r="AQ117" s="1">
        <f t="shared" si="147"/>
        <v>-51</v>
      </c>
      <c r="AR117" s="1">
        <f t="shared" si="148"/>
        <v>-49</v>
      </c>
      <c r="AS117" s="1">
        <f t="shared" si="149"/>
        <v>-47</v>
      </c>
      <c r="AT117" s="1">
        <f t="shared" si="150"/>
        <v>-52</v>
      </c>
      <c r="AU117" s="4">
        <f t="shared" si="151"/>
        <v>-53</v>
      </c>
      <c r="AW117" s="3">
        <f t="shared" si="152"/>
        <v>-57</v>
      </c>
      <c r="AX117" s="1">
        <f t="shared" si="153"/>
        <v>-57</v>
      </c>
      <c r="AY117" s="1">
        <f t="shared" si="154"/>
        <v>-58</v>
      </c>
      <c r="AZ117" s="1">
        <f t="shared" si="155"/>
        <v>-57</v>
      </c>
      <c r="BA117" s="1">
        <f t="shared" si="156"/>
        <v>-55</v>
      </c>
      <c r="BB117" s="1">
        <f t="shared" si="157"/>
        <v>-53</v>
      </c>
      <c r="BC117" s="1">
        <f t="shared" si="158"/>
        <v>-56</v>
      </c>
      <c r="BD117" s="4">
        <f t="shared" si="159"/>
        <v>-57</v>
      </c>
      <c r="BF117" s="3">
        <v>-11</v>
      </c>
      <c r="BG117" s="1">
        <v>-11</v>
      </c>
      <c r="BH117" s="1">
        <v>-13</v>
      </c>
      <c r="BI117" s="1">
        <v>-6</v>
      </c>
      <c r="BJ117" s="1">
        <v>-4</v>
      </c>
      <c r="BK117" s="1">
        <v>-6</v>
      </c>
      <c r="BL117" s="1">
        <v>-6</v>
      </c>
      <c r="BM117" s="4">
        <v>-7</v>
      </c>
      <c r="BO117" s="3">
        <v>-16</v>
      </c>
      <c r="BP117" s="1">
        <v>-16</v>
      </c>
      <c r="BQ117" s="1">
        <v>-19</v>
      </c>
      <c r="BR117" s="1">
        <v>-12</v>
      </c>
      <c r="BS117" s="1">
        <v>-11</v>
      </c>
      <c r="BT117" s="1">
        <v>-11</v>
      </c>
      <c r="BU117" s="1">
        <v>-11</v>
      </c>
      <c r="BV117" s="4">
        <v>-12</v>
      </c>
      <c r="BX117" s="3">
        <v>-8</v>
      </c>
      <c r="BY117" s="1">
        <v>-8</v>
      </c>
      <c r="BZ117" s="1">
        <v>-11</v>
      </c>
      <c r="CA117" s="1">
        <v>-7</v>
      </c>
      <c r="CB117" s="1">
        <v>-6</v>
      </c>
      <c r="CC117" s="1">
        <v>-7</v>
      </c>
      <c r="CD117" s="1">
        <v>-9</v>
      </c>
      <c r="CE117" s="4">
        <v>-10</v>
      </c>
      <c r="CG117" s="3">
        <v>-7</v>
      </c>
      <c r="CH117" s="1">
        <v>-7</v>
      </c>
      <c r="CI117" s="1">
        <v>-7</v>
      </c>
      <c r="CJ117" s="1">
        <v>-6</v>
      </c>
      <c r="CK117" s="1">
        <v>-6</v>
      </c>
      <c r="CL117" s="1">
        <v>-5</v>
      </c>
      <c r="CM117" s="1">
        <v>-3</v>
      </c>
      <c r="CN117" s="4">
        <v>-4</v>
      </c>
      <c r="CP117" s="3">
        <v>-13</v>
      </c>
      <c r="CQ117" s="1">
        <v>-13</v>
      </c>
      <c r="CR117" s="1">
        <v>-13</v>
      </c>
      <c r="CS117" s="1">
        <v>-12</v>
      </c>
      <c r="CT117" s="1">
        <v>-12</v>
      </c>
      <c r="CU117" s="1">
        <v>-11</v>
      </c>
      <c r="CV117" s="1">
        <v>-7</v>
      </c>
      <c r="CW117" s="4">
        <v>-8</v>
      </c>
    </row>
    <row r="118" spans="1:101">
      <c r="A118" s="8" t="str">
        <f>VLOOKUP(B118,List!W:X,2,1)</f>
        <v>0.80 - 0.89</v>
      </c>
      <c r="B118" s="8">
        <v>0.8</v>
      </c>
      <c r="C118" s="8" t="s">
        <v>11</v>
      </c>
      <c r="D118" s="3">
        <v>-41</v>
      </c>
      <c r="E118" s="1">
        <v>-41</v>
      </c>
      <c r="F118" s="1">
        <v>-37</v>
      </c>
      <c r="G118" s="1">
        <v>-39</v>
      </c>
      <c r="H118" s="1">
        <v>-36</v>
      </c>
      <c r="I118" s="1">
        <v>-36</v>
      </c>
      <c r="J118" s="1">
        <v>-39</v>
      </c>
      <c r="K118" s="4">
        <v>-40</v>
      </c>
      <c r="M118" s="3">
        <f t="shared" si="120"/>
        <v>-50</v>
      </c>
      <c r="N118" s="1">
        <f t="shared" si="121"/>
        <v>-50</v>
      </c>
      <c r="O118" s="1">
        <f t="shared" si="122"/>
        <v>-45</v>
      </c>
      <c r="P118" s="1">
        <f t="shared" si="123"/>
        <v>-44</v>
      </c>
      <c r="Q118" s="1">
        <f t="shared" si="124"/>
        <v>-42</v>
      </c>
      <c r="R118" s="1">
        <f t="shared" si="125"/>
        <v>-42</v>
      </c>
      <c r="S118" s="1">
        <f t="shared" si="126"/>
        <v>-45</v>
      </c>
      <c r="T118" s="4">
        <f t="shared" si="127"/>
        <v>-46</v>
      </c>
      <c r="V118" s="3">
        <f t="shared" si="128"/>
        <v>-63</v>
      </c>
      <c r="W118" s="1">
        <f t="shared" si="129"/>
        <v>-63</v>
      </c>
      <c r="X118" s="1">
        <f t="shared" si="130"/>
        <v>-59</v>
      </c>
      <c r="Y118" s="1">
        <f t="shared" si="131"/>
        <v>-54</v>
      </c>
      <c r="Z118" s="1">
        <f t="shared" si="132"/>
        <v>-53</v>
      </c>
      <c r="AA118" s="1">
        <f t="shared" si="133"/>
        <v>-52</v>
      </c>
      <c r="AB118" s="1">
        <f t="shared" si="134"/>
        <v>-55</v>
      </c>
      <c r="AC118" s="4">
        <f t="shared" si="135"/>
        <v>-56</v>
      </c>
      <c r="AE118" s="3">
        <f t="shared" si="136"/>
        <v>-47</v>
      </c>
      <c r="AF118" s="1">
        <f t="shared" si="137"/>
        <v>-47</v>
      </c>
      <c r="AG118" s="1">
        <f t="shared" si="138"/>
        <v>-48</v>
      </c>
      <c r="AH118" s="1">
        <f t="shared" si="139"/>
        <v>-47</v>
      </c>
      <c r="AI118" s="1">
        <f t="shared" si="140"/>
        <v>-44</v>
      </c>
      <c r="AJ118" s="1">
        <f t="shared" si="141"/>
        <v>-44</v>
      </c>
      <c r="AK118" s="1">
        <f t="shared" si="142"/>
        <v>-48</v>
      </c>
      <c r="AL118" s="4">
        <f t="shared" si="143"/>
        <v>-48</v>
      </c>
      <c r="AN118" s="3">
        <f t="shared" si="144"/>
        <v>-56</v>
      </c>
      <c r="AO118" s="1">
        <f t="shared" si="145"/>
        <v>-56</v>
      </c>
      <c r="AP118" s="1">
        <f t="shared" si="146"/>
        <v>-55</v>
      </c>
      <c r="AQ118" s="1">
        <f t="shared" si="147"/>
        <v>-52</v>
      </c>
      <c r="AR118" s="1">
        <f t="shared" si="148"/>
        <v>-49</v>
      </c>
      <c r="AS118" s="1">
        <f t="shared" si="149"/>
        <v>-47</v>
      </c>
      <c r="AT118" s="1">
        <f t="shared" si="150"/>
        <v>-51</v>
      </c>
      <c r="AU118" s="4">
        <f t="shared" si="151"/>
        <v>-51</v>
      </c>
      <c r="AW118" s="3">
        <f t="shared" si="152"/>
        <v>-60</v>
      </c>
      <c r="AX118" s="1">
        <f t="shared" si="153"/>
        <v>-60</v>
      </c>
      <c r="AY118" s="1">
        <f t="shared" si="154"/>
        <v>-59</v>
      </c>
      <c r="AZ118" s="1">
        <f t="shared" si="155"/>
        <v>-58</v>
      </c>
      <c r="BA118" s="1">
        <f t="shared" si="156"/>
        <v>-55</v>
      </c>
      <c r="BB118" s="1">
        <f t="shared" si="157"/>
        <v>-53</v>
      </c>
      <c r="BC118" s="1">
        <f t="shared" si="158"/>
        <v>-54</v>
      </c>
      <c r="BD118" s="4">
        <f t="shared" si="159"/>
        <v>-55</v>
      </c>
      <c r="BF118" s="3">
        <v>-9</v>
      </c>
      <c r="BG118" s="1">
        <v>-9</v>
      </c>
      <c r="BH118" s="1">
        <v>-8</v>
      </c>
      <c r="BI118" s="1">
        <v>-5</v>
      </c>
      <c r="BJ118" s="1">
        <v>-6</v>
      </c>
      <c r="BK118" s="1">
        <v>-6</v>
      </c>
      <c r="BL118" s="1">
        <v>-6</v>
      </c>
      <c r="BM118" s="4">
        <v>-6</v>
      </c>
      <c r="BO118" s="3">
        <v>-13</v>
      </c>
      <c r="BP118" s="1">
        <v>-13</v>
      </c>
      <c r="BQ118" s="1">
        <v>-14</v>
      </c>
      <c r="BR118" s="1">
        <v>-10</v>
      </c>
      <c r="BS118" s="1">
        <v>-11</v>
      </c>
      <c r="BT118" s="1">
        <v>-10</v>
      </c>
      <c r="BU118" s="1">
        <v>-10</v>
      </c>
      <c r="BV118" s="4">
        <v>-10</v>
      </c>
      <c r="BX118" s="3">
        <v>-6</v>
      </c>
      <c r="BY118" s="1">
        <v>-6</v>
      </c>
      <c r="BZ118" s="1">
        <v>-11</v>
      </c>
      <c r="CA118" s="1">
        <v>-8</v>
      </c>
      <c r="CB118" s="1">
        <v>-8</v>
      </c>
      <c r="CC118" s="1">
        <v>-8</v>
      </c>
      <c r="CD118" s="1">
        <v>-9</v>
      </c>
      <c r="CE118" s="4">
        <v>-8</v>
      </c>
      <c r="CG118" s="3">
        <v>-9</v>
      </c>
      <c r="CH118" s="1">
        <v>-9</v>
      </c>
      <c r="CI118" s="1">
        <v>-7</v>
      </c>
      <c r="CJ118" s="1">
        <v>-5</v>
      </c>
      <c r="CK118" s="1">
        <v>-5</v>
      </c>
      <c r="CL118" s="1">
        <v>-3</v>
      </c>
      <c r="CM118" s="1">
        <v>-3</v>
      </c>
      <c r="CN118" s="4">
        <v>-3</v>
      </c>
      <c r="CP118" s="3">
        <v>-13</v>
      </c>
      <c r="CQ118" s="1">
        <v>-13</v>
      </c>
      <c r="CR118" s="1">
        <v>-11</v>
      </c>
      <c r="CS118" s="1">
        <v>-11</v>
      </c>
      <c r="CT118" s="1">
        <v>-11</v>
      </c>
      <c r="CU118" s="1">
        <v>-9</v>
      </c>
      <c r="CV118" s="1">
        <v>-6</v>
      </c>
      <c r="CW118" s="4">
        <v>-7</v>
      </c>
    </row>
    <row r="119" spans="1:101">
      <c r="A119" s="8" t="str">
        <f>VLOOKUP(B119,List!W:X,2,1)</f>
        <v>0.80 - 0.89</v>
      </c>
      <c r="B119" s="8">
        <v>0.8</v>
      </c>
      <c r="C119" s="8" t="s">
        <v>12</v>
      </c>
      <c r="D119" s="3">
        <v>-38</v>
      </c>
      <c r="E119" s="1">
        <v>-38</v>
      </c>
      <c r="F119" s="1">
        <v>-37</v>
      </c>
      <c r="G119" s="1">
        <v>-35</v>
      </c>
      <c r="H119" s="1">
        <v>-37</v>
      </c>
      <c r="I119" s="1">
        <v>-36</v>
      </c>
      <c r="J119" s="1">
        <v>-40</v>
      </c>
      <c r="K119" s="4">
        <v>-40</v>
      </c>
      <c r="M119" s="3">
        <f t="shared" si="120"/>
        <v>-47</v>
      </c>
      <c r="N119" s="1">
        <f t="shared" si="121"/>
        <v>-47</v>
      </c>
      <c r="O119" s="1">
        <f t="shared" si="122"/>
        <v>-47</v>
      </c>
      <c r="P119" s="1">
        <f t="shared" si="123"/>
        <v>-44</v>
      </c>
      <c r="Q119" s="1">
        <f t="shared" si="124"/>
        <v>-42</v>
      </c>
      <c r="R119" s="1">
        <f t="shared" si="125"/>
        <v>-43</v>
      </c>
      <c r="S119" s="1">
        <f t="shared" si="126"/>
        <v>-45</v>
      </c>
      <c r="T119" s="4">
        <f t="shared" si="127"/>
        <v>-46</v>
      </c>
      <c r="V119" s="3">
        <f t="shared" si="128"/>
        <v>-61</v>
      </c>
      <c r="W119" s="1">
        <f t="shared" si="129"/>
        <v>-61</v>
      </c>
      <c r="X119" s="1">
        <f t="shared" si="130"/>
        <v>-61</v>
      </c>
      <c r="Y119" s="1">
        <f t="shared" si="131"/>
        <v>-57</v>
      </c>
      <c r="Z119" s="1">
        <f t="shared" si="132"/>
        <v>-51</v>
      </c>
      <c r="AA119" s="1">
        <f t="shared" si="133"/>
        <v>-52</v>
      </c>
      <c r="AB119" s="1">
        <f t="shared" si="134"/>
        <v>-54</v>
      </c>
      <c r="AC119" s="4">
        <f t="shared" si="135"/>
        <v>-55</v>
      </c>
      <c r="AE119" s="3">
        <f t="shared" si="136"/>
        <v>-48</v>
      </c>
      <c r="AF119" s="1">
        <f t="shared" si="137"/>
        <v>-48</v>
      </c>
      <c r="AG119" s="1">
        <f t="shared" si="138"/>
        <v>-50</v>
      </c>
      <c r="AH119" s="1">
        <f t="shared" si="139"/>
        <v>-48</v>
      </c>
      <c r="AI119" s="1">
        <f t="shared" si="140"/>
        <v>-45</v>
      </c>
      <c r="AJ119" s="1">
        <f t="shared" si="141"/>
        <v>-44</v>
      </c>
      <c r="AK119" s="1">
        <f t="shared" si="142"/>
        <v>-49</v>
      </c>
      <c r="AL119" s="4">
        <f t="shared" si="143"/>
        <v>-50</v>
      </c>
      <c r="AN119" s="3">
        <f t="shared" si="144"/>
        <v>-54</v>
      </c>
      <c r="AO119" s="1">
        <f t="shared" si="145"/>
        <v>-54</v>
      </c>
      <c r="AP119" s="1">
        <f t="shared" si="146"/>
        <v>-55</v>
      </c>
      <c r="AQ119" s="1">
        <f t="shared" si="147"/>
        <v>-52</v>
      </c>
      <c r="AR119" s="1">
        <f t="shared" si="148"/>
        <v>-50</v>
      </c>
      <c r="AS119" s="1">
        <f t="shared" si="149"/>
        <v>-48</v>
      </c>
      <c r="AT119" s="1">
        <f t="shared" si="150"/>
        <v>-52</v>
      </c>
      <c r="AU119" s="4">
        <f t="shared" si="151"/>
        <v>-53</v>
      </c>
      <c r="AW119" s="3">
        <f t="shared" si="152"/>
        <v>-58</v>
      </c>
      <c r="AX119" s="1">
        <f t="shared" si="153"/>
        <v>-58</v>
      </c>
      <c r="AY119" s="1">
        <f t="shared" si="154"/>
        <v>-58</v>
      </c>
      <c r="AZ119" s="1">
        <f t="shared" si="155"/>
        <v>-56</v>
      </c>
      <c r="BA119" s="1">
        <f t="shared" si="156"/>
        <v>-55</v>
      </c>
      <c r="BB119" s="1">
        <f t="shared" si="157"/>
        <v>-53</v>
      </c>
      <c r="BC119" s="1">
        <f t="shared" si="158"/>
        <v>-55</v>
      </c>
      <c r="BD119" s="4">
        <f t="shared" si="159"/>
        <v>-55</v>
      </c>
      <c r="BF119" s="3">
        <v>-9</v>
      </c>
      <c r="BG119" s="1">
        <v>-9</v>
      </c>
      <c r="BH119" s="1">
        <v>-10</v>
      </c>
      <c r="BI119" s="1">
        <v>-9</v>
      </c>
      <c r="BJ119" s="1">
        <v>-5</v>
      </c>
      <c r="BK119" s="1">
        <v>-7</v>
      </c>
      <c r="BL119" s="1">
        <v>-5</v>
      </c>
      <c r="BM119" s="4">
        <v>-6</v>
      </c>
      <c r="BO119" s="3">
        <v>-14</v>
      </c>
      <c r="BP119" s="1">
        <v>-14</v>
      </c>
      <c r="BQ119" s="1">
        <v>-14</v>
      </c>
      <c r="BR119" s="1">
        <v>-13</v>
      </c>
      <c r="BS119" s="1">
        <v>-9</v>
      </c>
      <c r="BT119" s="1">
        <v>-9</v>
      </c>
      <c r="BU119" s="1">
        <v>-9</v>
      </c>
      <c r="BV119" s="4">
        <v>-9</v>
      </c>
      <c r="BX119" s="3">
        <v>-10</v>
      </c>
      <c r="BY119" s="1">
        <v>-10</v>
      </c>
      <c r="BZ119" s="1">
        <v>-13</v>
      </c>
      <c r="CA119" s="1">
        <v>-13</v>
      </c>
      <c r="CB119" s="1">
        <v>-8</v>
      </c>
      <c r="CC119" s="1">
        <v>-8</v>
      </c>
      <c r="CD119" s="1">
        <v>-9</v>
      </c>
      <c r="CE119" s="4">
        <v>-10</v>
      </c>
      <c r="CG119" s="3">
        <v>-6</v>
      </c>
      <c r="CH119" s="1">
        <v>-6</v>
      </c>
      <c r="CI119" s="1">
        <v>-5</v>
      </c>
      <c r="CJ119" s="1">
        <v>-4</v>
      </c>
      <c r="CK119" s="1">
        <v>-5</v>
      </c>
      <c r="CL119" s="1">
        <v>-4</v>
      </c>
      <c r="CM119" s="1">
        <v>-3</v>
      </c>
      <c r="CN119" s="4">
        <v>-3</v>
      </c>
      <c r="CP119" s="3">
        <v>-10</v>
      </c>
      <c r="CQ119" s="1">
        <v>-10</v>
      </c>
      <c r="CR119" s="1">
        <v>-8</v>
      </c>
      <c r="CS119" s="1">
        <v>-8</v>
      </c>
      <c r="CT119" s="1">
        <v>-10</v>
      </c>
      <c r="CU119" s="1">
        <v>-9</v>
      </c>
      <c r="CV119" s="1">
        <v>-6</v>
      </c>
      <c r="CW119" s="4">
        <v>-5</v>
      </c>
    </row>
    <row r="120" spans="1:101">
      <c r="A120" s="8" t="str">
        <f>VLOOKUP(B120,List!W:X,2,1)</f>
        <v>0.80 - 0.89</v>
      </c>
      <c r="B120" s="8">
        <v>0.8</v>
      </c>
      <c r="C120" s="8" t="s">
        <v>13</v>
      </c>
      <c r="D120" s="3">
        <v>-37</v>
      </c>
      <c r="E120" s="1">
        <v>-37</v>
      </c>
      <c r="F120" s="1">
        <v>-35</v>
      </c>
      <c r="G120" s="1">
        <v>-34</v>
      </c>
      <c r="H120" s="1">
        <v>-35</v>
      </c>
      <c r="I120" s="1">
        <v>-35</v>
      </c>
      <c r="J120" s="1">
        <v>-39</v>
      </c>
      <c r="K120" s="4">
        <v>-39</v>
      </c>
      <c r="M120" s="3">
        <f t="shared" si="120"/>
        <v>-46</v>
      </c>
      <c r="N120" s="1">
        <f t="shared" si="121"/>
        <v>-46</v>
      </c>
      <c r="O120" s="1">
        <f t="shared" si="122"/>
        <v>-44</v>
      </c>
      <c r="P120" s="1">
        <f t="shared" si="123"/>
        <v>-42</v>
      </c>
      <c r="Q120" s="1">
        <f t="shared" si="124"/>
        <v>-41</v>
      </c>
      <c r="R120" s="1">
        <f t="shared" si="125"/>
        <v>-41</v>
      </c>
      <c r="S120" s="1">
        <f t="shared" si="126"/>
        <v>-46</v>
      </c>
      <c r="T120" s="4">
        <f t="shared" si="127"/>
        <v>-47</v>
      </c>
      <c r="V120" s="3">
        <f t="shared" si="128"/>
        <v>-59</v>
      </c>
      <c r="W120" s="1">
        <f t="shared" si="129"/>
        <v>-59</v>
      </c>
      <c r="X120" s="1">
        <f t="shared" si="130"/>
        <v>-58</v>
      </c>
      <c r="Y120" s="1">
        <f t="shared" si="131"/>
        <v>-54</v>
      </c>
      <c r="Z120" s="1">
        <f t="shared" si="132"/>
        <v>-51</v>
      </c>
      <c r="AA120" s="1">
        <f t="shared" si="133"/>
        <v>-51</v>
      </c>
      <c r="AB120" s="1">
        <f t="shared" si="134"/>
        <v>-56</v>
      </c>
      <c r="AC120" s="4">
        <f t="shared" si="135"/>
        <v>-58</v>
      </c>
      <c r="AE120" s="3">
        <f t="shared" si="136"/>
        <v>-48</v>
      </c>
      <c r="AF120" s="1">
        <f t="shared" si="137"/>
        <v>-48</v>
      </c>
      <c r="AG120" s="1">
        <f t="shared" si="138"/>
        <v>-48</v>
      </c>
      <c r="AH120" s="1">
        <f t="shared" si="139"/>
        <v>-48</v>
      </c>
      <c r="AI120" s="1">
        <f t="shared" si="140"/>
        <v>-47</v>
      </c>
      <c r="AJ120" s="1">
        <f t="shared" si="141"/>
        <v>-44</v>
      </c>
      <c r="AK120" s="1">
        <f t="shared" si="142"/>
        <v>-50</v>
      </c>
      <c r="AL120" s="4">
        <f t="shared" si="143"/>
        <v>-52</v>
      </c>
      <c r="AN120" s="3">
        <f t="shared" si="144"/>
        <v>-53</v>
      </c>
      <c r="AO120" s="1">
        <f t="shared" si="145"/>
        <v>-53</v>
      </c>
      <c r="AP120" s="1">
        <f t="shared" si="146"/>
        <v>-53</v>
      </c>
      <c r="AQ120" s="1">
        <f t="shared" si="147"/>
        <v>-53</v>
      </c>
      <c r="AR120" s="1">
        <f t="shared" si="148"/>
        <v>-52</v>
      </c>
      <c r="AS120" s="1">
        <f t="shared" si="149"/>
        <v>-49</v>
      </c>
      <c r="AT120" s="1">
        <f t="shared" si="150"/>
        <v>-53</v>
      </c>
      <c r="AU120" s="4">
        <f t="shared" si="151"/>
        <v>-54</v>
      </c>
      <c r="AW120" s="3">
        <f t="shared" si="152"/>
        <v>-57</v>
      </c>
      <c r="AX120" s="1">
        <f t="shared" si="153"/>
        <v>-57</v>
      </c>
      <c r="AY120" s="1">
        <f t="shared" si="154"/>
        <v>-57</v>
      </c>
      <c r="AZ120" s="1">
        <f t="shared" si="155"/>
        <v>-56</v>
      </c>
      <c r="BA120" s="1">
        <f t="shared" si="156"/>
        <v>-56</v>
      </c>
      <c r="BB120" s="1">
        <f t="shared" si="157"/>
        <v>-53</v>
      </c>
      <c r="BC120" s="1">
        <f t="shared" si="158"/>
        <v>-56</v>
      </c>
      <c r="BD120" s="4">
        <f t="shared" si="159"/>
        <v>-56</v>
      </c>
      <c r="BF120" s="3">
        <v>-9</v>
      </c>
      <c r="BG120" s="1">
        <v>-9</v>
      </c>
      <c r="BH120" s="1">
        <v>-9</v>
      </c>
      <c r="BI120" s="1">
        <v>-8</v>
      </c>
      <c r="BJ120" s="1">
        <v>-6</v>
      </c>
      <c r="BK120" s="1">
        <v>-6</v>
      </c>
      <c r="BL120" s="1">
        <v>-7</v>
      </c>
      <c r="BM120" s="4">
        <v>-8</v>
      </c>
      <c r="BO120" s="3">
        <v>-13</v>
      </c>
      <c r="BP120" s="1">
        <v>-13</v>
      </c>
      <c r="BQ120" s="1">
        <v>-14</v>
      </c>
      <c r="BR120" s="1">
        <v>-12</v>
      </c>
      <c r="BS120" s="1">
        <v>-10</v>
      </c>
      <c r="BT120" s="1">
        <v>-10</v>
      </c>
      <c r="BU120" s="1">
        <v>-10</v>
      </c>
      <c r="BV120" s="4">
        <v>-11</v>
      </c>
      <c r="BX120" s="3">
        <v>-11</v>
      </c>
      <c r="BY120" s="1">
        <v>-11</v>
      </c>
      <c r="BZ120" s="1">
        <v>-13</v>
      </c>
      <c r="CA120" s="1">
        <v>-14</v>
      </c>
      <c r="CB120" s="1">
        <v>-12</v>
      </c>
      <c r="CC120" s="1">
        <v>-9</v>
      </c>
      <c r="CD120" s="1">
        <v>-11</v>
      </c>
      <c r="CE120" s="4">
        <v>-13</v>
      </c>
      <c r="CG120" s="3">
        <v>-5</v>
      </c>
      <c r="CH120" s="1">
        <v>-5</v>
      </c>
      <c r="CI120" s="1">
        <v>-5</v>
      </c>
      <c r="CJ120" s="1">
        <v>-5</v>
      </c>
      <c r="CK120" s="1">
        <v>-5</v>
      </c>
      <c r="CL120" s="1">
        <v>-5</v>
      </c>
      <c r="CM120" s="1">
        <v>-3</v>
      </c>
      <c r="CN120" s="4">
        <v>-2</v>
      </c>
      <c r="CP120" s="3">
        <v>-9</v>
      </c>
      <c r="CQ120" s="1">
        <v>-9</v>
      </c>
      <c r="CR120" s="1">
        <v>-9</v>
      </c>
      <c r="CS120" s="1">
        <v>-8</v>
      </c>
      <c r="CT120" s="1">
        <v>-9</v>
      </c>
      <c r="CU120" s="1">
        <v>-9</v>
      </c>
      <c r="CV120" s="1">
        <v>-6</v>
      </c>
      <c r="CW120" s="4">
        <v>-4</v>
      </c>
    </row>
    <row r="121" spans="1:101">
      <c r="A121" s="8" t="str">
        <f>VLOOKUP(B121,List!W:X,2,1)</f>
        <v>0.80 - 0.89</v>
      </c>
      <c r="B121" s="8">
        <v>0.8</v>
      </c>
      <c r="C121" s="8" t="s">
        <v>14</v>
      </c>
      <c r="D121" s="3">
        <v>-39</v>
      </c>
      <c r="E121" s="1">
        <v>-39</v>
      </c>
      <c r="F121" s="1">
        <v>-37</v>
      </c>
      <c r="G121" s="1">
        <v>-37</v>
      </c>
      <c r="H121" s="1">
        <v>-39</v>
      </c>
      <c r="I121" s="1">
        <v>-37</v>
      </c>
      <c r="J121" s="1">
        <v>-41</v>
      </c>
      <c r="K121" s="4">
        <v>-41</v>
      </c>
      <c r="M121" s="3">
        <f t="shared" si="120"/>
        <v>-46</v>
      </c>
      <c r="N121" s="1">
        <f t="shared" si="121"/>
        <v>-46</v>
      </c>
      <c r="O121" s="1">
        <f t="shared" si="122"/>
        <v>-43</v>
      </c>
      <c r="P121" s="1">
        <f t="shared" si="123"/>
        <v>-45</v>
      </c>
      <c r="Q121" s="1">
        <f t="shared" si="124"/>
        <v>-45</v>
      </c>
      <c r="R121" s="1">
        <f t="shared" si="125"/>
        <v>-43</v>
      </c>
      <c r="S121" s="1">
        <f t="shared" si="126"/>
        <v>-48</v>
      </c>
      <c r="T121" s="4">
        <f t="shared" si="127"/>
        <v>-49</v>
      </c>
      <c r="V121" s="3">
        <f t="shared" si="128"/>
        <v>-57</v>
      </c>
      <c r="W121" s="1">
        <f t="shared" si="129"/>
        <v>-57</v>
      </c>
      <c r="X121" s="1">
        <f t="shared" si="130"/>
        <v>-55</v>
      </c>
      <c r="Y121" s="1">
        <f t="shared" si="131"/>
        <v>-57</v>
      </c>
      <c r="Z121" s="1">
        <f t="shared" si="132"/>
        <v>-55</v>
      </c>
      <c r="AA121" s="1">
        <f t="shared" si="133"/>
        <v>-52</v>
      </c>
      <c r="AB121" s="1">
        <f t="shared" si="134"/>
        <v>-58</v>
      </c>
      <c r="AC121" s="4">
        <f t="shared" si="135"/>
        <v>-60</v>
      </c>
      <c r="AE121" s="3">
        <f t="shared" si="136"/>
        <v>-49</v>
      </c>
      <c r="AF121" s="1">
        <f t="shared" si="137"/>
        <v>-49</v>
      </c>
      <c r="AG121" s="1">
        <f t="shared" si="138"/>
        <v>-49</v>
      </c>
      <c r="AH121" s="1">
        <f t="shared" si="139"/>
        <v>-50</v>
      </c>
      <c r="AI121" s="1">
        <f t="shared" si="140"/>
        <v>-50</v>
      </c>
      <c r="AJ121" s="1">
        <f t="shared" si="141"/>
        <v>-48</v>
      </c>
      <c r="AK121" s="1">
        <f t="shared" si="142"/>
        <v>-52</v>
      </c>
      <c r="AL121" s="4">
        <f t="shared" si="143"/>
        <v>-53</v>
      </c>
      <c r="AN121" s="3">
        <f t="shared" si="144"/>
        <v>-53</v>
      </c>
      <c r="AO121" s="1">
        <f t="shared" si="145"/>
        <v>-53</v>
      </c>
      <c r="AP121" s="1">
        <f t="shared" si="146"/>
        <v>-54</v>
      </c>
      <c r="AQ121" s="1">
        <f t="shared" si="147"/>
        <v>-54</v>
      </c>
      <c r="AR121" s="1">
        <f t="shared" si="148"/>
        <v>-54</v>
      </c>
      <c r="AS121" s="1">
        <f t="shared" si="149"/>
        <v>-52</v>
      </c>
      <c r="AT121" s="1">
        <f t="shared" si="150"/>
        <v>-55</v>
      </c>
      <c r="AU121" s="4">
        <f t="shared" si="151"/>
        <v>-56</v>
      </c>
      <c r="AW121" s="3">
        <f t="shared" si="152"/>
        <v>-57</v>
      </c>
      <c r="AX121" s="1">
        <f t="shared" si="153"/>
        <v>-57</v>
      </c>
      <c r="AY121" s="1">
        <f t="shared" si="154"/>
        <v>-57</v>
      </c>
      <c r="AZ121" s="1">
        <f t="shared" si="155"/>
        <v>-57</v>
      </c>
      <c r="BA121" s="1">
        <f t="shared" si="156"/>
        <v>-57</v>
      </c>
      <c r="BB121" s="1">
        <f t="shared" si="157"/>
        <v>-56</v>
      </c>
      <c r="BC121" s="1">
        <f t="shared" si="158"/>
        <v>-57</v>
      </c>
      <c r="BD121" s="4">
        <f t="shared" si="159"/>
        <v>-58</v>
      </c>
      <c r="BF121" s="3">
        <v>-7</v>
      </c>
      <c r="BG121" s="1">
        <v>-7</v>
      </c>
      <c r="BH121" s="1">
        <v>-6</v>
      </c>
      <c r="BI121" s="1">
        <v>-8</v>
      </c>
      <c r="BJ121" s="1">
        <v>-6</v>
      </c>
      <c r="BK121" s="1">
        <v>-6</v>
      </c>
      <c r="BL121" s="1">
        <v>-7</v>
      </c>
      <c r="BM121" s="4">
        <v>-8</v>
      </c>
      <c r="BO121" s="3">
        <v>-11</v>
      </c>
      <c r="BP121" s="1">
        <v>-11</v>
      </c>
      <c r="BQ121" s="1">
        <v>-12</v>
      </c>
      <c r="BR121" s="1">
        <v>-12</v>
      </c>
      <c r="BS121" s="1">
        <v>-10</v>
      </c>
      <c r="BT121" s="1">
        <v>-9</v>
      </c>
      <c r="BU121" s="1">
        <v>-10</v>
      </c>
      <c r="BV121" s="4">
        <v>-11</v>
      </c>
      <c r="BX121" s="3">
        <v>-10</v>
      </c>
      <c r="BY121" s="1">
        <v>-10</v>
      </c>
      <c r="BZ121" s="1">
        <v>-12</v>
      </c>
      <c r="CA121" s="1">
        <v>-13</v>
      </c>
      <c r="CB121" s="1">
        <v>-11</v>
      </c>
      <c r="CC121" s="1">
        <v>-11</v>
      </c>
      <c r="CD121" s="1">
        <v>-11</v>
      </c>
      <c r="CE121" s="4">
        <v>-12</v>
      </c>
      <c r="CG121" s="3">
        <v>-4</v>
      </c>
      <c r="CH121" s="1">
        <v>-4</v>
      </c>
      <c r="CI121" s="1">
        <v>-5</v>
      </c>
      <c r="CJ121" s="1">
        <v>-4</v>
      </c>
      <c r="CK121" s="1">
        <v>-4</v>
      </c>
      <c r="CL121" s="1">
        <v>-4</v>
      </c>
      <c r="CM121" s="1">
        <v>-3</v>
      </c>
      <c r="CN121" s="4">
        <v>-3</v>
      </c>
      <c r="CP121" s="3">
        <v>-8</v>
      </c>
      <c r="CQ121" s="1">
        <v>-8</v>
      </c>
      <c r="CR121" s="1">
        <v>-8</v>
      </c>
      <c r="CS121" s="1">
        <v>-7</v>
      </c>
      <c r="CT121" s="1">
        <v>-7</v>
      </c>
      <c r="CU121" s="1">
        <v>-8</v>
      </c>
      <c r="CV121" s="1">
        <v>-5</v>
      </c>
      <c r="CW121" s="4">
        <v>-5</v>
      </c>
    </row>
    <row r="122" spans="1:101">
      <c r="A122" s="8" t="str">
        <f>VLOOKUP(B122,List!W:X,2,1)</f>
        <v>0.80 - 0.89</v>
      </c>
      <c r="B122" s="8">
        <v>0.8</v>
      </c>
      <c r="C122" s="8" t="s">
        <v>15</v>
      </c>
      <c r="D122" s="3">
        <v>-47</v>
      </c>
      <c r="E122" s="1">
        <v>-47</v>
      </c>
      <c r="F122" s="1">
        <v>-45</v>
      </c>
      <c r="G122" s="1">
        <v>-46</v>
      </c>
      <c r="H122" s="1">
        <v>-46</v>
      </c>
      <c r="I122" s="1">
        <v>-46</v>
      </c>
      <c r="J122" s="1">
        <v>-49</v>
      </c>
      <c r="K122" s="4">
        <v>-49</v>
      </c>
      <c r="M122" s="3">
        <f t="shared" si="120"/>
        <v>-51</v>
      </c>
      <c r="N122" s="1">
        <f t="shared" si="121"/>
        <v>-51</v>
      </c>
      <c r="O122" s="1">
        <f t="shared" si="122"/>
        <v>-50</v>
      </c>
      <c r="P122" s="1">
        <f t="shared" si="123"/>
        <v>-51</v>
      </c>
      <c r="Q122" s="1">
        <f t="shared" si="124"/>
        <v>-51</v>
      </c>
      <c r="R122" s="1">
        <f t="shared" si="125"/>
        <v>-50</v>
      </c>
      <c r="S122" s="1">
        <f t="shared" si="126"/>
        <v>-53</v>
      </c>
      <c r="T122" s="4">
        <f t="shared" si="127"/>
        <v>-53</v>
      </c>
      <c r="V122" s="3">
        <f t="shared" si="128"/>
        <v>-58</v>
      </c>
      <c r="W122" s="1">
        <f t="shared" si="129"/>
        <v>-58</v>
      </c>
      <c r="X122" s="1">
        <f t="shared" si="130"/>
        <v>-60</v>
      </c>
      <c r="Y122" s="1">
        <f t="shared" si="131"/>
        <v>-59</v>
      </c>
      <c r="Z122" s="1">
        <f t="shared" si="132"/>
        <v>-59</v>
      </c>
      <c r="AA122" s="1">
        <f t="shared" si="133"/>
        <v>-57</v>
      </c>
      <c r="AB122" s="1">
        <f t="shared" si="134"/>
        <v>-61</v>
      </c>
      <c r="AC122" s="4">
        <f t="shared" si="135"/>
        <v>-61</v>
      </c>
      <c r="AE122" s="3">
        <f t="shared" si="136"/>
        <v>-53</v>
      </c>
      <c r="AF122" s="1">
        <f t="shared" si="137"/>
        <v>-53</v>
      </c>
      <c r="AG122" s="1">
        <f t="shared" si="138"/>
        <v>-53</v>
      </c>
      <c r="AH122" s="1">
        <f t="shared" si="139"/>
        <v>-53</v>
      </c>
      <c r="AI122" s="1">
        <f t="shared" si="140"/>
        <v>-53</v>
      </c>
      <c r="AJ122" s="1">
        <f t="shared" si="141"/>
        <v>-53</v>
      </c>
      <c r="AK122" s="1">
        <f t="shared" si="142"/>
        <v>-57</v>
      </c>
      <c r="AL122" s="4">
        <f t="shared" si="143"/>
        <v>-57</v>
      </c>
      <c r="AN122" s="3">
        <f t="shared" si="144"/>
        <v>-57</v>
      </c>
      <c r="AO122" s="1">
        <f t="shared" si="145"/>
        <v>-57</v>
      </c>
      <c r="AP122" s="1">
        <f t="shared" si="146"/>
        <v>-57</v>
      </c>
      <c r="AQ122" s="1">
        <f t="shared" si="147"/>
        <v>-56</v>
      </c>
      <c r="AR122" s="1">
        <f t="shared" si="148"/>
        <v>-57</v>
      </c>
      <c r="AS122" s="1">
        <f t="shared" si="149"/>
        <v>-56</v>
      </c>
      <c r="AT122" s="1">
        <f t="shared" si="150"/>
        <v>-59</v>
      </c>
      <c r="AU122" s="4">
        <f t="shared" si="151"/>
        <v>-59</v>
      </c>
      <c r="AW122" s="3">
        <f t="shared" si="152"/>
        <v>-59</v>
      </c>
      <c r="AX122" s="1">
        <f t="shared" si="153"/>
        <v>-59</v>
      </c>
      <c r="AY122" s="1">
        <f t="shared" si="154"/>
        <v>-60</v>
      </c>
      <c r="AZ122" s="1">
        <f t="shared" si="155"/>
        <v>-59</v>
      </c>
      <c r="BA122" s="1">
        <f t="shared" si="156"/>
        <v>-60</v>
      </c>
      <c r="BB122" s="1">
        <f t="shared" si="157"/>
        <v>-59</v>
      </c>
      <c r="BC122" s="1">
        <f t="shared" si="158"/>
        <v>-61</v>
      </c>
      <c r="BD122" s="4">
        <f t="shared" si="159"/>
        <v>-61</v>
      </c>
      <c r="BF122" s="3">
        <v>-4</v>
      </c>
      <c r="BG122" s="1">
        <v>-4</v>
      </c>
      <c r="BH122" s="1">
        <v>-5</v>
      </c>
      <c r="BI122" s="1">
        <v>-5</v>
      </c>
      <c r="BJ122" s="1">
        <v>-5</v>
      </c>
      <c r="BK122" s="1">
        <v>-4</v>
      </c>
      <c r="BL122" s="1">
        <v>-4</v>
      </c>
      <c r="BM122" s="4">
        <v>-4</v>
      </c>
      <c r="BO122" s="3">
        <v>-7</v>
      </c>
      <c r="BP122" s="1">
        <v>-7</v>
      </c>
      <c r="BQ122" s="1">
        <v>-10</v>
      </c>
      <c r="BR122" s="1">
        <v>-8</v>
      </c>
      <c r="BS122" s="1">
        <v>-8</v>
      </c>
      <c r="BT122" s="1">
        <v>-7</v>
      </c>
      <c r="BU122" s="1">
        <v>-8</v>
      </c>
      <c r="BV122" s="4">
        <v>-8</v>
      </c>
      <c r="BX122" s="3">
        <v>-6</v>
      </c>
      <c r="BY122" s="1">
        <v>-6</v>
      </c>
      <c r="BZ122" s="1">
        <v>-8</v>
      </c>
      <c r="CA122" s="1">
        <v>-7</v>
      </c>
      <c r="CB122" s="1">
        <v>-7</v>
      </c>
      <c r="CC122" s="1">
        <v>-7</v>
      </c>
      <c r="CD122" s="1">
        <v>-8</v>
      </c>
      <c r="CE122" s="4">
        <v>-8</v>
      </c>
      <c r="CG122" s="3">
        <v>-4</v>
      </c>
      <c r="CH122" s="1">
        <v>-4</v>
      </c>
      <c r="CI122" s="1">
        <v>-4</v>
      </c>
      <c r="CJ122" s="1">
        <v>-3</v>
      </c>
      <c r="CK122" s="1">
        <v>-4</v>
      </c>
      <c r="CL122" s="1">
        <v>-3</v>
      </c>
      <c r="CM122" s="1">
        <v>-2</v>
      </c>
      <c r="CN122" s="4">
        <v>-2</v>
      </c>
      <c r="CP122" s="3">
        <v>-6</v>
      </c>
      <c r="CQ122" s="1">
        <v>-6</v>
      </c>
      <c r="CR122" s="1">
        <v>-7</v>
      </c>
      <c r="CS122" s="1">
        <v>-6</v>
      </c>
      <c r="CT122" s="1">
        <v>-7</v>
      </c>
      <c r="CU122" s="1">
        <v>-6</v>
      </c>
      <c r="CV122" s="1">
        <v>-4</v>
      </c>
      <c r="CW122" s="4">
        <v>-4</v>
      </c>
    </row>
    <row r="123" spans="1:101">
      <c r="A123" s="8" t="str">
        <f>VLOOKUP(B123,List!W:X,2,1)</f>
        <v>0.90 - 0.94</v>
      </c>
      <c r="B123" s="8">
        <v>0.9</v>
      </c>
      <c r="C123" s="8" t="s">
        <v>8</v>
      </c>
      <c r="D123" s="3">
        <v>-46</v>
      </c>
      <c r="E123" s="1">
        <v>-46</v>
      </c>
      <c r="F123" s="1">
        <v>-45</v>
      </c>
      <c r="G123" s="1">
        <v>-44</v>
      </c>
      <c r="H123" s="1">
        <v>-45</v>
      </c>
      <c r="I123" s="1">
        <v>-44</v>
      </c>
      <c r="J123" s="1">
        <v>-45</v>
      </c>
      <c r="K123" s="4">
        <v>-45</v>
      </c>
      <c r="M123" s="3">
        <f t="shared" si="120"/>
        <v>-55</v>
      </c>
      <c r="N123" s="1">
        <f t="shared" si="121"/>
        <v>-55</v>
      </c>
      <c r="O123" s="1">
        <f t="shared" si="122"/>
        <v>-54</v>
      </c>
      <c r="P123" s="1">
        <f t="shared" si="123"/>
        <v>-52</v>
      </c>
      <c r="Q123" s="1">
        <f t="shared" si="124"/>
        <v>-50</v>
      </c>
      <c r="R123" s="1">
        <f t="shared" si="125"/>
        <v>-50</v>
      </c>
      <c r="S123" s="1">
        <f t="shared" si="126"/>
        <v>-50</v>
      </c>
      <c r="T123" s="4">
        <f t="shared" si="127"/>
        <v>-50</v>
      </c>
      <c r="V123" s="3">
        <f t="shared" si="128"/>
        <v>-71</v>
      </c>
      <c r="W123" s="1">
        <f t="shared" si="129"/>
        <v>-71</v>
      </c>
      <c r="X123" s="1">
        <f t="shared" si="130"/>
        <v>-71</v>
      </c>
      <c r="Y123" s="1">
        <f t="shared" si="131"/>
        <v>-68</v>
      </c>
      <c r="Z123" s="1">
        <f t="shared" si="132"/>
        <v>-63</v>
      </c>
      <c r="AA123" s="1">
        <f t="shared" si="133"/>
        <v>-64</v>
      </c>
      <c r="AB123" s="1">
        <f t="shared" si="134"/>
        <v>-62</v>
      </c>
      <c r="AC123" s="4">
        <f t="shared" si="135"/>
        <v>-62</v>
      </c>
      <c r="AE123" s="3">
        <f t="shared" si="136"/>
        <v>-57</v>
      </c>
      <c r="AF123" s="1">
        <f t="shared" si="137"/>
        <v>-57</v>
      </c>
      <c r="AG123" s="1">
        <f t="shared" si="138"/>
        <v>-59</v>
      </c>
      <c r="AH123" s="1">
        <f t="shared" si="139"/>
        <v>-56</v>
      </c>
      <c r="AI123" s="1">
        <f t="shared" si="140"/>
        <v>-56</v>
      </c>
      <c r="AJ123" s="1">
        <f t="shared" si="141"/>
        <v>-55</v>
      </c>
      <c r="AK123" s="1">
        <f t="shared" si="142"/>
        <v>-53</v>
      </c>
      <c r="AL123" s="4">
        <f t="shared" si="143"/>
        <v>-54</v>
      </c>
      <c r="AN123" s="3">
        <f t="shared" si="144"/>
        <v>-62</v>
      </c>
      <c r="AO123" s="1">
        <f t="shared" si="145"/>
        <v>-62</v>
      </c>
      <c r="AP123" s="1">
        <f t="shared" si="146"/>
        <v>-64</v>
      </c>
      <c r="AQ123" s="1">
        <f t="shared" si="147"/>
        <v>-62</v>
      </c>
      <c r="AR123" s="1">
        <f t="shared" si="148"/>
        <v>-61</v>
      </c>
      <c r="AS123" s="1">
        <f t="shared" si="149"/>
        <v>-59</v>
      </c>
      <c r="AT123" s="1">
        <f t="shared" si="150"/>
        <v>-59</v>
      </c>
      <c r="AU123" s="4">
        <f t="shared" si="151"/>
        <v>-60</v>
      </c>
      <c r="AW123" s="3">
        <f t="shared" si="152"/>
        <v>-67</v>
      </c>
      <c r="AX123" s="1">
        <f t="shared" si="153"/>
        <v>-67</v>
      </c>
      <c r="AY123" s="1">
        <f t="shared" si="154"/>
        <v>-68</v>
      </c>
      <c r="AZ123" s="1">
        <f t="shared" si="155"/>
        <v>-66</v>
      </c>
      <c r="BA123" s="1">
        <f t="shared" si="156"/>
        <v>-65</v>
      </c>
      <c r="BB123" s="1">
        <f t="shared" si="157"/>
        <v>-63</v>
      </c>
      <c r="BC123" s="1">
        <f t="shared" si="158"/>
        <v>-63</v>
      </c>
      <c r="BD123" s="4">
        <f t="shared" si="159"/>
        <v>-63</v>
      </c>
      <c r="BF123" s="3">
        <v>-9</v>
      </c>
      <c r="BG123" s="1">
        <v>-9</v>
      </c>
      <c r="BH123" s="1">
        <v>-9</v>
      </c>
      <c r="BI123" s="1">
        <v>-8</v>
      </c>
      <c r="BJ123" s="1">
        <v>-5</v>
      </c>
      <c r="BK123" s="1">
        <v>-6</v>
      </c>
      <c r="BL123" s="1">
        <v>-5</v>
      </c>
      <c r="BM123" s="4">
        <v>-5</v>
      </c>
      <c r="BO123" s="3">
        <v>-16</v>
      </c>
      <c r="BP123" s="1">
        <v>-16</v>
      </c>
      <c r="BQ123" s="1">
        <v>-17</v>
      </c>
      <c r="BR123" s="1">
        <v>-16</v>
      </c>
      <c r="BS123" s="1">
        <v>-13</v>
      </c>
      <c r="BT123" s="1">
        <v>-14</v>
      </c>
      <c r="BU123" s="1">
        <v>-12</v>
      </c>
      <c r="BV123" s="4">
        <v>-12</v>
      </c>
      <c r="BX123" s="3">
        <v>-11</v>
      </c>
      <c r="BY123" s="1">
        <v>-11</v>
      </c>
      <c r="BZ123" s="1">
        <v>-14</v>
      </c>
      <c r="CA123" s="1">
        <v>-12</v>
      </c>
      <c r="CB123" s="1">
        <v>-11</v>
      </c>
      <c r="CC123" s="1">
        <v>-11</v>
      </c>
      <c r="CD123" s="1">
        <v>-8</v>
      </c>
      <c r="CE123" s="4">
        <v>-9</v>
      </c>
      <c r="CG123" s="3">
        <v>-5</v>
      </c>
      <c r="CH123" s="1">
        <v>-5</v>
      </c>
      <c r="CI123" s="1">
        <v>-5</v>
      </c>
      <c r="CJ123" s="1">
        <v>-6</v>
      </c>
      <c r="CK123" s="1">
        <v>-5</v>
      </c>
      <c r="CL123" s="1">
        <v>-4</v>
      </c>
      <c r="CM123" s="1">
        <v>-6</v>
      </c>
      <c r="CN123" s="4">
        <v>-6</v>
      </c>
      <c r="CP123" s="3">
        <v>-10</v>
      </c>
      <c r="CQ123" s="1">
        <v>-10</v>
      </c>
      <c r="CR123" s="1">
        <v>-9</v>
      </c>
      <c r="CS123" s="1">
        <v>-10</v>
      </c>
      <c r="CT123" s="1">
        <v>-9</v>
      </c>
      <c r="CU123" s="1">
        <v>-8</v>
      </c>
      <c r="CV123" s="1">
        <v>-10</v>
      </c>
      <c r="CW123" s="4">
        <v>-9</v>
      </c>
    </row>
    <row r="124" spans="1:101">
      <c r="A124" s="8" t="str">
        <f>VLOOKUP(B124,List!W:X,2,1)</f>
        <v>0.90 - 0.94</v>
      </c>
      <c r="B124" s="8">
        <v>0.9</v>
      </c>
      <c r="C124" s="8" t="s">
        <v>9</v>
      </c>
      <c r="D124" s="3">
        <v>-48</v>
      </c>
      <c r="E124" s="1">
        <v>-48</v>
      </c>
      <c r="F124" s="1">
        <v>-46</v>
      </c>
      <c r="G124" s="1">
        <v>-45</v>
      </c>
      <c r="H124" s="1">
        <v>-45</v>
      </c>
      <c r="I124" s="1">
        <v>-45</v>
      </c>
      <c r="J124" s="1">
        <v>-46</v>
      </c>
      <c r="K124" s="4">
        <v>-46</v>
      </c>
      <c r="M124" s="3">
        <f t="shared" si="120"/>
        <v>-56</v>
      </c>
      <c r="N124" s="1">
        <f t="shared" si="121"/>
        <v>-56</v>
      </c>
      <c r="O124" s="1">
        <f t="shared" si="122"/>
        <v>-55</v>
      </c>
      <c r="P124" s="1">
        <f t="shared" si="123"/>
        <v>-53</v>
      </c>
      <c r="Q124" s="1">
        <f t="shared" si="124"/>
        <v>-51</v>
      </c>
      <c r="R124" s="1">
        <f t="shared" si="125"/>
        <v>-50</v>
      </c>
      <c r="S124" s="1">
        <f t="shared" si="126"/>
        <v>-51</v>
      </c>
      <c r="T124" s="4">
        <f t="shared" si="127"/>
        <v>-50</v>
      </c>
      <c r="V124" s="3">
        <f t="shared" si="128"/>
        <v>-70</v>
      </c>
      <c r="W124" s="1">
        <f t="shared" si="129"/>
        <v>-70</v>
      </c>
      <c r="X124" s="1">
        <f t="shared" si="130"/>
        <v>-71</v>
      </c>
      <c r="Y124" s="1">
        <f t="shared" si="131"/>
        <v>-68</v>
      </c>
      <c r="Z124" s="1">
        <f t="shared" si="132"/>
        <v>-64</v>
      </c>
      <c r="AA124" s="1">
        <f t="shared" si="133"/>
        <v>-62</v>
      </c>
      <c r="AB124" s="1">
        <f t="shared" si="134"/>
        <v>-62</v>
      </c>
      <c r="AC124" s="4">
        <f t="shared" si="135"/>
        <v>-60</v>
      </c>
      <c r="AE124" s="3">
        <f t="shared" si="136"/>
        <v>-58</v>
      </c>
      <c r="AF124" s="1">
        <f t="shared" si="137"/>
        <v>-58</v>
      </c>
      <c r="AG124" s="1">
        <f t="shared" si="138"/>
        <v>-58</v>
      </c>
      <c r="AH124" s="1">
        <f t="shared" si="139"/>
        <v>-54</v>
      </c>
      <c r="AI124" s="1">
        <f t="shared" si="140"/>
        <v>-54</v>
      </c>
      <c r="AJ124" s="1">
        <f t="shared" si="141"/>
        <v>-53</v>
      </c>
      <c r="AK124" s="1">
        <f t="shared" si="142"/>
        <v>-53</v>
      </c>
      <c r="AL124" s="4">
        <f t="shared" si="143"/>
        <v>-52</v>
      </c>
      <c r="AN124" s="3">
        <f t="shared" si="144"/>
        <v>-64</v>
      </c>
      <c r="AO124" s="1">
        <f t="shared" si="145"/>
        <v>-64</v>
      </c>
      <c r="AP124" s="1">
        <f t="shared" si="146"/>
        <v>-64</v>
      </c>
      <c r="AQ124" s="1">
        <f t="shared" si="147"/>
        <v>-60</v>
      </c>
      <c r="AR124" s="1">
        <f t="shared" si="148"/>
        <v>-59</v>
      </c>
      <c r="AS124" s="1">
        <f t="shared" si="149"/>
        <v>-57</v>
      </c>
      <c r="AT124" s="1">
        <f t="shared" si="150"/>
        <v>-59</v>
      </c>
      <c r="AU124" s="4">
        <f t="shared" si="151"/>
        <v>-60</v>
      </c>
      <c r="AW124" s="3">
        <f t="shared" si="152"/>
        <v>-68</v>
      </c>
      <c r="AX124" s="1">
        <f t="shared" si="153"/>
        <v>-68</v>
      </c>
      <c r="AY124" s="1">
        <f t="shared" si="154"/>
        <v>-67</v>
      </c>
      <c r="AZ124" s="1">
        <f t="shared" si="155"/>
        <v>-65</v>
      </c>
      <c r="BA124" s="1">
        <f t="shared" si="156"/>
        <v>-63</v>
      </c>
      <c r="BB124" s="1">
        <f t="shared" si="157"/>
        <v>-62</v>
      </c>
      <c r="BC124" s="1">
        <f t="shared" si="158"/>
        <v>-63</v>
      </c>
      <c r="BD124" s="4">
        <f t="shared" si="159"/>
        <v>-62</v>
      </c>
      <c r="BF124" s="3">
        <v>-8</v>
      </c>
      <c r="BG124" s="1">
        <v>-8</v>
      </c>
      <c r="BH124" s="1">
        <v>-9</v>
      </c>
      <c r="BI124" s="1">
        <v>-8</v>
      </c>
      <c r="BJ124" s="1">
        <v>-6</v>
      </c>
      <c r="BK124" s="1">
        <v>-5</v>
      </c>
      <c r="BL124" s="1">
        <v>-5</v>
      </c>
      <c r="BM124" s="4">
        <v>-4</v>
      </c>
      <c r="BO124" s="3">
        <v>-14</v>
      </c>
      <c r="BP124" s="1">
        <v>-14</v>
      </c>
      <c r="BQ124" s="1">
        <v>-16</v>
      </c>
      <c r="BR124" s="1">
        <v>-15</v>
      </c>
      <c r="BS124" s="1">
        <v>-13</v>
      </c>
      <c r="BT124" s="1">
        <v>-12</v>
      </c>
      <c r="BU124" s="1">
        <v>-11</v>
      </c>
      <c r="BV124" s="4">
        <v>-10</v>
      </c>
      <c r="BX124" s="3">
        <v>-10</v>
      </c>
      <c r="BY124" s="1">
        <v>-10</v>
      </c>
      <c r="BZ124" s="1">
        <v>-12</v>
      </c>
      <c r="CA124" s="1">
        <v>-9</v>
      </c>
      <c r="CB124" s="1">
        <v>-9</v>
      </c>
      <c r="CC124" s="1">
        <v>-8</v>
      </c>
      <c r="CD124" s="1">
        <v>-7</v>
      </c>
      <c r="CE124" s="4">
        <v>-6</v>
      </c>
      <c r="CG124" s="3">
        <v>-6</v>
      </c>
      <c r="CH124" s="1">
        <v>-6</v>
      </c>
      <c r="CI124" s="1">
        <v>-6</v>
      </c>
      <c r="CJ124" s="1">
        <v>-6</v>
      </c>
      <c r="CK124" s="1">
        <v>-5</v>
      </c>
      <c r="CL124" s="1">
        <v>-4</v>
      </c>
      <c r="CM124" s="1">
        <v>-6</v>
      </c>
      <c r="CN124" s="4">
        <v>-8</v>
      </c>
      <c r="CP124" s="3">
        <v>-10</v>
      </c>
      <c r="CQ124" s="1">
        <v>-10</v>
      </c>
      <c r="CR124" s="1">
        <v>-9</v>
      </c>
      <c r="CS124" s="1">
        <v>-11</v>
      </c>
      <c r="CT124" s="1">
        <v>-9</v>
      </c>
      <c r="CU124" s="1">
        <v>-9</v>
      </c>
      <c r="CV124" s="1">
        <v>-10</v>
      </c>
      <c r="CW124" s="4">
        <v>-10</v>
      </c>
    </row>
    <row r="125" spans="1:101">
      <c r="A125" s="8" t="str">
        <f>VLOOKUP(B125,List!W:X,2,1)</f>
        <v>0.90 - 0.94</v>
      </c>
      <c r="B125" s="8">
        <v>0.9</v>
      </c>
      <c r="C125" s="8" t="s">
        <v>10</v>
      </c>
      <c r="D125" s="3">
        <v>-48</v>
      </c>
      <c r="E125" s="1">
        <v>-48</v>
      </c>
      <c r="F125" s="1">
        <v>-44</v>
      </c>
      <c r="G125" s="1">
        <v>-43</v>
      </c>
      <c r="H125" s="1">
        <v>-43</v>
      </c>
      <c r="I125" s="1">
        <v>-44</v>
      </c>
      <c r="J125" s="1">
        <v>-45</v>
      </c>
      <c r="K125" s="4">
        <v>-45</v>
      </c>
      <c r="M125" s="3">
        <f t="shared" si="120"/>
        <v>-56</v>
      </c>
      <c r="N125" s="1">
        <f t="shared" si="121"/>
        <v>-56</v>
      </c>
      <c r="O125" s="1">
        <f t="shared" si="122"/>
        <v>-53</v>
      </c>
      <c r="P125" s="1">
        <f t="shared" si="123"/>
        <v>-51</v>
      </c>
      <c r="Q125" s="1">
        <f t="shared" si="124"/>
        <v>-49</v>
      </c>
      <c r="R125" s="1">
        <f t="shared" si="125"/>
        <v>-50</v>
      </c>
      <c r="S125" s="1">
        <f t="shared" si="126"/>
        <v>-50</v>
      </c>
      <c r="T125" s="4">
        <f t="shared" si="127"/>
        <v>-50</v>
      </c>
      <c r="V125" s="3">
        <f t="shared" si="128"/>
        <v>-70</v>
      </c>
      <c r="W125" s="1">
        <f t="shared" si="129"/>
        <v>-70</v>
      </c>
      <c r="X125" s="1">
        <f t="shared" si="130"/>
        <v>-70</v>
      </c>
      <c r="Y125" s="1">
        <f t="shared" si="131"/>
        <v>-67</v>
      </c>
      <c r="Z125" s="1">
        <f t="shared" si="132"/>
        <v>-62</v>
      </c>
      <c r="AA125" s="1">
        <f t="shared" si="133"/>
        <v>-62</v>
      </c>
      <c r="AB125" s="1">
        <f t="shared" si="134"/>
        <v>-61</v>
      </c>
      <c r="AC125" s="4">
        <f t="shared" si="135"/>
        <v>-61</v>
      </c>
      <c r="AE125" s="3">
        <f t="shared" si="136"/>
        <v>-57</v>
      </c>
      <c r="AF125" s="1">
        <f t="shared" si="137"/>
        <v>-57</v>
      </c>
      <c r="AG125" s="1">
        <f t="shared" si="138"/>
        <v>-55</v>
      </c>
      <c r="AH125" s="1">
        <f t="shared" si="139"/>
        <v>-52</v>
      </c>
      <c r="AI125" s="1">
        <f t="shared" si="140"/>
        <v>-52</v>
      </c>
      <c r="AJ125" s="1">
        <f t="shared" si="141"/>
        <v>-52</v>
      </c>
      <c r="AK125" s="1">
        <f t="shared" si="142"/>
        <v>-53</v>
      </c>
      <c r="AL125" s="4">
        <f t="shared" si="143"/>
        <v>-53</v>
      </c>
      <c r="AN125" s="3">
        <f t="shared" si="144"/>
        <v>-64</v>
      </c>
      <c r="AO125" s="1">
        <f t="shared" si="145"/>
        <v>-64</v>
      </c>
      <c r="AP125" s="1">
        <f t="shared" si="146"/>
        <v>-62</v>
      </c>
      <c r="AQ125" s="1">
        <f t="shared" si="147"/>
        <v>-59</v>
      </c>
      <c r="AR125" s="1">
        <f t="shared" si="148"/>
        <v>-57</v>
      </c>
      <c r="AS125" s="1">
        <f t="shared" si="149"/>
        <v>-57</v>
      </c>
      <c r="AT125" s="1">
        <f t="shared" si="150"/>
        <v>-59</v>
      </c>
      <c r="AU125" s="4">
        <f t="shared" si="151"/>
        <v>-59</v>
      </c>
      <c r="AW125" s="3">
        <f t="shared" si="152"/>
        <v>-67</v>
      </c>
      <c r="AX125" s="1">
        <f t="shared" si="153"/>
        <v>-67</v>
      </c>
      <c r="AY125" s="1">
        <f t="shared" si="154"/>
        <v>-66</v>
      </c>
      <c r="AZ125" s="1">
        <f t="shared" si="155"/>
        <v>-64</v>
      </c>
      <c r="BA125" s="1">
        <f t="shared" si="156"/>
        <v>-61</v>
      </c>
      <c r="BB125" s="1">
        <f t="shared" si="157"/>
        <v>-61</v>
      </c>
      <c r="BC125" s="1">
        <f t="shared" si="158"/>
        <v>-62</v>
      </c>
      <c r="BD125" s="4">
        <f t="shared" si="159"/>
        <v>-61</v>
      </c>
      <c r="BF125" s="3">
        <v>-8</v>
      </c>
      <c r="BG125" s="1">
        <v>-8</v>
      </c>
      <c r="BH125" s="1">
        <v>-9</v>
      </c>
      <c r="BI125" s="1">
        <v>-8</v>
      </c>
      <c r="BJ125" s="1">
        <v>-6</v>
      </c>
      <c r="BK125" s="1">
        <v>-6</v>
      </c>
      <c r="BL125" s="1">
        <v>-5</v>
      </c>
      <c r="BM125" s="4">
        <v>-5</v>
      </c>
      <c r="BO125" s="3">
        <v>-14</v>
      </c>
      <c r="BP125" s="1">
        <v>-14</v>
      </c>
      <c r="BQ125" s="1">
        <v>-17</v>
      </c>
      <c r="BR125" s="1">
        <v>-16</v>
      </c>
      <c r="BS125" s="1">
        <v>-13</v>
      </c>
      <c r="BT125" s="1">
        <v>-12</v>
      </c>
      <c r="BU125" s="1">
        <v>-11</v>
      </c>
      <c r="BV125" s="4">
        <v>-11</v>
      </c>
      <c r="BX125" s="3">
        <v>-9</v>
      </c>
      <c r="BY125" s="1">
        <v>-9</v>
      </c>
      <c r="BZ125" s="1">
        <v>-11</v>
      </c>
      <c r="CA125" s="1">
        <v>-9</v>
      </c>
      <c r="CB125" s="1">
        <v>-9</v>
      </c>
      <c r="CC125" s="1">
        <v>-8</v>
      </c>
      <c r="CD125" s="1">
        <v>-8</v>
      </c>
      <c r="CE125" s="4">
        <v>-8</v>
      </c>
      <c r="CG125" s="3">
        <v>-7</v>
      </c>
      <c r="CH125" s="1">
        <v>-7</v>
      </c>
      <c r="CI125" s="1">
        <v>-7</v>
      </c>
      <c r="CJ125" s="1">
        <v>-7</v>
      </c>
      <c r="CK125" s="1">
        <v>-5</v>
      </c>
      <c r="CL125" s="1">
        <v>-5</v>
      </c>
      <c r="CM125" s="1">
        <v>-6</v>
      </c>
      <c r="CN125" s="4">
        <v>-6</v>
      </c>
      <c r="CP125" s="3">
        <v>-10</v>
      </c>
      <c r="CQ125" s="1">
        <v>-10</v>
      </c>
      <c r="CR125" s="1">
        <v>-11</v>
      </c>
      <c r="CS125" s="1">
        <v>-12</v>
      </c>
      <c r="CT125" s="1">
        <v>-9</v>
      </c>
      <c r="CU125" s="1">
        <v>-9</v>
      </c>
      <c r="CV125" s="1">
        <v>-9</v>
      </c>
      <c r="CW125" s="4">
        <v>-8</v>
      </c>
    </row>
    <row r="126" spans="1:101">
      <c r="A126" s="8" t="str">
        <f>VLOOKUP(B126,List!W:X,2,1)</f>
        <v>0.90 - 0.94</v>
      </c>
      <c r="B126" s="8">
        <v>0.9</v>
      </c>
      <c r="C126" s="8" t="s">
        <v>11</v>
      </c>
      <c r="D126" s="3">
        <v>-50</v>
      </c>
      <c r="E126" s="1">
        <v>-50</v>
      </c>
      <c r="F126" s="1">
        <v>-47</v>
      </c>
      <c r="G126" s="1">
        <v>-45</v>
      </c>
      <c r="H126" s="1">
        <v>-45</v>
      </c>
      <c r="I126" s="1">
        <v>-45</v>
      </c>
      <c r="J126" s="1">
        <v>-46</v>
      </c>
      <c r="K126" s="4">
        <v>-45</v>
      </c>
      <c r="M126" s="3">
        <f t="shared" si="120"/>
        <v>-56</v>
      </c>
      <c r="N126" s="1">
        <f t="shared" si="121"/>
        <v>-56</v>
      </c>
      <c r="O126" s="1">
        <f t="shared" si="122"/>
        <v>-55</v>
      </c>
      <c r="P126" s="1">
        <f t="shared" si="123"/>
        <v>-53</v>
      </c>
      <c r="Q126" s="1">
        <f t="shared" si="124"/>
        <v>-51</v>
      </c>
      <c r="R126" s="1">
        <f t="shared" si="125"/>
        <v>-49</v>
      </c>
      <c r="S126" s="1">
        <f t="shared" si="126"/>
        <v>-51</v>
      </c>
      <c r="T126" s="4">
        <f t="shared" si="127"/>
        <v>-51</v>
      </c>
      <c r="V126" s="3">
        <f t="shared" si="128"/>
        <v>-66</v>
      </c>
      <c r="W126" s="1">
        <f t="shared" si="129"/>
        <v>-66</v>
      </c>
      <c r="X126" s="1">
        <f t="shared" si="130"/>
        <v>-69</v>
      </c>
      <c r="Y126" s="1">
        <f t="shared" si="131"/>
        <v>-66</v>
      </c>
      <c r="Z126" s="1">
        <f t="shared" si="132"/>
        <v>-61</v>
      </c>
      <c r="AA126" s="1">
        <f t="shared" si="133"/>
        <v>-58</v>
      </c>
      <c r="AB126" s="1">
        <f t="shared" si="134"/>
        <v>-62</v>
      </c>
      <c r="AC126" s="4">
        <f t="shared" si="135"/>
        <v>-62</v>
      </c>
      <c r="AE126" s="3">
        <f t="shared" si="136"/>
        <v>-59</v>
      </c>
      <c r="AF126" s="1">
        <f t="shared" si="137"/>
        <v>-59</v>
      </c>
      <c r="AG126" s="1">
        <f t="shared" si="138"/>
        <v>-57</v>
      </c>
      <c r="AH126" s="1">
        <f t="shared" si="139"/>
        <v>-54</v>
      </c>
      <c r="AI126" s="1">
        <f t="shared" si="140"/>
        <v>-53</v>
      </c>
      <c r="AJ126" s="1">
        <f t="shared" si="141"/>
        <v>-51</v>
      </c>
      <c r="AK126" s="1">
        <f t="shared" si="142"/>
        <v>-54</v>
      </c>
      <c r="AL126" s="4">
        <f t="shared" si="143"/>
        <v>-54</v>
      </c>
      <c r="AN126" s="3">
        <f t="shared" si="144"/>
        <v>-65</v>
      </c>
      <c r="AO126" s="1">
        <f t="shared" si="145"/>
        <v>-65</v>
      </c>
      <c r="AP126" s="1">
        <f t="shared" si="146"/>
        <v>-63</v>
      </c>
      <c r="AQ126" s="1">
        <f t="shared" si="147"/>
        <v>-60</v>
      </c>
      <c r="AR126" s="1">
        <f t="shared" si="148"/>
        <v>-58</v>
      </c>
      <c r="AS126" s="1">
        <f t="shared" si="149"/>
        <v>-56</v>
      </c>
      <c r="AT126" s="1">
        <f t="shared" si="150"/>
        <v>-59</v>
      </c>
      <c r="AU126" s="4">
        <f t="shared" si="151"/>
        <v>-59</v>
      </c>
      <c r="AW126" s="3">
        <f t="shared" si="152"/>
        <v>-67</v>
      </c>
      <c r="AX126" s="1">
        <f t="shared" si="153"/>
        <v>-67</v>
      </c>
      <c r="AY126" s="1">
        <f t="shared" si="154"/>
        <v>-65</v>
      </c>
      <c r="AZ126" s="1">
        <f t="shared" si="155"/>
        <v>-63</v>
      </c>
      <c r="BA126" s="1">
        <f t="shared" si="156"/>
        <v>-61</v>
      </c>
      <c r="BB126" s="1">
        <f t="shared" si="157"/>
        <v>-60</v>
      </c>
      <c r="BC126" s="1">
        <f t="shared" si="158"/>
        <v>-61</v>
      </c>
      <c r="BD126" s="4">
        <f t="shared" si="159"/>
        <v>-61</v>
      </c>
      <c r="BF126" s="3">
        <v>-6</v>
      </c>
      <c r="BG126" s="1">
        <v>-6</v>
      </c>
      <c r="BH126" s="1">
        <v>-8</v>
      </c>
      <c r="BI126" s="1">
        <v>-8</v>
      </c>
      <c r="BJ126" s="1">
        <v>-6</v>
      </c>
      <c r="BK126" s="1">
        <v>-4</v>
      </c>
      <c r="BL126" s="1">
        <v>-5</v>
      </c>
      <c r="BM126" s="4">
        <v>-6</v>
      </c>
      <c r="BO126" s="3">
        <v>-10</v>
      </c>
      <c r="BP126" s="1">
        <v>-10</v>
      </c>
      <c r="BQ126" s="1">
        <v>-14</v>
      </c>
      <c r="BR126" s="1">
        <v>-13</v>
      </c>
      <c r="BS126" s="1">
        <v>-10</v>
      </c>
      <c r="BT126" s="1">
        <v>-9</v>
      </c>
      <c r="BU126" s="1">
        <v>-11</v>
      </c>
      <c r="BV126" s="4">
        <v>-11</v>
      </c>
      <c r="BX126" s="3">
        <v>-9</v>
      </c>
      <c r="BY126" s="1">
        <v>-9</v>
      </c>
      <c r="BZ126" s="1">
        <v>-10</v>
      </c>
      <c r="CA126" s="1">
        <v>-9</v>
      </c>
      <c r="CB126" s="1">
        <v>-8</v>
      </c>
      <c r="CC126" s="1">
        <v>-6</v>
      </c>
      <c r="CD126" s="1">
        <v>-8</v>
      </c>
      <c r="CE126" s="4">
        <v>-9</v>
      </c>
      <c r="CG126" s="3">
        <v>-6</v>
      </c>
      <c r="CH126" s="1">
        <v>-6</v>
      </c>
      <c r="CI126" s="1">
        <v>-6</v>
      </c>
      <c r="CJ126" s="1">
        <v>-6</v>
      </c>
      <c r="CK126" s="1">
        <v>-5</v>
      </c>
      <c r="CL126" s="1">
        <v>-5</v>
      </c>
      <c r="CM126" s="1">
        <v>-5</v>
      </c>
      <c r="CN126" s="4">
        <v>-5</v>
      </c>
      <c r="CP126" s="3">
        <v>-8</v>
      </c>
      <c r="CQ126" s="1">
        <v>-8</v>
      </c>
      <c r="CR126" s="1">
        <v>-8</v>
      </c>
      <c r="CS126" s="1">
        <v>-9</v>
      </c>
      <c r="CT126" s="1">
        <v>-8</v>
      </c>
      <c r="CU126" s="1">
        <v>-9</v>
      </c>
      <c r="CV126" s="1">
        <v>-7</v>
      </c>
      <c r="CW126" s="4">
        <v>-7</v>
      </c>
    </row>
    <row r="127" spans="1:101">
      <c r="A127" s="8" t="str">
        <f>VLOOKUP(B127,List!W:X,2,1)</f>
        <v>0.90 - 0.94</v>
      </c>
      <c r="B127" s="8">
        <v>0.9</v>
      </c>
      <c r="C127" s="8" t="s">
        <v>12</v>
      </c>
      <c r="D127" s="3">
        <v>-47</v>
      </c>
      <c r="E127" s="1">
        <v>-47</v>
      </c>
      <c r="F127" s="1">
        <v>-48</v>
      </c>
      <c r="G127" s="1">
        <v>-48</v>
      </c>
      <c r="H127" s="1">
        <v>-47</v>
      </c>
      <c r="I127" s="1">
        <v>-47</v>
      </c>
      <c r="J127" s="1">
        <v>-47</v>
      </c>
      <c r="K127" s="4">
        <v>-47</v>
      </c>
      <c r="M127" s="3">
        <f t="shared" si="120"/>
        <v>-55</v>
      </c>
      <c r="N127" s="1">
        <f t="shared" si="121"/>
        <v>-55</v>
      </c>
      <c r="O127" s="1">
        <f t="shared" si="122"/>
        <v>-55</v>
      </c>
      <c r="P127" s="1">
        <f t="shared" si="123"/>
        <v>-54</v>
      </c>
      <c r="Q127" s="1">
        <f t="shared" si="124"/>
        <v>-51</v>
      </c>
      <c r="R127" s="1">
        <f t="shared" si="125"/>
        <v>-51</v>
      </c>
      <c r="S127" s="1">
        <f t="shared" si="126"/>
        <v>-52</v>
      </c>
      <c r="T127" s="4">
        <f t="shared" si="127"/>
        <v>-52</v>
      </c>
      <c r="V127" s="3">
        <f t="shared" si="128"/>
        <v>-67</v>
      </c>
      <c r="W127" s="1">
        <f t="shared" si="129"/>
        <v>-67</v>
      </c>
      <c r="X127" s="1">
        <f t="shared" si="130"/>
        <v>-67</v>
      </c>
      <c r="Y127" s="1">
        <f t="shared" si="131"/>
        <v>-65</v>
      </c>
      <c r="Z127" s="1">
        <f t="shared" si="132"/>
        <v>-60</v>
      </c>
      <c r="AA127" s="1">
        <f t="shared" si="133"/>
        <v>-59</v>
      </c>
      <c r="AB127" s="1">
        <f t="shared" si="134"/>
        <v>-63</v>
      </c>
      <c r="AC127" s="4">
        <f t="shared" si="135"/>
        <v>-62</v>
      </c>
      <c r="AE127" s="3">
        <f t="shared" si="136"/>
        <v>-58</v>
      </c>
      <c r="AF127" s="1">
        <f t="shared" si="137"/>
        <v>-58</v>
      </c>
      <c r="AG127" s="1">
        <f t="shared" si="138"/>
        <v>-57</v>
      </c>
      <c r="AH127" s="1">
        <f t="shared" si="139"/>
        <v>-57</v>
      </c>
      <c r="AI127" s="1">
        <f t="shared" si="140"/>
        <v>-56</v>
      </c>
      <c r="AJ127" s="1">
        <f t="shared" si="141"/>
        <v>-55</v>
      </c>
      <c r="AK127" s="1">
        <f t="shared" si="142"/>
        <v>-56</v>
      </c>
      <c r="AL127" s="4">
        <f t="shared" si="143"/>
        <v>-55</v>
      </c>
      <c r="AN127" s="3">
        <f t="shared" si="144"/>
        <v>-64</v>
      </c>
      <c r="AO127" s="1">
        <f t="shared" si="145"/>
        <v>-64</v>
      </c>
      <c r="AP127" s="1">
        <f t="shared" si="146"/>
        <v>-63</v>
      </c>
      <c r="AQ127" s="1">
        <f t="shared" si="147"/>
        <v>-62</v>
      </c>
      <c r="AR127" s="1">
        <f t="shared" si="148"/>
        <v>-61</v>
      </c>
      <c r="AS127" s="1">
        <f t="shared" si="149"/>
        <v>-60</v>
      </c>
      <c r="AT127" s="1">
        <f t="shared" si="150"/>
        <v>-59</v>
      </c>
      <c r="AU127" s="4">
        <f t="shared" si="151"/>
        <v>-59</v>
      </c>
      <c r="AW127" s="3">
        <f t="shared" si="152"/>
        <v>-67</v>
      </c>
      <c r="AX127" s="1">
        <f t="shared" si="153"/>
        <v>-67</v>
      </c>
      <c r="AY127" s="1">
        <f t="shared" si="154"/>
        <v>-66</v>
      </c>
      <c r="AZ127" s="1">
        <f t="shared" si="155"/>
        <v>-65</v>
      </c>
      <c r="BA127" s="1">
        <f t="shared" si="156"/>
        <v>-63</v>
      </c>
      <c r="BB127" s="1">
        <f t="shared" si="157"/>
        <v>-62</v>
      </c>
      <c r="BC127" s="1">
        <f t="shared" si="158"/>
        <v>-62</v>
      </c>
      <c r="BD127" s="4">
        <f t="shared" si="159"/>
        <v>-61</v>
      </c>
      <c r="BF127" s="3">
        <v>-8</v>
      </c>
      <c r="BG127" s="1">
        <v>-8</v>
      </c>
      <c r="BH127" s="1">
        <v>-7</v>
      </c>
      <c r="BI127" s="1">
        <v>-6</v>
      </c>
      <c r="BJ127" s="1">
        <v>-4</v>
      </c>
      <c r="BK127" s="1">
        <v>-4</v>
      </c>
      <c r="BL127" s="1">
        <v>-5</v>
      </c>
      <c r="BM127" s="4">
        <v>-5</v>
      </c>
      <c r="BO127" s="3">
        <v>-12</v>
      </c>
      <c r="BP127" s="1">
        <v>-12</v>
      </c>
      <c r="BQ127" s="1">
        <v>-12</v>
      </c>
      <c r="BR127" s="1">
        <v>-11</v>
      </c>
      <c r="BS127" s="1">
        <v>-9</v>
      </c>
      <c r="BT127" s="1">
        <v>-8</v>
      </c>
      <c r="BU127" s="1">
        <v>-11</v>
      </c>
      <c r="BV127" s="4">
        <v>-10</v>
      </c>
      <c r="BX127" s="3">
        <v>-11</v>
      </c>
      <c r="BY127" s="1">
        <v>-11</v>
      </c>
      <c r="BZ127" s="1">
        <v>-9</v>
      </c>
      <c r="CA127" s="1">
        <v>-9</v>
      </c>
      <c r="CB127" s="1">
        <v>-9</v>
      </c>
      <c r="CC127" s="1">
        <v>-8</v>
      </c>
      <c r="CD127" s="1">
        <v>-9</v>
      </c>
      <c r="CE127" s="4">
        <v>-8</v>
      </c>
      <c r="CG127" s="3">
        <v>-6</v>
      </c>
      <c r="CH127" s="1">
        <v>-6</v>
      </c>
      <c r="CI127" s="1">
        <v>-6</v>
      </c>
      <c r="CJ127" s="1">
        <v>-5</v>
      </c>
      <c r="CK127" s="1">
        <v>-5</v>
      </c>
      <c r="CL127" s="1">
        <v>-5</v>
      </c>
      <c r="CM127" s="1">
        <v>-3</v>
      </c>
      <c r="CN127" s="4">
        <v>-4</v>
      </c>
      <c r="CP127" s="3">
        <v>-9</v>
      </c>
      <c r="CQ127" s="1">
        <v>-9</v>
      </c>
      <c r="CR127" s="1">
        <v>-9</v>
      </c>
      <c r="CS127" s="1">
        <v>-8</v>
      </c>
      <c r="CT127" s="1">
        <v>-7</v>
      </c>
      <c r="CU127" s="1">
        <v>-7</v>
      </c>
      <c r="CV127" s="1">
        <v>-6</v>
      </c>
      <c r="CW127" s="4">
        <v>-6</v>
      </c>
    </row>
    <row r="128" spans="1:101">
      <c r="A128" s="8" t="str">
        <f>VLOOKUP(B128,List!W:X,2,1)</f>
        <v>0.90 - 0.94</v>
      </c>
      <c r="B128" s="8">
        <v>0.9</v>
      </c>
      <c r="C128" s="8" t="s">
        <v>13</v>
      </c>
      <c r="D128" s="3">
        <v>-43</v>
      </c>
      <c r="E128" s="1">
        <v>-43</v>
      </c>
      <c r="F128" s="1">
        <v>-41</v>
      </c>
      <c r="G128" s="1">
        <v>-42</v>
      </c>
      <c r="H128" s="1">
        <v>-45</v>
      </c>
      <c r="I128" s="1">
        <v>-47</v>
      </c>
      <c r="J128" s="1">
        <v>-48</v>
      </c>
      <c r="K128" s="4">
        <v>-47</v>
      </c>
      <c r="M128" s="3">
        <f t="shared" si="120"/>
        <v>-52</v>
      </c>
      <c r="N128" s="1">
        <f t="shared" si="121"/>
        <v>-52</v>
      </c>
      <c r="O128" s="1">
        <f t="shared" si="122"/>
        <v>-51</v>
      </c>
      <c r="P128" s="1">
        <f t="shared" si="123"/>
        <v>-51</v>
      </c>
      <c r="Q128" s="1">
        <f t="shared" si="124"/>
        <v>-49</v>
      </c>
      <c r="R128" s="1">
        <f t="shared" si="125"/>
        <v>-51</v>
      </c>
      <c r="S128" s="1">
        <f t="shared" si="126"/>
        <v>-53</v>
      </c>
      <c r="T128" s="4">
        <f t="shared" si="127"/>
        <v>-53</v>
      </c>
      <c r="V128" s="3">
        <f t="shared" si="128"/>
        <v>-67</v>
      </c>
      <c r="W128" s="1">
        <f t="shared" si="129"/>
        <v>-67</v>
      </c>
      <c r="X128" s="1">
        <f t="shared" si="130"/>
        <v>-67</v>
      </c>
      <c r="Y128" s="1">
        <f t="shared" si="131"/>
        <v>-66</v>
      </c>
      <c r="Z128" s="1">
        <f t="shared" si="132"/>
        <v>-58</v>
      </c>
      <c r="AA128" s="1">
        <f t="shared" si="133"/>
        <v>-59</v>
      </c>
      <c r="AB128" s="1">
        <f t="shared" si="134"/>
        <v>-63</v>
      </c>
      <c r="AC128" s="4">
        <f t="shared" si="135"/>
        <v>-63</v>
      </c>
      <c r="AE128" s="3">
        <f t="shared" si="136"/>
        <v>-55</v>
      </c>
      <c r="AF128" s="1">
        <f t="shared" si="137"/>
        <v>-55</v>
      </c>
      <c r="AG128" s="1">
        <f t="shared" si="138"/>
        <v>-55</v>
      </c>
      <c r="AH128" s="1">
        <f t="shared" si="139"/>
        <v>-56</v>
      </c>
      <c r="AI128" s="1">
        <f t="shared" si="140"/>
        <v>-54</v>
      </c>
      <c r="AJ128" s="1">
        <f t="shared" si="141"/>
        <v>-55</v>
      </c>
      <c r="AK128" s="1">
        <f t="shared" si="142"/>
        <v>-57</v>
      </c>
      <c r="AL128" s="4">
        <f t="shared" si="143"/>
        <v>-55</v>
      </c>
      <c r="AN128" s="3">
        <f t="shared" si="144"/>
        <v>-63</v>
      </c>
      <c r="AO128" s="1">
        <f t="shared" si="145"/>
        <v>-63</v>
      </c>
      <c r="AP128" s="1">
        <f t="shared" si="146"/>
        <v>-62</v>
      </c>
      <c r="AQ128" s="1">
        <f t="shared" si="147"/>
        <v>-62</v>
      </c>
      <c r="AR128" s="1">
        <f t="shared" si="148"/>
        <v>-59</v>
      </c>
      <c r="AS128" s="1">
        <f t="shared" si="149"/>
        <v>-59</v>
      </c>
      <c r="AT128" s="1">
        <f t="shared" si="150"/>
        <v>-60</v>
      </c>
      <c r="AU128" s="4">
        <f t="shared" si="151"/>
        <v>-59</v>
      </c>
      <c r="AW128" s="3">
        <f t="shared" si="152"/>
        <v>-66</v>
      </c>
      <c r="AX128" s="1">
        <f t="shared" si="153"/>
        <v>-66</v>
      </c>
      <c r="AY128" s="1">
        <f t="shared" si="154"/>
        <v>-65</v>
      </c>
      <c r="AZ128" s="1">
        <f t="shared" si="155"/>
        <v>-64</v>
      </c>
      <c r="BA128" s="1">
        <f t="shared" si="156"/>
        <v>-62</v>
      </c>
      <c r="BB128" s="1">
        <f t="shared" si="157"/>
        <v>-63</v>
      </c>
      <c r="BC128" s="1">
        <f t="shared" si="158"/>
        <v>-63</v>
      </c>
      <c r="BD128" s="4">
        <f t="shared" si="159"/>
        <v>-62</v>
      </c>
      <c r="BF128" s="3">
        <v>-9</v>
      </c>
      <c r="BG128" s="1">
        <v>-9</v>
      </c>
      <c r="BH128" s="1">
        <v>-10</v>
      </c>
      <c r="BI128" s="1">
        <v>-9</v>
      </c>
      <c r="BJ128" s="1">
        <v>-4</v>
      </c>
      <c r="BK128" s="1">
        <v>-4</v>
      </c>
      <c r="BL128" s="1">
        <v>-5</v>
      </c>
      <c r="BM128" s="4">
        <v>-6</v>
      </c>
      <c r="BO128" s="3">
        <v>-15</v>
      </c>
      <c r="BP128" s="1">
        <v>-15</v>
      </c>
      <c r="BQ128" s="1">
        <v>-16</v>
      </c>
      <c r="BR128" s="1">
        <v>-15</v>
      </c>
      <c r="BS128" s="1">
        <v>-9</v>
      </c>
      <c r="BT128" s="1">
        <v>-8</v>
      </c>
      <c r="BU128" s="1">
        <v>-10</v>
      </c>
      <c r="BV128" s="4">
        <v>-10</v>
      </c>
      <c r="BX128" s="3">
        <v>-12</v>
      </c>
      <c r="BY128" s="1">
        <v>-12</v>
      </c>
      <c r="BZ128" s="1">
        <v>-14</v>
      </c>
      <c r="CA128" s="1">
        <v>-14</v>
      </c>
      <c r="CB128" s="1">
        <v>-9</v>
      </c>
      <c r="CC128" s="1">
        <v>-8</v>
      </c>
      <c r="CD128" s="1">
        <v>-9</v>
      </c>
      <c r="CE128" s="4">
        <v>-8</v>
      </c>
      <c r="CG128" s="3">
        <v>-8</v>
      </c>
      <c r="CH128" s="1">
        <v>-8</v>
      </c>
      <c r="CI128" s="1">
        <v>-7</v>
      </c>
      <c r="CJ128" s="1">
        <v>-6</v>
      </c>
      <c r="CK128" s="1">
        <v>-5</v>
      </c>
      <c r="CL128" s="1">
        <v>-4</v>
      </c>
      <c r="CM128" s="1">
        <v>-3</v>
      </c>
      <c r="CN128" s="4">
        <v>-4</v>
      </c>
      <c r="CP128" s="3">
        <v>-11</v>
      </c>
      <c r="CQ128" s="1">
        <v>-11</v>
      </c>
      <c r="CR128" s="1">
        <v>-10</v>
      </c>
      <c r="CS128" s="1">
        <v>-8</v>
      </c>
      <c r="CT128" s="1">
        <v>-8</v>
      </c>
      <c r="CU128" s="1">
        <v>-8</v>
      </c>
      <c r="CV128" s="1">
        <v>-6</v>
      </c>
      <c r="CW128" s="4">
        <v>-7</v>
      </c>
    </row>
    <row r="129" spans="1:101">
      <c r="A129" s="8" t="str">
        <f>VLOOKUP(B129,List!W:X,2,1)</f>
        <v>0.90 - 0.94</v>
      </c>
      <c r="B129" s="8">
        <v>0.9</v>
      </c>
      <c r="C129" s="8" t="s">
        <v>14</v>
      </c>
      <c r="D129" s="3">
        <v>-47</v>
      </c>
      <c r="E129" s="1">
        <v>-47</v>
      </c>
      <c r="F129" s="1">
        <v>-45</v>
      </c>
      <c r="G129" s="1">
        <v>-44</v>
      </c>
      <c r="H129" s="1">
        <v>-45</v>
      </c>
      <c r="I129" s="1">
        <v>-47</v>
      </c>
      <c r="J129" s="1">
        <v>-49</v>
      </c>
      <c r="K129" s="4">
        <v>-48</v>
      </c>
      <c r="M129" s="3">
        <f t="shared" si="120"/>
        <v>-54</v>
      </c>
      <c r="N129" s="1">
        <f t="shared" si="121"/>
        <v>-54</v>
      </c>
      <c r="O129" s="1">
        <f t="shared" si="122"/>
        <v>-52</v>
      </c>
      <c r="P129" s="1">
        <f t="shared" si="123"/>
        <v>-51</v>
      </c>
      <c r="Q129" s="1">
        <f t="shared" si="124"/>
        <v>-50</v>
      </c>
      <c r="R129" s="1">
        <f t="shared" si="125"/>
        <v>-50</v>
      </c>
      <c r="S129" s="1">
        <f t="shared" si="126"/>
        <v>-55</v>
      </c>
      <c r="T129" s="4">
        <f t="shared" si="127"/>
        <v>-54</v>
      </c>
      <c r="V129" s="3">
        <f t="shared" si="128"/>
        <v>-64</v>
      </c>
      <c r="W129" s="1">
        <f t="shared" si="129"/>
        <v>-64</v>
      </c>
      <c r="X129" s="1">
        <f t="shared" si="130"/>
        <v>-63</v>
      </c>
      <c r="Y129" s="1">
        <f t="shared" si="131"/>
        <v>-62</v>
      </c>
      <c r="Z129" s="1">
        <f t="shared" si="132"/>
        <v>-59</v>
      </c>
      <c r="AA129" s="1">
        <f t="shared" si="133"/>
        <v>-58</v>
      </c>
      <c r="AB129" s="1">
        <f t="shared" si="134"/>
        <v>-64</v>
      </c>
      <c r="AC129" s="4">
        <f t="shared" si="135"/>
        <v>-63</v>
      </c>
      <c r="AE129" s="3">
        <f t="shared" si="136"/>
        <v>-57</v>
      </c>
      <c r="AF129" s="1">
        <f t="shared" si="137"/>
        <v>-57</v>
      </c>
      <c r="AG129" s="1">
        <f t="shared" si="138"/>
        <v>-57</v>
      </c>
      <c r="AH129" s="1">
        <f t="shared" si="139"/>
        <v>-57</v>
      </c>
      <c r="AI129" s="1">
        <f t="shared" si="140"/>
        <v>-56</v>
      </c>
      <c r="AJ129" s="1">
        <f t="shared" si="141"/>
        <v>-57</v>
      </c>
      <c r="AK129" s="1">
        <f t="shared" si="142"/>
        <v>-57</v>
      </c>
      <c r="AL129" s="4">
        <f t="shared" si="143"/>
        <v>-57</v>
      </c>
      <c r="AN129" s="3">
        <f t="shared" si="144"/>
        <v>-64</v>
      </c>
      <c r="AO129" s="1">
        <f t="shared" si="145"/>
        <v>-64</v>
      </c>
      <c r="AP129" s="1">
        <f t="shared" si="146"/>
        <v>-64</v>
      </c>
      <c r="AQ129" s="1">
        <f t="shared" si="147"/>
        <v>-62</v>
      </c>
      <c r="AR129" s="1">
        <f t="shared" si="148"/>
        <v>-61</v>
      </c>
      <c r="AS129" s="1">
        <f t="shared" si="149"/>
        <v>-60</v>
      </c>
      <c r="AT129" s="1">
        <f t="shared" si="150"/>
        <v>-60</v>
      </c>
      <c r="AU129" s="4">
        <f t="shared" si="151"/>
        <v>-60</v>
      </c>
      <c r="AW129" s="3">
        <f t="shared" si="152"/>
        <v>-66</v>
      </c>
      <c r="AX129" s="1">
        <f t="shared" si="153"/>
        <v>-66</v>
      </c>
      <c r="AY129" s="1">
        <f t="shared" si="154"/>
        <v>-66</v>
      </c>
      <c r="AZ129" s="1">
        <f t="shared" si="155"/>
        <v>-65</v>
      </c>
      <c r="BA129" s="1">
        <f t="shared" si="156"/>
        <v>-64</v>
      </c>
      <c r="BB129" s="1">
        <f t="shared" si="157"/>
        <v>-64</v>
      </c>
      <c r="BC129" s="1">
        <f t="shared" si="158"/>
        <v>-64</v>
      </c>
      <c r="BD129" s="4">
        <f t="shared" si="159"/>
        <v>-64</v>
      </c>
      <c r="BF129" s="3">
        <v>-7</v>
      </c>
      <c r="BG129" s="1">
        <v>-7</v>
      </c>
      <c r="BH129" s="1">
        <v>-7</v>
      </c>
      <c r="BI129" s="1">
        <v>-7</v>
      </c>
      <c r="BJ129" s="1">
        <v>-5</v>
      </c>
      <c r="BK129" s="1">
        <v>-3</v>
      </c>
      <c r="BL129" s="1">
        <v>-6</v>
      </c>
      <c r="BM129" s="4">
        <v>-6</v>
      </c>
      <c r="BO129" s="3">
        <v>-10</v>
      </c>
      <c r="BP129" s="1">
        <v>-10</v>
      </c>
      <c r="BQ129" s="1">
        <v>-11</v>
      </c>
      <c r="BR129" s="1">
        <v>-11</v>
      </c>
      <c r="BS129" s="1">
        <v>-9</v>
      </c>
      <c r="BT129" s="1">
        <v>-8</v>
      </c>
      <c r="BU129" s="1">
        <v>-9</v>
      </c>
      <c r="BV129" s="4">
        <v>-9</v>
      </c>
      <c r="BX129" s="3">
        <v>-10</v>
      </c>
      <c r="BY129" s="1">
        <v>-10</v>
      </c>
      <c r="BZ129" s="1">
        <v>-12</v>
      </c>
      <c r="CA129" s="1">
        <v>-13</v>
      </c>
      <c r="CB129" s="1">
        <v>-11</v>
      </c>
      <c r="CC129" s="1">
        <v>-10</v>
      </c>
      <c r="CD129" s="1">
        <v>-8</v>
      </c>
      <c r="CE129" s="4">
        <v>-9</v>
      </c>
      <c r="CG129" s="3">
        <v>-7</v>
      </c>
      <c r="CH129" s="1">
        <v>-7</v>
      </c>
      <c r="CI129" s="1">
        <v>-7</v>
      </c>
      <c r="CJ129" s="1">
        <v>-5</v>
      </c>
      <c r="CK129" s="1">
        <v>-5</v>
      </c>
      <c r="CL129" s="1">
        <v>-3</v>
      </c>
      <c r="CM129" s="1">
        <v>-3</v>
      </c>
      <c r="CN129" s="4">
        <v>-3</v>
      </c>
      <c r="CP129" s="3">
        <v>-9</v>
      </c>
      <c r="CQ129" s="1">
        <v>-9</v>
      </c>
      <c r="CR129" s="1">
        <v>-9</v>
      </c>
      <c r="CS129" s="1">
        <v>-8</v>
      </c>
      <c r="CT129" s="1">
        <v>-8</v>
      </c>
      <c r="CU129" s="1">
        <v>-7</v>
      </c>
      <c r="CV129" s="1">
        <v>-7</v>
      </c>
      <c r="CW129" s="4">
        <v>-7</v>
      </c>
    </row>
    <row r="130" spans="1:101">
      <c r="A130" s="8" t="str">
        <f>VLOOKUP(B130,List!W:X,2,1)</f>
        <v>0.90 - 0.94</v>
      </c>
      <c r="B130" s="8">
        <v>0.9</v>
      </c>
      <c r="C130" s="8" t="s">
        <v>15</v>
      </c>
      <c r="D130" s="3">
        <v>-45</v>
      </c>
      <c r="E130" s="1">
        <v>-45</v>
      </c>
      <c r="F130" s="1">
        <v>-43</v>
      </c>
      <c r="G130" s="1">
        <v>-43</v>
      </c>
      <c r="H130" s="1">
        <v>-45</v>
      </c>
      <c r="I130" s="1">
        <v>-46</v>
      </c>
      <c r="J130" s="1">
        <v>-51</v>
      </c>
      <c r="K130" s="4">
        <v>-49</v>
      </c>
      <c r="M130" s="3">
        <f t="shared" si="120"/>
        <v>-53</v>
      </c>
      <c r="N130" s="1">
        <f t="shared" si="121"/>
        <v>-53</v>
      </c>
      <c r="O130" s="1">
        <f t="shared" si="122"/>
        <v>-50</v>
      </c>
      <c r="P130" s="1">
        <f t="shared" si="123"/>
        <v>-49</v>
      </c>
      <c r="Q130" s="1">
        <f t="shared" si="124"/>
        <v>-50</v>
      </c>
      <c r="R130" s="1">
        <f t="shared" si="125"/>
        <v>-50</v>
      </c>
      <c r="S130" s="1">
        <f t="shared" si="126"/>
        <v>-57</v>
      </c>
      <c r="T130" s="4">
        <f t="shared" si="127"/>
        <v>-55</v>
      </c>
      <c r="V130" s="3">
        <f t="shared" si="128"/>
        <v>-66</v>
      </c>
      <c r="W130" s="1">
        <f t="shared" si="129"/>
        <v>-66</v>
      </c>
      <c r="X130" s="1">
        <f t="shared" si="130"/>
        <v>-63</v>
      </c>
      <c r="Y130" s="1">
        <f t="shared" si="131"/>
        <v>-60</v>
      </c>
      <c r="Z130" s="1">
        <f t="shared" si="132"/>
        <v>-59</v>
      </c>
      <c r="AA130" s="1">
        <f t="shared" si="133"/>
        <v>-58</v>
      </c>
      <c r="AB130" s="1">
        <f t="shared" si="134"/>
        <v>-66</v>
      </c>
      <c r="AC130" s="4">
        <f t="shared" si="135"/>
        <v>-65</v>
      </c>
      <c r="AE130" s="3">
        <f t="shared" si="136"/>
        <v>-57</v>
      </c>
      <c r="AF130" s="1">
        <f t="shared" si="137"/>
        <v>-57</v>
      </c>
      <c r="AG130" s="1">
        <f t="shared" si="138"/>
        <v>-56</v>
      </c>
      <c r="AH130" s="1">
        <f t="shared" si="139"/>
        <v>-56</v>
      </c>
      <c r="AI130" s="1">
        <f t="shared" si="140"/>
        <v>-56</v>
      </c>
      <c r="AJ130" s="1">
        <f t="shared" si="141"/>
        <v>-56</v>
      </c>
      <c r="AK130" s="1">
        <f t="shared" si="142"/>
        <v>-57</v>
      </c>
      <c r="AL130" s="4">
        <f t="shared" si="143"/>
        <v>-56</v>
      </c>
      <c r="AN130" s="3">
        <f t="shared" si="144"/>
        <v>-65</v>
      </c>
      <c r="AO130" s="1">
        <f t="shared" si="145"/>
        <v>-65</v>
      </c>
      <c r="AP130" s="1">
        <f t="shared" si="146"/>
        <v>-65</v>
      </c>
      <c r="AQ130" s="1">
        <f t="shared" si="147"/>
        <v>-64</v>
      </c>
      <c r="AR130" s="1">
        <f t="shared" si="148"/>
        <v>-62</v>
      </c>
      <c r="AS130" s="1">
        <f t="shared" si="149"/>
        <v>-62</v>
      </c>
      <c r="AT130" s="1">
        <f t="shared" si="150"/>
        <v>-62</v>
      </c>
      <c r="AU130" s="4">
        <f t="shared" si="151"/>
        <v>-61</v>
      </c>
      <c r="AW130" s="3">
        <f t="shared" si="152"/>
        <v>-68</v>
      </c>
      <c r="AX130" s="1">
        <f t="shared" si="153"/>
        <v>-68</v>
      </c>
      <c r="AY130" s="1">
        <f t="shared" si="154"/>
        <v>-67</v>
      </c>
      <c r="AZ130" s="1">
        <f t="shared" si="155"/>
        <v>-67</v>
      </c>
      <c r="BA130" s="1">
        <f t="shared" si="156"/>
        <v>-66</v>
      </c>
      <c r="BB130" s="1">
        <f t="shared" si="157"/>
        <v>-65</v>
      </c>
      <c r="BC130" s="1">
        <f t="shared" si="158"/>
        <v>-64</v>
      </c>
      <c r="BD130" s="4">
        <f t="shared" si="159"/>
        <v>-64</v>
      </c>
      <c r="BF130" s="3">
        <v>-8</v>
      </c>
      <c r="BG130" s="1">
        <v>-8</v>
      </c>
      <c r="BH130" s="1">
        <v>-7</v>
      </c>
      <c r="BI130" s="1">
        <v>-6</v>
      </c>
      <c r="BJ130" s="1">
        <v>-5</v>
      </c>
      <c r="BK130" s="1">
        <v>-4</v>
      </c>
      <c r="BL130" s="1">
        <v>-6</v>
      </c>
      <c r="BM130" s="4">
        <v>-6</v>
      </c>
      <c r="BO130" s="3">
        <v>-13</v>
      </c>
      <c r="BP130" s="1">
        <v>-13</v>
      </c>
      <c r="BQ130" s="1">
        <v>-13</v>
      </c>
      <c r="BR130" s="1">
        <v>-11</v>
      </c>
      <c r="BS130" s="1">
        <v>-9</v>
      </c>
      <c r="BT130" s="1">
        <v>-8</v>
      </c>
      <c r="BU130" s="1">
        <v>-9</v>
      </c>
      <c r="BV130" s="4">
        <v>-10</v>
      </c>
      <c r="BX130" s="3">
        <v>-12</v>
      </c>
      <c r="BY130" s="1">
        <v>-12</v>
      </c>
      <c r="BZ130" s="1">
        <v>-13</v>
      </c>
      <c r="CA130" s="1">
        <v>-13</v>
      </c>
      <c r="CB130" s="1">
        <v>-11</v>
      </c>
      <c r="CC130" s="1">
        <v>-10</v>
      </c>
      <c r="CD130" s="1">
        <v>-6</v>
      </c>
      <c r="CE130" s="4">
        <v>-7</v>
      </c>
      <c r="CG130" s="3">
        <v>-8</v>
      </c>
      <c r="CH130" s="1">
        <v>-8</v>
      </c>
      <c r="CI130" s="1">
        <v>-9</v>
      </c>
      <c r="CJ130" s="1">
        <v>-8</v>
      </c>
      <c r="CK130" s="1">
        <v>-6</v>
      </c>
      <c r="CL130" s="1">
        <v>-6</v>
      </c>
      <c r="CM130" s="1">
        <v>-5</v>
      </c>
      <c r="CN130" s="4">
        <v>-5</v>
      </c>
      <c r="CP130" s="3">
        <v>-11</v>
      </c>
      <c r="CQ130" s="1">
        <v>-11</v>
      </c>
      <c r="CR130" s="1">
        <v>-11</v>
      </c>
      <c r="CS130" s="1">
        <v>-11</v>
      </c>
      <c r="CT130" s="1">
        <v>-10</v>
      </c>
      <c r="CU130" s="1">
        <v>-9</v>
      </c>
      <c r="CV130" s="1">
        <v>-7</v>
      </c>
      <c r="CW130" s="4">
        <v>-8</v>
      </c>
    </row>
    <row r="131" spans="1:101">
      <c r="A131" s="8" t="str">
        <f>VLOOKUP(B131,List!W:X,2,1)</f>
        <v>0.95 - 0.99</v>
      </c>
      <c r="B131" s="8">
        <v>0.95</v>
      </c>
      <c r="C131" s="8" t="s">
        <v>8</v>
      </c>
      <c r="D131" s="3">
        <v>-46</v>
      </c>
      <c r="E131" s="1">
        <v>-46</v>
      </c>
      <c r="F131" s="1">
        <v>-45</v>
      </c>
      <c r="G131" s="1">
        <v>-44</v>
      </c>
      <c r="H131" s="1">
        <v>-45</v>
      </c>
      <c r="I131" s="1">
        <v>-44</v>
      </c>
      <c r="J131" s="1">
        <v>-45</v>
      </c>
      <c r="K131" s="4">
        <v>-45</v>
      </c>
      <c r="M131" s="3">
        <f t="shared" ref="M131:M162" si="160">IFERROR(IF(AND(D131="",BF131=""),"",D131+BF131),"")</f>
        <v>-55</v>
      </c>
      <c r="N131" s="1">
        <f t="shared" ref="N131:N162" si="161">IFERROR(IF(AND(E131="",BG131=""),"",E131+BG131),"")</f>
        <v>-55</v>
      </c>
      <c r="O131" s="1">
        <f t="shared" ref="O131:O162" si="162">IFERROR(IF(AND(F131="",BH131=""),"",F131+BH131),"")</f>
        <v>-54</v>
      </c>
      <c r="P131" s="1">
        <f t="shared" ref="P131:P162" si="163">IFERROR(IF(AND(G131="",BI131=""),"",G131+BI131),"")</f>
        <v>-52</v>
      </c>
      <c r="Q131" s="1">
        <f t="shared" ref="Q131:Q162" si="164">IFERROR(IF(AND(H131="",BJ131=""),"",H131+BJ131),"")</f>
        <v>-50</v>
      </c>
      <c r="R131" s="1">
        <f t="shared" ref="R131:R162" si="165">IFERROR(IF(AND(I131="",BK131=""),"",I131+BK131),"")</f>
        <v>-50</v>
      </c>
      <c r="S131" s="1">
        <f t="shared" ref="S131:S162" si="166">IFERROR(IF(AND(J131="",BL131=""),"",J131+BL131),"")</f>
        <v>-50</v>
      </c>
      <c r="T131" s="4">
        <f t="shared" ref="T131:T162" si="167">IFERROR(IF(AND(K131="",BM131=""),"",K131+BM131),"")</f>
        <v>-50</v>
      </c>
      <c r="V131" s="3">
        <f t="shared" ref="V131:V162" si="168">IFERROR(IF(AND(M131="",BO131=""),"",M131+BO131),"")</f>
        <v>-71</v>
      </c>
      <c r="W131" s="1">
        <f t="shared" ref="W131:W162" si="169">IFERROR(IF(AND(N131="",BP131=""),"",N131+BP131),"")</f>
        <v>-71</v>
      </c>
      <c r="X131" s="1">
        <f t="shared" ref="X131:X162" si="170">IFERROR(IF(AND(O131="",BQ131=""),"",O131+BQ131),"")</f>
        <v>-71</v>
      </c>
      <c r="Y131" s="1">
        <f t="shared" ref="Y131:Y162" si="171">IFERROR(IF(AND(P131="",BR131=""),"",P131+BR131),"")</f>
        <v>-68</v>
      </c>
      <c r="Z131" s="1">
        <f t="shared" ref="Z131:Z162" si="172">IFERROR(IF(AND(Q131="",BS131=""),"",Q131+BS131),"")</f>
        <v>-63</v>
      </c>
      <c r="AA131" s="1">
        <f t="shared" ref="AA131:AA162" si="173">IFERROR(IF(AND(R131="",BT131=""),"",R131+BT131),"")</f>
        <v>-64</v>
      </c>
      <c r="AB131" s="1">
        <f t="shared" ref="AB131:AB162" si="174">IFERROR(IF(AND(S131="",BU131=""),"",S131+BU131),"")</f>
        <v>-62</v>
      </c>
      <c r="AC131" s="4">
        <f t="shared" ref="AC131:AC162" si="175">IFERROR(IF(AND(T131="",BV131=""),"",T131+BV131),"")</f>
        <v>-62</v>
      </c>
      <c r="AE131" s="3">
        <f t="shared" ref="AE131:AE162" si="176">IFERROR(IF(AND(D131="",BX131=""),"",D131+BX131),"")</f>
        <v>-76</v>
      </c>
      <c r="AF131" s="1">
        <f t="shared" ref="AF131:AF162" si="177">IFERROR(IF(AND(E131="",BY131=""),"",E131+BY131),"")</f>
        <v>-76</v>
      </c>
      <c r="AG131" s="1">
        <f t="shared" ref="AG131:AG162" si="178">IFERROR(IF(AND(F131="",BZ131=""),"",F131+BZ131),"")</f>
        <v>-75</v>
      </c>
      <c r="AH131" s="1">
        <f t="shared" ref="AH131:AH162" si="179">IFERROR(IF(AND(G131="",CA131=""),"",G131+CA131),"")</f>
        <v>-72</v>
      </c>
      <c r="AI131" s="1">
        <f t="shared" ref="AI131:AI162" si="180">IFERROR(IF(AND(H131="",CB131=""),"",H131+CB131),"")</f>
        <v>-79</v>
      </c>
      <c r="AJ131" s="1">
        <f t="shared" ref="AJ131:AJ162" si="181">IFERROR(IF(AND(I131="",CC131=""),"",I131+CC131),"")</f>
        <v>-78</v>
      </c>
      <c r="AK131" s="1">
        <f t="shared" ref="AK131:AK162" si="182">IFERROR(IF(AND(J131="",CD131=""),"",J131+CD131),"")</f>
        <v>-78</v>
      </c>
      <c r="AL131" s="4">
        <f t="shared" ref="AL131:AL162" si="183">IFERROR(IF(AND(K131="",CE131=""),"",K131+CE131),"")</f>
        <v>-78</v>
      </c>
      <c r="AN131" s="3">
        <f t="shared" ref="AN131:AN162" si="184">IFERROR(IF(AND(AE131="",CG131=""),"",AE131+CG131),"")</f>
        <v>-79</v>
      </c>
      <c r="AO131" s="1">
        <f t="shared" ref="AO131:AO162" si="185">IFERROR(IF(AND(AF131="",CH131=""),"",AF131+CH131),"")</f>
        <v>-79</v>
      </c>
      <c r="AP131" s="1">
        <f t="shared" ref="AP131:AP162" si="186">IFERROR(IF(AND(AG131="",CI131=""),"",AG131+CI131),"")</f>
        <v>-80</v>
      </c>
      <c r="AQ131" s="1">
        <f t="shared" ref="AQ131:AQ162" si="187">IFERROR(IF(AND(AH131="",CJ131=""),"",AH131+CJ131),"")</f>
        <v>-76</v>
      </c>
      <c r="AR131" s="1">
        <f t="shared" ref="AR131:AR162" si="188">IFERROR(IF(AND(AI131="",CK131=""),"",AI131+CK131),"")</f>
        <v>-83</v>
      </c>
      <c r="AS131" s="1">
        <f t="shared" ref="AS131:AS162" si="189">IFERROR(IF(AND(AJ131="",CL131=""),"",AJ131+CL131),"")</f>
        <v>-82</v>
      </c>
      <c r="AT131" s="1">
        <f t="shared" ref="AT131:AT162" si="190">IFERROR(IF(AND(AK131="",CM131=""),"",AK131+CM131),"")</f>
        <v>-83</v>
      </c>
      <c r="AU131" s="4">
        <f t="shared" ref="AU131:AU162" si="191">IFERROR(IF(AND(AL131="",CN131=""),"",AL131+CN131),"")</f>
        <v>-83</v>
      </c>
      <c r="AW131" s="3">
        <f t="shared" ref="AW131:AW162" si="192">IFERROR(IF(AND(AE131="",CP131=""),"",AE131+CP131),"")</f>
        <v>-82</v>
      </c>
      <c r="AX131" s="1">
        <f t="shared" ref="AX131:AX162" si="193">IFERROR(IF(AND(AF131="",CQ131=""),"",AF131+CQ131),"")</f>
        <v>-82</v>
      </c>
      <c r="AY131" s="1">
        <f t="shared" ref="AY131:AY162" si="194">IFERROR(IF(AND(AG131="",CR131=""),"",AG131+CR131),"")</f>
        <v>-82</v>
      </c>
      <c r="AZ131" s="1">
        <f t="shared" ref="AZ131:AZ162" si="195">IFERROR(IF(AND(AH131="",CS131=""),"",AH131+CS131),"")</f>
        <v>-78</v>
      </c>
      <c r="BA131" s="1">
        <f t="shared" ref="BA131:BA162" si="196">IFERROR(IF(AND(AI131="",CT131=""),"",AI131+CT131),"")</f>
        <v>-86</v>
      </c>
      <c r="BB131" s="1">
        <f t="shared" ref="BB131:BB162" si="197">IFERROR(IF(AND(AJ131="",CU131=""),"",AJ131+CU131),"")</f>
        <v>-85</v>
      </c>
      <c r="BC131" s="1">
        <f t="shared" ref="BC131:BC162" si="198">IFERROR(IF(AND(AK131="",CV131=""),"",AK131+CV131),"")</f>
        <v>-86</v>
      </c>
      <c r="BD131" s="4">
        <f t="shared" ref="BD131:BD162" si="199">IFERROR(IF(AND(AL131="",CW131=""),"",AL131+CW131),"")</f>
        <v>-85</v>
      </c>
      <c r="BF131" s="3">
        <v>-9</v>
      </c>
      <c r="BG131" s="1">
        <v>-9</v>
      </c>
      <c r="BH131" s="1">
        <v>-9</v>
      </c>
      <c r="BI131" s="1">
        <v>-8</v>
      </c>
      <c r="BJ131" s="1">
        <v>-5</v>
      </c>
      <c r="BK131" s="1">
        <v>-6</v>
      </c>
      <c r="BL131" s="1">
        <v>-5</v>
      </c>
      <c r="BM131" s="4">
        <v>-5</v>
      </c>
      <c r="BO131" s="3">
        <v>-16</v>
      </c>
      <c r="BP131" s="1">
        <v>-16</v>
      </c>
      <c r="BQ131" s="1">
        <v>-17</v>
      </c>
      <c r="BR131" s="1">
        <v>-16</v>
      </c>
      <c r="BS131" s="1">
        <v>-13</v>
      </c>
      <c r="BT131" s="1">
        <v>-14</v>
      </c>
      <c r="BU131" s="1">
        <v>-12</v>
      </c>
      <c r="BV131" s="4">
        <v>-12</v>
      </c>
      <c r="BX131" s="3">
        <v>-30</v>
      </c>
      <c r="BY131" s="1">
        <v>-30</v>
      </c>
      <c r="BZ131" s="1">
        <v>-30</v>
      </c>
      <c r="CA131" s="1">
        <v>-28</v>
      </c>
      <c r="CB131" s="1">
        <v>-34</v>
      </c>
      <c r="CC131" s="1">
        <v>-34</v>
      </c>
      <c r="CD131" s="1">
        <v>-33</v>
      </c>
      <c r="CE131" s="4">
        <v>-33</v>
      </c>
      <c r="CG131" s="3">
        <v>-3</v>
      </c>
      <c r="CH131" s="1">
        <v>-3</v>
      </c>
      <c r="CI131" s="1">
        <v>-5</v>
      </c>
      <c r="CJ131" s="1">
        <v>-4</v>
      </c>
      <c r="CK131" s="1">
        <v>-4</v>
      </c>
      <c r="CL131" s="1">
        <v>-4</v>
      </c>
      <c r="CM131" s="1">
        <v>-5</v>
      </c>
      <c r="CN131" s="4">
        <v>-5</v>
      </c>
      <c r="CP131" s="3">
        <v>-6</v>
      </c>
      <c r="CQ131" s="1">
        <v>-6</v>
      </c>
      <c r="CR131" s="1">
        <v>-7</v>
      </c>
      <c r="CS131" s="1">
        <v>-6</v>
      </c>
      <c r="CT131" s="1">
        <v>-7</v>
      </c>
      <c r="CU131" s="1">
        <v>-7</v>
      </c>
      <c r="CV131" s="1">
        <v>-8</v>
      </c>
      <c r="CW131" s="4">
        <v>-7</v>
      </c>
    </row>
    <row r="132" spans="1:101">
      <c r="A132" s="8" t="str">
        <f>VLOOKUP(B132,List!W:X,2,1)</f>
        <v>0.95 - 0.99</v>
      </c>
      <c r="B132" s="8">
        <v>0.95</v>
      </c>
      <c r="C132" s="8" t="s">
        <v>9</v>
      </c>
      <c r="D132" s="3">
        <v>-48</v>
      </c>
      <c r="E132" s="1">
        <v>-48</v>
      </c>
      <c r="F132" s="1">
        <v>-46</v>
      </c>
      <c r="G132" s="1">
        <v>-45</v>
      </c>
      <c r="H132" s="1">
        <v>-45</v>
      </c>
      <c r="I132" s="1">
        <v>-45</v>
      </c>
      <c r="J132" s="1">
        <v>-46</v>
      </c>
      <c r="K132" s="4">
        <v>-46</v>
      </c>
      <c r="M132" s="3">
        <f t="shared" si="160"/>
        <v>-56</v>
      </c>
      <c r="N132" s="1">
        <f t="shared" si="161"/>
        <v>-56</v>
      </c>
      <c r="O132" s="1">
        <f t="shared" si="162"/>
        <v>-55</v>
      </c>
      <c r="P132" s="1">
        <f t="shared" si="163"/>
        <v>-53</v>
      </c>
      <c r="Q132" s="1">
        <f t="shared" si="164"/>
        <v>-51</v>
      </c>
      <c r="R132" s="1">
        <f t="shared" si="165"/>
        <v>-50</v>
      </c>
      <c r="S132" s="1">
        <f t="shared" si="166"/>
        <v>-51</v>
      </c>
      <c r="T132" s="4">
        <f t="shared" si="167"/>
        <v>-50</v>
      </c>
      <c r="V132" s="3">
        <f t="shared" si="168"/>
        <v>-70</v>
      </c>
      <c r="W132" s="1">
        <f t="shared" si="169"/>
        <v>-70</v>
      </c>
      <c r="X132" s="1">
        <f t="shared" si="170"/>
        <v>-71</v>
      </c>
      <c r="Y132" s="1">
        <f t="shared" si="171"/>
        <v>-68</v>
      </c>
      <c r="Z132" s="1">
        <f t="shared" si="172"/>
        <v>-64</v>
      </c>
      <c r="AA132" s="1">
        <f t="shared" si="173"/>
        <v>-62</v>
      </c>
      <c r="AB132" s="1">
        <f t="shared" si="174"/>
        <v>-62</v>
      </c>
      <c r="AC132" s="4">
        <f t="shared" si="175"/>
        <v>-60</v>
      </c>
      <c r="AE132" s="3">
        <f t="shared" si="176"/>
        <v>-75</v>
      </c>
      <c r="AF132" s="1">
        <f t="shared" si="177"/>
        <v>-75</v>
      </c>
      <c r="AG132" s="1">
        <f t="shared" si="178"/>
        <v>-75</v>
      </c>
      <c r="AH132" s="1">
        <f t="shared" si="179"/>
        <v>-72</v>
      </c>
      <c r="AI132" s="1">
        <f t="shared" si="180"/>
        <v>-80</v>
      </c>
      <c r="AJ132" s="1">
        <f t="shared" si="181"/>
        <v>-79</v>
      </c>
      <c r="AK132" s="1">
        <f t="shared" si="182"/>
        <v>-78</v>
      </c>
      <c r="AL132" s="4">
        <f t="shared" si="183"/>
        <v>-79</v>
      </c>
      <c r="AN132" s="3">
        <f t="shared" si="184"/>
        <v>-78</v>
      </c>
      <c r="AO132" s="1">
        <f t="shared" si="185"/>
        <v>-78</v>
      </c>
      <c r="AP132" s="1">
        <f t="shared" si="186"/>
        <v>-80</v>
      </c>
      <c r="AQ132" s="1">
        <f t="shared" si="187"/>
        <v>-77</v>
      </c>
      <c r="AR132" s="1">
        <f t="shared" si="188"/>
        <v>-83</v>
      </c>
      <c r="AS132" s="1">
        <f t="shared" si="189"/>
        <v>-83</v>
      </c>
      <c r="AT132" s="1">
        <f t="shared" si="190"/>
        <v>-82</v>
      </c>
      <c r="AU132" s="4">
        <f t="shared" si="191"/>
        <v>-83</v>
      </c>
      <c r="AW132" s="3">
        <f t="shared" si="192"/>
        <v>-82</v>
      </c>
      <c r="AX132" s="1">
        <f t="shared" si="193"/>
        <v>-82</v>
      </c>
      <c r="AY132" s="1">
        <f t="shared" si="194"/>
        <v>-84</v>
      </c>
      <c r="AZ132" s="1">
        <f t="shared" si="195"/>
        <v>-80</v>
      </c>
      <c r="BA132" s="1">
        <f t="shared" si="196"/>
        <v>-85</v>
      </c>
      <c r="BB132" s="1">
        <f t="shared" si="197"/>
        <v>-85</v>
      </c>
      <c r="BC132" s="1">
        <f t="shared" si="198"/>
        <v>-85</v>
      </c>
      <c r="BD132" s="4">
        <f t="shared" si="199"/>
        <v>-85</v>
      </c>
      <c r="BF132" s="3">
        <v>-8</v>
      </c>
      <c r="BG132" s="1">
        <v>-8</v>
      </c>
      <c r="BH132" s="1">
        <v>-9</v>
      </c>
      <c r="BI132" s="1">
        <v>-8</v>
      </c>
      <c r="BJ132" s="1">
        <v>-6</v>
      </c>
      <c r="BK132" s="1">
        <v>-5</v>
      </c>
      <c r="BL132" s="1">
        <v>-5</v>
      </c>
      <c r="BM132" s="4">
        <v>-4</v>
      </c>
      <c r="BO132" s="3">
        <v>-14</v>
      </c>
      <c r="BP132" s="1">
        <v>-14</v>
      </c>
      <c r="BQ132" s="1">
        <v>-16</v>
      </c>
      <c r="BR132" s="1">
        <v>-15</v>
      </c>
      <c r="BS132" s="1">
        <v>-13</v>
      </c>
      <c r="BT132" s="1">
        <v>-12</v>
      </c>
      <c r="BU132" s="1">
        <v>-11</v>
      </c>
      <c r="BV132" s="4">
        <v>-10</v>
      </c>
      <c r="BX132" s="3">
        <v>-27</v>
      </c>
      <c r="BY132" s="1">
        <v>-27</v>
      </c>
      <c r="BZ132" s="1">
        <v>-29</v>
      </c>
      <c r="CA132" s="1">
        <v>-27</v>
      </c>
      <c r="CB132" s="1">
        <v>-35</v>
      </c>
      <c r="CC132" s="1">
        <v>-34</v>
      </c>
      <c r="CD132" s="1">
        <v>-32</v>
      </c>
      <c r="CE132" s="4">
        <v>-33</v>
      </c>
      <c r="CG132" s="3">
        <v>-3</v>
      </c>
      <c r="CH132" s="1">
        <v>-3</v>
      </c>
      <c r="CI132" s="1">
        <v>-5</v>
      </c>
      <c r="CJ132" s="1">
        <v>-5</v>
      </c>
      <c r="CK132" s="1">
        <v>-3</v>
      </c>
      <c r="CL132" s="1">
        <v>-4</v>
      </c>
      <c r="CM132" s="1">
        <v>-4</v>
      </c>
      <c r="CN132" s="4">
        <v>-4</v>
      </c>
      <c r="CP132" s="3">
        <v>-7</v>
      </c>
      <c r="CQ132" s="1">
        <v>-7</v>
      </c>
      <c r="CR132" s="1">
        <v>-9</v>
      </c>
      <c r="CS132" s="1">
        <v>-8</v>
      </c>
      <c r="CT132" s="1">
        <v>-5</v>
      </c>
      <c r="CU132" s="1">
        <v>-6</v>
      </c>
      <c r="CV132" s="1">
        <v>-7</v>
      </c>
      <c r="CW132" s="4">
        <v>-6</v>
      </c>
    </row>
    <row r="133" spans="1:101">
      <c r="A133" s="8" t="str">
        <f>VLOOKUP(B133,List!W:X,2,1)</f>
        <v>0.95 - 0.99</v>
      </c>
      <c r="B133" s="8">
        <v>0.95</v>
      </c>
      <c r="C133" s="8" t="s">
        <v>10</v>
      </c>
      <c r="D133" s="3">
        <v>-48</v>
      </c>
      <c r="E133" s="1">
        <v>-48</v>
      </c>
      <c r="F133" s="1">
        <v>-44</v>
      </c>
      <c r="G133" s="1">
        <v>-43</v>
      </c>
      <c r="H133" s="1">
        <v>-43</v>
      </c>
      <c r="I133" s="1">
        <v>-44</v>
      </c>
      <c r="J133" s="1">
        <v>-45</v>
      </c>
      <c r="K133" s="4">
        <v>-45</v>
      </c>
      <c r="M133" s="3">
        <f t="shared" si="160"/>
        <v>-56</v>
      </c>
      <c r="N133" s="1">
        <f t="shared" si="161"/>
        <v>-56</v>
      </c>
      <c r="O133" s="1">
        <f t="shared" si="162"/>
        <v>-53</v>
      </c>
      <c r="P133" s="1">
        <f t="shared" si="163"/>
        <v>-51</v>
      </c>
      <c r="Q133" s="1">
        <f t="shared" si="164"/>
        <v>-49</v>
      </c>
      <c r="R133" s="1">
        <f t="shared" si="165"/>
        <v>-50</v>
      </c>
      <c r="S133" s="1">
        <f t="shared" si="166"/>
        <v>-50</v>
      </c>
      <c r="T133" s="4">
        <f t="shared" si="167"/>
        <v>-50</v>
      </c>
      <c r="V133" s="3">
        <f t="shared" si="168"/>
        <v>-70</v>
      </c>
      <c r="W133" s="1">
        <f t="shared" si="169"/>
        <v>-70</v>
      </c>
      <c r="X133" s="1">
        <f t="shared" si="170"/>
        <v>-70</v>
      </c>
      <c r="Y133" s="1">
        <f t="shared" si="171"/>
        <v>-67</v>
      </c>
      <c r="Z133" s="1">
        <f t="shared" si="172"/>
        <v>-62</v>
      </c>
      <c r="AA133" s="1">
        <f t="shared" si="173"/>
        <v>-62</v>
      </c>
      <c r="AB133" s="1">
        <f t="shared" si="174"/>
        <v>-61</v>
      </c>
      <c r="AC133" s="4">
        <f t="shared" si="175"/>
        <v>-61</v>
      </c>
      <c r="AE133" s="3">
        <f t="shared" si="176"/>
        <v>-73</v>
      </c>
      <c r="AF133" s="1">
        <f t="shared" si="177"/>
        <v>-73</v>
      </c>
      <c r="AG133" s="1">
        <f t="shared" si="178"/>
        <v>-68</v>
      </c>
      <c r="AH133" s="1">
        <f t="shared" si="179"/>
        <v>-70</v>
      </c>
      <c r="AI133" s="1">
        <f t="shared" si="180"/>
        <v>-74</v>
      </c>
      <c r="AJ133" s="1">
        <f t="shared" si="181"/>
        <v>-77</v>
      </c>
      <c r="AK133" s="1">
        <f t="shared" si="182"/>
        <v>-79</v>
      </c>
      <c r="AL133" s="4">
        <f t="shared" si="183"/>
        <v>-79</v>
      </c>
      <c r="AN133" s="3">
        <f t="shared" si="184"/>
        <v>-78</v>
      </c>
      <c r="AO133" s="1">
        <f t="shared" si="185"/>
        <v>-78</v>
      </c>
      <c r="AP133" s="1">
        <f t="shared" si="186"/>
        <v>-76</v>
      </c>
      <c r="AQ133" s="1">
        <f t="shared" si="187"/>
        <v>-75</v>
      </c>
      <c r="AR133" s="1">
        <f t="shared" si="188"/>
        <v>-79</v>
      </c>
      <c r="AS133" s="1">
        <f t="shared" si="189"/>
        <v>-82</v>
      </c>
      <c r="AT133" s="1">
        <f t="shared" si="190"/>
        <v>-84</v>
      </c>
      <c r="AU133" s="4">
        <f t="shared" si="191"/>
        <v>-84</v>
      </c>
      <c r="AW133" s="3">
        <f t="shared" si="192"/>
        <v>-80</v>
      </c>
      <c r="AX133" s="1">
        <f t="shared" si="193"/>
        <v>-80</v>
      </c>
      <c r="AY133" s="1">
        <f t="shared" si="194"/>
        <v>-79</v>
      </c>
      <c r="AZ133" s="1">
        <f t="shared" si="195"/>
        <v>-78</v>
      </c>
      <c r="BA133" s="1">
        <f t="shared" si="196"/>
        <v>-82</v>
      </c>
      <c r="BB133" s="1">
        <f t="shared" si="197"/>
        <v>-84</v>
      </c>
      <c r="BC133" s="1">
        <f t="shared" si="198"/>
        <v>-86</v>
      </c>
      <c r="BD133" s="4">
        <f t="shared" si="199"/>
        <v>-86</v>
      </c>
      <c r="BF133" s="3">
        <v>-8</v>
      </c>
      <c r="BG133" s="1">
        <v>-8</v>
      </c>
      <c r="BH133" s="1">
        <v>-9</v>
      </c>
      <c r="BI133" s="1">
        <v>-8</v>
      </c>
      <c r="BJ133" s="1">
        <v>-6</v>
      </c>
      <c r="BK133" s="1">
        <v>-6</v>
      </c>
      <c r="BL133" s="1">
        <v>-5</v>
      </c>
      <c r="BM133" s="4">
        <v>-5</v>
      </c>
      <c r="BO133" s="3">
        <v>-14</v>
      </c>
      <c r="BP133" s="1">
        <v>-14</v>
      </c>
      <c r="BQ133" s="1">
        <v>-17</v>
      </c>
      <c r="BR133" s="1">
        <v>-16</v>
      </c>
      <c r="BS133" s="1">
        <v>-13</v>
      </c>
      <c r="BT133" s="1">
        <v>-12</v>
      </c>
      <c r="BU133" s="1">
        <v>-11</v>
      </c>
      <c r="BV133" s="4">
        <v>-11</v>
      </c>
      <c r="BX133" s="3">
        <v>-25</v>
      </c>
      <c r="BY133" s="1">
        <v>-25</v>
      </c>
      <c r="BZ133" s="1">
        <v>-24</v>
      </c>
      <c r="CA133" s="1">
        <v>-27</v>
      </c>
      <c r="CB133" s="1">
        <v>-31</v>
      </c>
      <c r="CC133" s="1">
        <v>-33</v>
      </c>
      <c r="CD133" s="1">
        <v>-34</v>
      </c>
      <c r="CE133" s="4">
        <v>-34</v>
      </c>
      <c r="CG133" s="3">
        <v>-5</v>
      </c>
      <c r="CH133" s="1">
        <v>-5</v>
      </c>
      <c r="CI133" s="1">
        <v>-8</v>
      </c>
      <c r="CJ133" s="1">
        <v>-5</v>
      </c>
      <c r="CK133" s="1">
        <v>-5</v>
      </c>
      <c r="CL133" s="1">
        <v>-5</v>
      </c>
      <c r="CM133" s="1">
        <v>-5</v>
      </c>
      <c r="CN133" s="4">
        <v>-5</v>
      </c>
      <c r="CP133" s="3">
        <v>-7</v>
      </c>
      <c r="CQ133" s="1">
        <v>-7</v>
      </c>
      <c r="CR133" s="1">
        <v>-11</v>
      </c>
      <c r="CS133" s="1">
        <v>-8</v>
      </c>
      <c r="CT133" s="1">
        <v>-8</v>
      </c>
      <c r="CU133" s="1">
        <v>-7</v>
      </c>
      <c r="CV133" s="1">
        <v>-7</v>
      </c>
      <c r="CW133" s="4">
        <v>-7</v>
      </c>
    </row>
    <row r="134" spans="1:101">
      <c r="A134" s="8" t="str">
        <f>VLOOKUP(B134,List!W:X,2,1)</f>
        <v>0.95 - 0.99</v>
      </c>
      <c r="B134" s="8">
        <v>0.95</v>
      </c>
      <c r="C134" s="8" t="s">
        <v>11</v>
      </c>
      <c r="D134" s="3">
        <v>-50</v>
      </c>
      <c r="E134" s="1">
        <v>-50</v>
      </c>
      <c r="F134" s="1">
        <v>-47</v>
      </c>
      <c r="G134" s="1">
        <v>-45</v>
      </c>
      <c r="H134" s="1">
        <v>-45</v>
      </c>
      <c r="I134" s="1">
        <v>-45</v>
      </c>
      <c r="J134" s="1">
        <v>-46</v>
      </c>
      <c r="K134" s="4">
        <v>-45</v>
      </c>
      <c r="M134" s="3">
        <f t="shared" si="160"/>
        <v>-56</v>
      </c>
      <c r="N134" s="1">
        <f t="shared" si="161"/>
        <v>-56</v>
      </c>
      <c r="O134" s="1">
        <f t="shared" si="162"/>
        <v>-55</v>
      </c>
      <c r="P134" s="1">
        <f t="shared" si="163"/>
        <v>-53</v>
      </c>
      <c r="Q134" s="1">
        <f t="shared" si="164"/>
        <v>-51</v>
      </c>
      <c r="R134" s="1">
        <f t="shared" si="165"/>
        <v>-49</v>
      </c>
      <c r="S134" s="1">
        <f t="shared" si="166"/>
        <v>-51</v>
      </c>
      <c r="T134" s="4">
        <f t="shared" si="167"/>
        <v>-51</v>
      </c>
      <c r="V134" s="3">
        <f t="shared" si="168"/>
        <v>-66</v>
      </c>
      <c r="W134" s="1">
        <f t="shared" si="169"/>
        <v>-66</v>
      </c>
      <c r="X134" s="1">
        <f t="shared" si="170"/>
        <v>-69</v>
      </c>
      <c r="Y134" s="1">
        <f t="shared" si="171"/>
        <v>-66</v>
      </c>
      <c r="Z134" s="1">
        <f t="shared" si="172"/>
        <v>-61</v>
      </c>
      <c r="AA134" s="1">
        <f t="shared" si="173"/>
        <v>-58</v>
      </c>
      <c r="AB134" s="1">
        <f t="shared" si="174"/>
        <v>-62</v>
      </c>
      <c r="AC134" s="4">
        <f t="shared" si="175"/>
        <v>-62</v>
      </c>
      <c r="AE134" s="3">
        <f t="shared" si="176"/>
        <v>-75</v>
      </c>
      <c r="AF134" s="1">
        <f t="shared" si="177"/>
        <v>-75</v>
      </c>
      <c r="AG134" s="1">
        <f t="shared" si="178"/>
        <v>-74</v>
      </c>
      <c r="AH134" s="1">
        <f t="shared" si="179"/>
        <v>-75</v>
      </c>
      <c r="AI134" s="1">
        <f t="shared" si="180"/>
        <v>-75</v>
      </c>
      <c r="AJ134" s="1">
        <f t="shared" si="181"/>
        <v>-77</v>
      </c>
      <c r="AK134" s="1">
        <f t="shared" si="182"/>
        <v>-77</v>
      </c>
      <c r="AL134" s="4">
        <f t="shared" si="183"/>
        <v>-77</v>
      </c>
      <c r="AN134" s="3">
        <f t="shared" si="184"/>
        <v>-79</v>
      </c>
      <c r="AO134" s="1">
        <f t="shared" si="185"/>
        <v>-79</v>
      </c>
      <c r="AP134" s="1">
        <f t="shared" si="186"/>
        <v>-81</v>
      </c>
      <c r="AQ134" s="1">
        <f t="shared" si="187"/>
        <v>-81</v>
      </c>
      <c r="AR134" s="1">
        <f t="shared" si="188"/>
        <v>-80</v>
      </c>
      <c r="AS134" s="1">
        <f t="shared" si="189"/>
        <v>-81</v>
      </c>
      <c r="AT134" s="1">
        <f t="shared" si="190"/>
        <v>-83</v>
      </c>
      <c r="AU134" s="4">
        <f t="shared" si="191"/>
        <v>-81</v>
      </c>
      <c r="AW134" s="3">
        <f t="shared" si="192"/>
        <v>-82</v>
      </c>
      <c r="AX134" s="1">
        <f t="shared" si="193"/>
        <v>-82</v>
      </c>
      <c r="AY134" s="1">
        <f t="shared" si="194"/>
        <v>-84</v>
      </c>
      <c r="AZ134" s="1">
        <f t="shared" si="195"/>
        <v>-83</v>
      </c>
      <c r="BA134" s="1">
        <f t="shared" si="196"/>
        <v>-83</v>
      </c>
      <c r="BB134" s="1">
        <f t="shared" si="197"/>
        <v>-84</v>
      </c>
      <c r="BC134" s="1">
        <f t="shared" si="198"/>
        <v>-86</v>
      </c>
      <c r="BD134" s="4">
        <f t="shared" si="199"/>
        <v>-84</v>
      </c>
      <c r="BF134" s="3">
        <v>-6</v>
      </c>
      <c r="BG134" s="1">
        <v>-6</v>
      </c>
      <c r="BH134" s="1">
        <v>-8</v>
      </c>
      <c r="BI134" s="1">
        <v>-8</v>
      </c>
      <c r="BJ134" s="1">
        <v>-6</v>
      </c>
      <c r="BK134" s="1">
        <v>-4</v>
      </c>
      <c r="BL134" s="1">
        <v>-5</v>
      </c>
      <c r="BM134" s="4">
        <v>-6</v>
      </c>
      <c r="BO134" s="3">
        <v>-10</v>
      </c>
      <c r="BP134" s="1">
        <v>-10</v>
      </c>
      <c r="BQ134" s="1">
        <v>-14</v>
      </c>
      <c r="BR134" s="1">
        <v>-13</v>
      </c>
      <c r="BS134" s="1">
        <v>-10</v>
      </c>
      <c r="BT134" s="1">
        <v>-9</v>
      </c>
      <c r="BU134" s="1">
        <v>-11</v>
      </c>
      <c r="BV134" s="4">
        <v>-11</v>
      </c>
      <c r="BX134" s="3">
        <v>-25</v>
      </c>
      <c r="BY134" s="1">
        <v>-25</v>
      </c>
      <c r="BZ134" s="1">
        <v>-27</v>
      </c>
      <c r="CA134" s="1">
        <v>-30</v>
      </c>
      <c r="CB134" s="1">
        <v>-30</v>
      </c>
      <c r="CC134" s="1">
        <v>-32</v>
      </c>
      <c r="CD134" s="1">
        <v>-31</v>
      </c>
      <c r="CE134" s="4">
        <v>-32</v>
      </c>
      <c r="CG134" s="3">
        <v>-4</v>
      </c>
      <c r="CH134" s="1">
        <v>-4</v>
      </c>
      <c r="CI134" s="1">
        <v>-7</v>
      </c>
      <c r="CJ134" s="1">
        <v>-6</v>
      </c>
      <c r="CK134" s="1">
        <v>-5</v>
      </c>
      <c r="CL134" s="1">
        <v>-4</v>
      </c>
      <c r="CM134" s="1">
        <v>-6</v>
      </c>
      <c r="CN134" s="4">
        <v>-4</v>
      </c>
      <c r="CP134" s="3">
        <v>-7</v>
      </c>
      <c r="CQ134" s="1">
        <v>-7</v>
      </c>
      <c r="CR134" s="1">
        <v>-10</v>
      </c>
      <c r="CS134" s="1">
        <v>-8</v>
      </c>
      <c r="CT134" s="1">
        <v>-8</v>
      </c>
      <c r="CU134" s="1">
        <v>-7</v>
      </c>
      <c r="CV134" s="1">
        <v>-9</v>
      </c>
      <c r="CW134" s="4">
        <v>-7</v>
      </c>
    </row>
    <row r="135" spans="1:101">
      <c r="A135" s="8" t="str">
        <f>VLOOKUP(B135,List!W:X,2,1)</f>
        <v>0.95 - 0.99</v>
      </c>
      <c r="B135" s="8">
        <v>0.95</v>
      </c>
      <c r="C135" s="8" t="s">
        <v>12</v>
      </c>
      <c r="D135" s="3">
        <v>-47</v>
      </c>
      <c r="E135" s="1">
        <v>-47</v>
      </c>
      <c r="F135" s="1">
        <v>-48</v>
      </c>
      <c r="G135" s="1">
        <v>-48</v>
      </c>
      <c r="H135" s="1">
        <v>-47</v>
      </c>
      <c r="I135" s="1">
        <v>-47</v>
      </c>
      <c r="J135" s="1">
        <v>-47</v>
      </c>
      <c r="K135" s="4">
        <v>-47</v>
      </c>
      <c r="M135" s="3">
        <f t="shared" si="160"/>
        <v>-55</v>
      </c>
      <c r="N135" s="1">
        <f t="shared" si="161"/>
        <v>-55</v>
      </c>
      <c r="O135" s="1">
        <f t="shared" si="162"/>
        <v>-55</v>
      </c>
      <c r="P135" s="1">
        <f t="shared" si="163"/>
        <v>-54</v>
      </c>
      <c r="Q135" s="1">
        <f t="shared" si="164"/>
        <v>-51</v>
      </c>
      <c r="R135" s="1">
        <f t="shared" si="165"/>
        <v>-51</v>
      </c>
      <c r="S135" s="1">
        <f t="shared" si="166"/>
        <v>-52</v>
      </c>
      <c r="T135" s="4">
        <f t="shared" si="167"/>
        <v>-52</v>
      </c>
      <c r="V135" s="3">
        <f t="shared" si="168"/>
        <v>-67</v>
      </c>
      <c r="W135" s="1">
        <f t="shared" si="169"/>
        <v>-67</v>
      </c>
      <c r="X135" s="1">
        <f t="shared" si="170"/>
        <v>-67</v>
      </c>
      <c r="Y135" s="1">
        <f t="shared" si="171"/>
        <v>-65</v>
      </c>
      <c r="Z135" s="1">
        <f t="shared" si="172"/>
        <v>-60</v>
      </c>
      <c r="AA135" s="1">
        <f t="shared" si="173"/>
        <v>-59</v>
      </c>
      <c r="AB135" s="1">
        <f t="shared" si="174"/>
        <v>-63</v>
      </c>
      <c r="AC135" s="4">
        <f t="shared" si="175"/>
        <v>-62</v>
      </c>
      <c r="AE135" s="3">
        <f t="shared" si="176"/>
        <v>-84</v>
      </c>
      <c r="AF135" s="1">
        <f t="shared" si="177"/>
        <v>-84</v>
      </c>
      <c r="AG135" s="1">
        <f t="shared" si="178"/>
        <v>-84</v>
      </c>
      <c r="AH135" s="1">
        <f t="shared" si="179"/>
        <v>-82</v>
      </c>
      <c r="AI135" s="1">
        <f t="shared" si="180"/>
        <v>-81</v>
      </c>
      <c r="AJ135" s="1">
        <f t="shared" si="181"/>
        <v>-81</v>
      </c>
      <c r="AK135" s="1">
        <f t="shared" si="182"/>
        <v>-77</v>
      </c>
      <c r="AL135" s="4">
        <f t="shared" si="183"/>
        <v>-77</v>
      </c>
      <c r="AN135" s="3">
        <f t="shared" si="184"/>
        <v>-88</v>
      </c>
      <c r="AO135" s="1">
        <f t="shared" si="185"/>
        <v>-88</v>
      </c>
      <c r="AP135" s="1">
        <f t="shared" si="186"/>
        <v>-89</v>
      </c>
      <c r="AQ135" s="1">
        <f t="shared" si="187"/>
        <v>-86</v>
      </c>
      <c r="AR135" s="1">
        <f t="shared" si="188"/>
        <v>-85</v>
      </c>
      <c r="AS135" s="1">
        <f t="shared" si="189"/>
        <v>-85</v>
      </c>
      <c r="AT135" s="1">
        <f t="shared" si="190"/>
        <v>-81</v>
      </c>
      <c r="AU135" s="4">
        <f t="shared" si="191"/>
        <v>-80</v>
      </c>
      <c r="AW135" s="3">
        <f t="shared" si="192"/>
        <v>-91</v>
      </c>
      <c r="AX135" s="1">
        <f t="shared" si="193"/>
        <v>-91</v>
      </c>
      <c r="AY135" s="1">
        <f t="shared" si="194"/>
        <v>-91</v>
      </c>
      <c r="AZ135" s="1">
        <f t="shared" si="195"/>
        <v>-88</v>
      </c>
      <c r="BA135" s="1">
        <f t="shared" si="196"/>
        <v>-87</v>
      </c>
      <c r="BB135" s="1">
        <f t="shared" si="197"/>
        <v>-87</v>
      </c>
      <c r="BC135" s="1">
        <f t="shared" si="198"/>
        <v>-84</v>
      </c>
      <c r="BD135" s="4">
        <f t="shared" si="199"/>
        <v>-83</v>
      </c>
      <c r="BF135" s="3">
        <v>-8</v>
      </c>
      <c r="BG135" s="1">
        <v>-8</v>
      </c>
      <c r="BH135" s="1">
        <v>-7</v>
      </c>
      <c r="BI135" s="1">
        <v>-6</v>
      </c>
      <c r="BJ135" s="1">
        <v>-4</v>
      </c>
      <c r="BK135" s="1">
        <v>-4</v>
      </c>
      <c r="BL135" s="1">
        <v>-5</v>
      </c>
      <c r="BM135" s="4">
        <v>-5</v>
      </c>
      <c r="BO135" s="3">
        <v>-12</v>
      </c>
      <c r="BP135" s="1">
        <v>-12</v>
      </c>
      <c r="BQ135" s="1">
        <v>-12</v>
      </c>
      <c r="BR135" s="1">
        <v>-11</v>
      </c>
      <c r="BS135" s="1">
        <v>-9</v>
      </c>
      <c r="BT135" s="1">
        <v>-8</v>
      </c>
      <c r="BU135" s="1">
        <v>-11</v>
      </c>
      <c r="BV135" s="4">
        <v>-10</v>
      </c>
      <c r="BX135" s="3">
        <v>-37</v>
      </c>
      <c r="BY135" s="1">
        <v>-37</v>
      </c>
      <c r="BZ135" s="1">
        <v>-36</v>
      </c>
      <c r="CA135" s="1">
        <v>-34</v>
      </c>
      <c r="CB135" s="1">
        <v>-34</v>
      </c>
      <c r="CC135" s="1">
        <v>-34</v>
      </c>
      <c r="CD135" s="1">
        <v>-30</v>
      </c>
      <c r="CE135" s="4">
        <v>-30</v>
      </c>
      <c r="CG135" s="3">
        <v>-4</v>
      </c>
      <c r="CH135" s="1">
        <v>-4</v>
      </c>
      <c r="CI135" s="1">
        <v>-5</v>
      </c>
      <c r="CJ135" s="1">
        <v>-4</v>
      </c>
      <c r="CK135" s="1">
        <v>-4</v>
      </c>
      <c r="CL135" s="1">
        <v>-4</v>
      </c>
      <c r="CM135" s="1">
        <v>-4</v>
      </c>
      <c r="CN135" s="4">
        <v>-3</v>
      </c>
      <c r="CP135" s="3">
        <v>-7</v>
      </c>
      <c r="CQ135" s="1">
        <v>-7</v>
      </c>
      <c r="CR135" s="1">
        <v>-7</v>
      </c>
      <c r="CS135" s="1">
        <v>-6</v>
      </c>
      <c r="CT135" s="1">
        <v>-6</v>
      </c>
      <c r="CU135" s="1">
        <v>-6</v>
      </c>
      <c r="CV135" s="1">
        <v>-7</v>
      </c>
      <c r="CW135" s="4">
        <v>-6</v>
      </c>
    </row>
    <row r="136" spans="1:101">
      <c r="A136" s="8" t="str">
        <f>VLOOKUP(B136,List!W:X,2,1)</f>
        <v>0.95 - 0.99</v>
      </c>
      <c r="B136" s="8">
        <v>0.95</v>
      </c>
      <c r="C136" s="8" t="s">
        <v>13</v>
      </c>
      <c r="D136" s="3">
        <v>-43</v>
      </c>
      <c r="E136" s="1">
        <v>-43</v>
      </c>
      <c r="F136" s="1">
        <v>-41</v>
      </c>
      <c r="G136" s="1">
        <v>-42</v>
      </c>
      <c r="H136" s="1">
        <v>-45</v>
      </c>
      <c r="I136" s="1">
        <v>-47</v>
      </c>
      <c r="J136" s="1">
        <v>-48</v>
      </c>
      <c r="K136" s="4">
        <v>-47</v>
      </c>
      <c r="M136" s="3">
        <f t="shared" si="160"/>
        <v>-52</v>
      </c>
      <c r="N136" s="1">
        <f t="shared" si="161"/>
        <v>-52</v>
      </c>
      <c r="O136" s="1">
        <f t="shared" si="162"/>
        <v>-51</v>
      </c>
      <c r="P136" s="1">
        <f t="shared" si="163"/>
        <v>-51</v>
      </c>
      <c r="Q136" s="1">
        <f t="shared" si="164"/>
        <v>-49</v>
      </c>
      <c r="R136" s="1">
        <f t="shared" si="165"/>
        <v>-51</v>
      </c>
      <c r="S136" s="1">
        <f t="shared" si="166"/>
        <v>-53</v>
      </c>
      <c r="T136" s="4">
        <f t="shared" si="167"/>
        <v>-53</v>
      </c>
      <c r="V136" s="3">
        <f t="shared" si="168"/>
        <v>-67</v>
      </c>
      <c r="W136" s="1">
        <f t="shared" si="169"/>
        <v>-67</v>
      </c>
      <c r="X136" s="1">
        <f t="shared" si="170"/>
        <v>-67</v>
      </c>
      <c r="Y136" s="1">
        <f t="shared" si="171"/>
        <v>-66</v>
      </c>
      <c r="Z136" s="1">
        <f t="shared" si="172"/>
        <v>-58</v>
      </c>
      <c r="AA136" s="1">
        <f t="shared" si="173"/>
        <v>-59</v>
      </c>
      <c r="AB136" s="1">
        <f t="shared" si="174"/>
        <v>-63</v>
      </c>
      <c r="AC136" s="4">
        <f t="shared" si="175"/>
        <v>-63</v>
      </c>
      <c r="AE136" s="3">
        <f t="shared" si="176"/>
        <v>-73</v>
      </c>
      <c r="AF136" s="1">
        <f t="shared" si="177"/>
        <v>-73</v>
      </c>
      <c r="AG136" s="1">
        <f t="shared" si="178"/>
        <v>-72</v>
      </c>
      <c r="AH136" s="1">
        <f t="shared" si="179"/>
        <v>-74</v>
      </c>
      <c r="AI136" s="1">
        <f t="shared" si="180"/>
        <v>-76</v>
      </c>
      <c r="AJ136" s="1">
        <f t="shared" si="181"/>
        <v>-77</v>
      </c>
      <c r="AK136" s="1">
        <f t="shared" si="182"/>
        <v>-76</v>
      </c>
      <c r="AL136" s="4">
        <f t="shared" si="183"/>
        <v>-74</v>
      </c>
      <c r="AN136" s="3">
        <f t="shared" si="184"/>
        <v>-76</v>
      </c>
      <c r="AO136" s="1">
        <f t="shared" si="185"/>
        <v>-76</v>
      </c>
      <c r="AP136" s="1">
        <f t="shared" si="186"/>
        <v>-74</v>
      </c>
      <c r="AQ136" s="1">
        <f t="shared" si="187"/>
        <v>-77</v>
      </c>
      <c r="AR136" s="1">
        <f t="shared" si="188"/>
        <v>-80</v>
      </c>
      <c r="AS136" s="1">
        <f t="shared" si="189"/>
        <v>-81</v>
      </c>
      <c r="AT136" s="1">
        <f t="shared" si="190"/>
        <v>-80</v>
      </c>
      <c r="AU136" s="4">
        <f t="shared" si="191"/>
        <v>-78</v>
      </c>
      <c r="AW136" s="3">
        <f t="shared" si="192"/>
        <v>-80</v>
      </c>
      <c r="AX136" s="1">
        <f t="shared" si="193"/>
        <v>-80</v>
      </c>
      <c r="AY136" s="1">
        <f t="shared" si="194"/>
        <v>-78</v>
      </c>
      <c r="AZ136" s="1">
        <f t="shared" si="195"/>
        <v>-80</v>
      </c>
      <c r="BA136" s="1">
        <f t="shared" si="196"/>
        <v>-84</v>
      </c>
      <c r="BB136" s="1">
        <f t="shared" si="197"/>
        <v>-84</v>
      </c>
      <c r="BC136" s="1">
        <f t="shared" si="198"/>
        <v>-82</v>
      </c>
      <c r="BD136" s="4">
        <f t="shared" si="199"/>
        <v>-81</v>
      </c>
      <c r="BF136" s="3">
        <v>-9</v>
      </c>
      <c r="BG136" s="1">
        <v>-9</v>
      </c>
      <c r="BH136" s="1">
        <v>-10</v>
      </c>
      <c r="BI136" s="1">
        <v>-9</v>
      </c>
      <c r="BJ136" s="1">
        <v>-4</v>
      </c>
      <c r="BK136" s="1">
        <v>-4</v>
      </c>
      <c r="BL136" s="1">
        <v>-5</v>
      </c>
      <c r="BM136" s="4">
        <v>-6</v>
      </c>
      <c r="BO136" s="3">
        <v>-15</v>
      </c>
      <c r="BP136" s="1">
        <v>-15</v>
      </c>
      <c r="BQ136" s="1">
        <v>-16</v>
      </c>
      <c r="BR136" s="1">
        <v>-15</v>
      </c>
      <c r="BS136" s="1">
        <v>-9</v>
      </c>
      <c r="BT136" s="1">
        <v>-8</v>
      </c>
      <c r="BU136" s="1">
        <v>-10</v>
      </c>
      <c r="BV136" s="4">
        <v>-10</v>
      </c>
      <c r="BX136" s="3">
        <v>-30</v>
      </c>
      <c r="BY136" s="1">
        <v>-30</v>
      </c>
      <c r="BZ136" s="1">
        <v>-31</v>
      </c>
      <c r="CA136" s="1">
        <v>-32</v>
      </c>
      <c r="CB136" s="1">
        <v>-31</v>
      </c>
      <c r="CC136" s="1">
        <v>-30</v>
      </c>
      <c r="CD136" s="1">
        <v>-28</v>
      </c>
      <c r="CE136" s="4">
        <v>-27</v>
      </c>
      <c r="CG136" s="3">
        <v>-3</v>
      </c>
      <c r="CH136" s="1">
        <v>-3</v>
      </c>
      <c r="CI136" s="1">
        <v>-2</v>
      </c>
      <c r="CJ136" s="1">
        <v>-3</v>
      </c>
      <c r="CK136" s="1">
        <v>-4</v>
      </c>
      <c r="CL136" s="1">
        <v>-4</v>
      </c>
      <c r="CM136" s="1">
        <v>-4</v>
      </c>
      <c r="CN136" s="4">
        <v>-4</v>
      </c>
      <c r="CP136" s="3">
        <v>-7</v>
      </c>
      <c r="CQ136" s="1">
        <v>-7</v>
      </c>
      <c r="CR136" s="1">
        <v>-6</v>
      </c>
      <c r="CS136" s="1">
        <v>-6</v>
      </c>
      <c r="CT136" s="1">
        <v>-8</v>
      </c>
      <c r="CU136" s="1">
        <v>-7</v>
      </c>
      <c r="CV136" s="1">
        <v>-6</v>
      </c>
      <c r="CW136" s="4">
        <v>-7</v>
      </c>
    </row>
    <row r="137" spans="1:101">
      <c r="A137" s="8" t="str">
        <f>VLOOKUP(B137,List!W:X,2,1)</f>
        <v>0.95 - 0.99</v>
      </c>
      <c r="B137" s="8">
        <v>0.95</v>
      </c>
      <c r="C137" s="8" t="s">
        <v>14</v>
      </c>
      <c r="D137" s="3">
        <v>-47</v>
      </c>
      <c r="E137" s="1">
        <v>-47</v>
      </c>
      <c r="F137" s="1">
        <v>-45</v>
      </c>
      <c r="G137" s="1">
        <v>-44</v>
      </c>
      <c r="H137" s="1">
        <v>-45</v>
      </c>
      <c r="I137" s="1">
        <v>-47</v>
      </c>
      <c r="J137" s="1">
        <v>-49</v>
      </c>
      <c r="K137" s="4">
        <v>-48</v>
      </c>
      <c r="M137" s="3">
        <f t="shared" si="160"/>
        <v>-54</v>
      </c>
      <c r="N137" s="1">
        <f t="shared" si="161"/>
        <v>-54</v>
      </c>
      <c r="O137" s="1">
        <f t="shared" si="162"/>
        <v>-52</v>
      </c>
      <c r="P137" s="1">
        <f t="shared" si="163"/>
        <v>-51</v>
      </c>
      <c r="Q137" s="1">
        <f t="shared" si="164"/>
        <v>-50</v>
      </c>
      <c r="R137" s="1">
        <f t="shared" si="165"/>
        <v>-50</v>
      </c>
      <c r="S137" s="1">
        <f t="shared" si="166"/>
        <v>-55</v>
      </c>
      <c r="T137" s="4">
        <f t="shared" si="167"/>
        <v>-54</v>
      </c>
      <c r="V137" s="3">
        <f t="shared" si="168"/>
        <v>-64</v>
      </c>
      <c r="W137" s="1">
        <f t="shared" si="169"/>
        <v>-64</v>
      </c>
      <c r="X137" s="1">
        <f t="shared" si="170"/>
        <v>-63</v>
      </c>
      <c r="Y137" s="1">
        <f t="shared" si="171"/>
        <v>-62</v>
      </c>
      <c r="Z137" s="1">
        <f t="shared" si="172"/>
        <v>-59</v>
      </c>
      <c r="AA137" s="1">
        <f t="shared" si="173"/>
        <v>-58</v>
      </c>
      <c r="AB137" s="1">
        <f t="shared" si="174"/>
        <v>-64</v>
      </c>
      <c r="AC137" s="4">
        <f t="shared" si="175"/>
        <v>-63</v>
      </c>
      <c r="AE137" s="3">
        <f t="shared" si="176"/>
        <v>-74</v>
      </c>
      <c r="AF137" s="1">
        <f t="shared" si="177"/>
        <v>-74</v>
      </c>
      <c r="AG137" s="1">
        <f t="shared" si="178"/>
        <v>-74</v>
      </c>
      <c r="AH137" s="1">
        <f t="shared" si="179"/>
        <v>-74</v>
      </c>
      <c r="AI137" s="1">
        <f t="shared" si="180"/>
        <v>-75</v>
      </c>
      <c r="AJ137" s="1">
        <f t="shared" si="181"/>
        <v>-78</v>
      </c>
      <c r="AK137" s="1">
        <f t="shared" si="182"/>
        <v>-78</v>
      </c>
      <c r="AL137" s="4">
        <f t="shared" si="183"/>
        <v>-77</v>
      </c>
      <c r="AN137" s="3">
        <f t="shared" si="184"/>
        <v>-77</v>
      </c>
      <c r="AO137" s="1">
        <f t="shared" si="185"/>
        <v>-77</v>
      </c>
      <c r="AP137" s="1">
        <f t="shared" si="186"/>
        <v>-78</v>
      </c>
      <c r="AQ137" s="1">
        <f t="shared" si="187"/>
        <v>-76</v>
      </c>
      <c r="AR137" s="1">
        <f t="shared" si="188"/>
        <v>-77</v>
      </c>
      <c r="AS137" s="1">
        <f t="shared" si="189"/>
        <v>-81</v>
      </c>
      <c r="AT137" s="1">
        <f t="shared" si="190"/>
        <v>-81</v>
      </c>
      <c r="AU137" s="4">
        <f t="shared" si="191"/>
        <v>-80</v>
      </c>
      <c r="AW137" s="3">
        <f t="shared" si="192"/>
        <v>-79</v>
      </c>
      <c r="AX137" s="1">
        <f t="shared" si="193"/>
        <v>-79</v>
      </c>
      <c r="AY137" s="1">
        <f t="shared" si="194"/>
        <v>-80</v>
      </c>
      <c r="AZ137" s="1">
        <f t="shared" si="195"/>
        <v>-79</v>
      </c>
      <c r="BA137" s="1">
        <f t="shared" si="196"/>
        <v>-80</v>
      </c>
      <c r="BB137" s="1">
        <f t="shared" si="197"/>
        <v>-83</v>
      </c>
      <c r="BC137" s="1">
        <f t="shared" si="198"/>
        <v>-84</v>
      </c>
      <c r="BD137" s="4">
        <f t="shared" si="199"/>
        <v>-83</v>
      </c>
      <c r="BF137" s="3">
        <v>-7</v>
      </c>
      <c r="BG137" s="1">
        <v>-7</v>
      </c>
      <c r="BH137" s="1">
        <v>-7</v>
      </c>
      <c r="BI137" s="1">
        <v>-7</v>
      </c>
      <c r="BJ137" s="1">
        <v>-5</v>
      </c>
      <c r="BK137" s="1">
        <v>-3</v>
      </c>
      <c r="BL137" s="1">
        <v>-6</v>
      </c>
      <c r="BM137" s="4">
        <v>-6</v>
      </c>
      <c r="BO137" s="3">
        <v>-10</v>
      </c>
      <c r="BP137" s="1">
        <v>-10</v>
      </c>
      <c r="BQ137" s="1">
        <v>-11</v>
      </c>
      <c r="BR137" s="1">
        <v>-11</v>
      </c>
      <c r="BS137" s="1">
        <v>-9</v>
      </c>
      <c r="BT137" s="1">
        <v>-8</v>
      </c>
      <c r="BU137" s="1">
        <v>-9</v>
      </c>
      <c r="BV137" s="4">
        <v>-9</v>
      </c>
      <c r="BX137" s="3">
        <v>-27</v>
      </c>
      <c r="BY137" s="1">
        <v>-27</v>
      </c>
      <c r="BZ137" s="1">
        <v>-29</v>
      </c>
      <c r="CA137" s="1">
        <v>-30</v>
      </c>
      <c r="CB137" s="1">
        <v>-30</v>
      </c>
      <c r="CC137" s="1">
        <v>-31</v>
      </c>
      <c r="CD137" s="1">
        <v>-29</v>
      </c>
      <c r="CE137" s="4">
        <v>-29</v>
      </c>
      <c r="CG137" s="3">
        <v>-3</v>
      </c>
      <c r="CH137" s="1">
        <v>-3</v>
      </c>
      <c r="CI137" s="1">
        <v>-4</v>
      </c>
      <c r="CJ137" s="1">
        <v>-2</v>
      </c>
      <c r="CK137" s="1">
        <v>-2</v>
      </c>
      <c r="CL137" s="1">
        <v>-3</v>
      </c>
      <c r="CM137" s="1">
        <v>-3</v>
      </c>
      <c r="CN137" s="4">
        <v>-3</v>
      </c>
      <c r="CP137" s="3">
        <v>-5</v>
      </c>
      <c r="CQ137" s="1">
        <v>-5</v>
      </c>
      <c r="CR137" s="1">
        <v>-6</v>
      </c>
      <c r="CS137" s="1">
        <v>-5</v>
      </c>
      <c r="CT137" s="1">
        <v>-5</v>
      </c>
      <c r="CU137" s="1">
        <v>-5</v>
      </c>
      <c r="CV137" s="1">
        <v>-6</v>
      </c>
      <c r="CW137" s="4">
        <v>-6</v>
      </c>
    </row>
    <row r="138" spans="1:101">
      <c r="A138" s="8" t="str">
        <f>VLOOKUP(B138,List!W:X,2,1)</f>
        <v>0.95 - 0.99</v>
      </c>
      <c r="B138" s="8">
        <v>0.95</v>
      </c>
      <c r="C138" s="8" t="s">
        <v>15</v>
      </c>
      <c r="D138" s="3">
        <v>-45</v>
      </c>
      <c r="E138" s="1">
        <v>-45</v>
      </c>
      <c r="F138" s="1">
        <v>-43</v>
      </c>
      <c r="G138" s="1">
        <v>-43</v>
      </c>
      <c r="H138" s="1">
        <v>-45</v>
      </c>
      <c r="I138" s="1">
        <v>-46</v>
      </c>
      <c r="J138" s="1">
        <v>-51</v>
      </c>
      <c r="K138" s="4">
        <v>-49</v>
      </c>
      <c r="M138" s="3">
        <f t="shared" si="160"/>
        <v>-53</v>
      </c>
      <c r="N138" s="1">
        <f t="shared" si="161"/>
        <v>-53</v>
      </c>
      <c r="O138" s="1">
        <f t="shared" si="162"/>
        <v>-50</v>
      </c>
      <c r="P138" s="1">
        <f t="shared" si="163"/>
        <v>-49</v>
      </c>
      <c r="Q138" s="1">
        <f t="shared" si="164"/>
        <v>-50</v>
      </c>
      <c r="R138" s="1">
        <f t="shared" si="165"/>
        <v>-50</v>
      </c>
      <c r="S138" s="1">
        <f t="shared" si="166"/>
        <v>-57</v>
      </c>
      <c r="T138" s="4">
        <f t="shared" si="167"/>
        <v>-55</v>
      </c>
      <c r="V138" s="3">
        <f t="shared" si="168"/>
        <v>-66</v>
      </c>
      <c r="W138" s="1">
        <f t="shared" si="169"/>
        <v>-66</v>
      </c>
      <c r="X138" s="1">
        <f t="shared" si="170"/>
        <v>-63</v>
      </c>
      <c r="Y138" s="1">
        <f t="shared" si="171"/>
        <v>-60</v>
      </c>
      <c r="Z138" s="1">
        <f t="shared" si="172"/>
        <v>-59</v>
      </c>
      <c r="AA138" s="1">
        <f t="shared" si="173"/>
        <v>-58</v>
      </c>
      <c r="AB138" s="1">
        <f t="shared" si="174"/>
        <v>-66</v>
      </c>
      <c r="AC138" s="4">
        <f t="shared" si="175"/>
        <v>-65</v>
      </c>
      <c r="AE138" s="3">
        <f t="shared" si="176"/>
        <v>-68</v>
      </c>
      <c r="AF138" s="1">
        <f t="shared" si="177"/>
        <v>-68</v>
      </c>
      <c r="AG138" s="1">
        <f t="shared" si="178"/>
        <v>-70</v>
      </c>
      <c r="AH138" s="1">
        <f t="shared" si="179"/>
        <v>-71</v>
      </c>
      <c r="AI138" s="1">
        <f t="shared" si="180"/>
        <v>-74</v>
      </c>
      <c r="AJ138" s="1">
        <f t="shared" si="181"/>
        <v>-75</v>
      </c>
      <c r="AK138" s="1">
        <f t="shared" si="182"/>
        <v>-82</v>
      </c>
      <c r="AL138" s="4">
        <f t="shared" si="183"/>
        <v>-77</v>
      </c>
      <c r="AN138" s="3">
        <f t="shared" si="184"/>
        <v>-72</v>
      </c>
      <c r="AO138" s="1">
        <f t="shared" si="185"/>
        <v>-72</v>
      </c>
      <c r="AP138" s="1">
        <f t="shared" si="186"/>
        <v>-75</v>
      </c>
      <c r="AQ138" s="1">
        <f t="shared" si="187"/>
        <v>-75</v>
      </c>
      <c r="AR138" s="1">
        <f t="shared" si="188"/>
        <v>-78</v>
      </c>
      <c r="AS138" s="1">
        <f t="shared" si="189"/>
        <v>-79</v>
      </c>
      <c r="AT138" s="1">
        <f t="shared" si="190"/>
        <v>-85</v>
      </c>
      <c r="AU138" s="4">
        <f t="shared" si="191"/>
        <v>-82</v>
      </c>
      <c r="AW138" s="3">
        <f t="shared" si="192"/>
        <v>-75</v>
      </c>
      <c r="AX138" s="1">
        <f t="shared" si="193"/>
        <v>-75</v>
      </c>
      <c r="AY138" s="1">
        <f t="shared" si="194"/>
        <v>-77</v>
      </c>
      <c r="AZ138" s="1">
        <f t="shared" si="195"/>
        <v>-78</v>
      </c>
      <c r="BA138" s="1">
        <f t="shared" si="196"/>
        <v>-80</v>
      </c>
      <c r="BB138" s="1">
        <f t="shared" si="197"/>
        <v>-81</v>
      </c>
      <c r="BC138" s="1">
        <f t="shared" si="198"/>
        <v>-88</v>
      </c>
      <c r="BD138" s="4">
        <f t="shared" si="199"/>
        <v>-84</v>
      </c>
      <c r="BF138" s="3">
        <v>-8</v>
      </c>
      <c r="BG138" s="1">
        <v>-8</v>
      </c>
      <c r="BH138" s="1">
        <v>-7</v>
      </c>
      <c r="BI138" s="1">
        <v>-6</v>
      </c>
      <c r="BJ138" s="1">
        <v>-5</v>
      </c>
      <c r="BK138" s="1">
        <v>-4</v>
      </c>
      <c r="BL138" s="1">
        <v>-6</v>
      </c>
      <c r="BM138" s="4">
        <v>-6</v>
      </c>
      <c r="BO138" s="3">
        <v>-13</v>
      </c>
      <c r="BP138" s="1">
        <v>-13</v>
      </c>
      <c r="BQ138" s="1">
        <v>-13</v>
      </c>
      <c r="BR138" s="1">
        <v>-11</v>
      </c>
      <c r="BS138" s="1">
        <v>-9</v>
      </c>
      <c r="BT138" s="1">
        <v>-8</v>
      </c>
      <c r="BU138" s="1">
        <v>-9</v>
      </c>
      <c r="BV138" s="4">
        <v>-10</v>
      </c>
      <c r="BX138" s="3">
        <v>-23</v>
      </c>
      <c r="BY138" s="1">
        <v>-23</v>
      </c>
      <c r="BZ138" s="1">
        <v>-27</v>
      </c>
      <c r="CA138" s="1">
        <v>-28</v>
      </c>
      <c r="CB138" s="1">
        <v>-29</v>
      </c>
      <c r="CC138" s="1">
        <v>-29</v>
      </c>
      <c r="CD138" s="1">
        <v>-31</v>
      </c>
      <c r="CE138" s="4">
        <v>-28</v>
      </c>
      <c r="CG138" s="3">
        <v>-4</v>
      </c>
      <c r="CH138" s="1">
        <v>-4</v>
      </c>
      <c r="CI138" s="1">
        <v>-5</v>
      </c>
      <c r="CJ138" s="1">
        <v>-4</v>
      </c>
      <c r="CK138" s="1">
        <v>-4</v>
      </c>
      <c r="CL138" s="1">
        <v>-4</v>
      </c>
      <c r="CM138" s="1">
        <v>-3</v>
      </c>
      <c r="CN138" s="4">
        <v>-5</v>
      </c>
      <c r="CP138" s="3">
        <v>-7</v>
      </c>
      <c r="CQ138" s="1">
        <v>-7</v>
      </c>
      <c r="CR138" s="1">
        <v>-7</v>
      </c>
      <c r="CS138" s="1">
        <v>-7</v>
      </c>
      <c r="CT138" s="1">
        <v>-6</v>
      </c>
      <c r="CU138" s="1">
        <v>-6</v>
      </c>
      <c r="CV138" s="1">
        <v>-6</v>
      </c>
      <c r="CW138" s="4">
        <v>-7</v>
      </c>
    </row>
    <row r="139" spans="1:101">
      <c r="A139" s="8" t="str">
        <f>VLOOKUP(B139,List!W:X,2,1)</f>
        <v>1.00 - 1.09</v>
      </c>
      <c r="B139" s="8">
        <v>1</v>
      </c>
      <c r="C139" s="8" t="s">
        <v>8</v>
      </c>
      <c r="D139" s="3">
        <v>-46</v>
      </c>
      <c r="E139" s="1">
        <v>-46</v>
      </c>
      <c r="F139" s="1">
        <v>-45</v>
      </c>
      <c r="G139" s="1">
        <v>-45</v>
      </c>
      <c r="H139" s="1">
        <v>-43</v>
      </c>
      <c r="I139" s="1">
        <v>-42</v>
      </c>
      <c r="J139" s="1">
        <v>-41</v>
      </c>
      <c r="K139" s="4">
        <v>-40</v>
      </c>
      <c r="M139" s="3">
        <f t="shared" si="160"/>
        <v>-57</v>
      </c>
      <c r="N139" s="1">
        <f t="shared" si="161"/>
        <v>-57</v>
      </c>
      <c r="O139" s="1">
        <f t="shared" si="162"/>
        <v>-56</v>
      </c>
      <c r="P139" s="1">
        <f t="shared" si="163"/>
        <v>-56</v>
      </c>
      <c r="Q139" s="1">
        <f t="shared" si="164"/>
        <v>-55</v>
      </c>
      <c r="R139" s="1">
        <f t="shared" si="165"/>
        <v>-53</v>
      </c>
      <c r="S139" s="1">
        <f t="shared" si="166"/>
        <v>-51</v>
      </c>
      <c r="T139" s="4">
        <f t="shared" si="167"/>
        <v>-50</v>
      </c>
      <c r="V139" s="3">
        <f t="shared" si="168"/>
        <v>-74</v>
      </c>
      <c r="W139" s="1">
        <f t="shared" si="169"/>
        <v>-74</v>
      </c>
      <c r="X139" s="1">
        <f t="shared" si="170"/>
        <v>-72</v>
      </c>
      <c r="Y139" s="1">
        <f t="shared" si="171"/>
        <v>-72</v>
      </c>
      <c r="Z139" s="1">
        <f t="shared" si="172"/>
        <v>-72</v>
      </c>
      <c r="AA139" s="1">
        <f t="shared" si="173"/>
        <v>-68</v>
      </c>
      <c r="AB139" s="1">
        <f t="shared" si="174"/>
        <v>-65</v>
      </c>
      <c r="AC139" s="4">
        <f t="shared" si="175"/>
        <v>-64</v>
      </c>
      <c r="AE139" s="3">
        <f t="shared" si="176"/>
        <v>-62</v>
      </c>
      <c r="AF139" s="1">
        <f t="shared" si="177"/>
        <v>-62</v>
      </c>
      <c r="AG139" s="1">
        <f t="shared" si="178"/>
        <v>-61</v>
      </c>
      <c r="AH139" s="1">
        <f t="shared" si="179"/>
        <v>-60</v>
      </c>
      <c r="AI139" s="1">
        <f t="shared" si="180"/>
        <v>-59</v>
      </c>
      <c r="AJ139" s="1">
        <f t="shared" si="181"/>
        <v>-56</v>
      </c>
      <c r="AK139" s="1">
        <f t="shared" si="182"/>
        <v>-53</v>
      </c>
      <c r="AL139" s="4">
        <f t="shared" si="183"/>
        <v>-53</v>
      </c>
      <c r="AN139" s="3">
        <f t="shared" si="184"/>
        <v>-66</v>
      </c>
      <c r="AO139" s="1">
        <f t="shared" si="185"/>
        <v>-66</v>
      </c>
      <c r="AP139" s="1">
        <f t="shared" si="186"/>
        <v>-65</v>
      </c>
      <c r="AQ139" s="1">
        <f t="shared" si="187"/>
        <v>-64</v>
      </c>
      <c r="AR139" s="1">
        <f t="shared" si="188"/>
        <v>-63</v>
      </c>
      <c r="AS139" s="1">
        <f t="shared" si="189"/>
        <v>-61</v>
      </c>
      <c r="AT139" s="1">
        <f t="shared" si="190"/>
        <v>-57</v>
      </c>
      <c r="AU139" s="4">
        <f t="shared" si="191"/>
        <v>-57</v>
      </c>
      <c r="AW139" s="3">
        <f t="shared" si="192"/>
        <v>-69</v>
      </c>
      <c r="AX139" s="1">
        <f t="shared" si="193"/>
        <v>-69</v>
      </c>
      <c r="AY139" s="1">
        <f t="shared" si="194"/>
        <v>-69</v>
      </c>
      <c r="AZ139" s="1">
        <f t="shared" si="195"/>
        <v>-67</v>
      </c>
      <c r="BA139" s="1">
        <f t="shared" si="196"/>
        <v>-66</v>
      </c>
      <c r="BB139" s="1">
        <f t="shared" si="197"/>
        <v>-64</v>
      </c>
      <c r="BC139" s="1">
        <f t="shared" si="198"/>
        <v>-61</v>
      </c>
      <c r="BD139" s="4">
        <f t="shared" si="199"/>
        <v>-61</v>
      </c>
      <c r="BF139" s="3">
        <v>-11</v>
      </c>
      <c r="BG139" s="1">
        <v>-11</v>
      </c>
      <c r="BH139" s="1">
        <v>-11</v>
      </c>
      <c r="BI139" s="1">
        <v>-11</v>
      </c>
      <c r="BJ139" s="1">
        <v>-12</v>
      </c>
      <c r="BK139" s="1">
        <v>-11</v>
      </c>
      <c r="BL139" s="1">
        <v>-10</v>
      </c>
      <c r="BM139" s="4">
        <v>-10</v>
      </c>
      <c r="BO139" s="3">
        <v>-17</v>
      </c>
      <c r="BP139" s="1">
        <v>-17</v>
      </c>
      <c r="BQ139" s="1">
        <v>-16</v>
      </c>
      <c r="BR139" s="1">
        <v>-16</v>
      </c>
      <c r="BS139" s="1">
        <v>-17</v>
      </c>
      <c r="BT139" s="1">
        <v>-15</v>
      </c>
      <c r="BU139" s="1">
        <v>-14</v>
      </c>
      <c r="BV139" s="4">
        <v>-14</v>
      </c>
      <c r="BX139" s="3">
        <v>-16</v>
      </c>
      <c r="BY139" s="1">
        <v>-16</v>
      </c>
      <c r="BZ139" s="1">
        <v>-16</v>
      </c>
      <c r="CA139" s="1">
        <v>-15</v>
      </c>
      <c r="CB139" s="1">
        <v>-16</v>
      </c>
      <c r="CC139" s="1">
        <v>-14</v>
      </c>
      <c r="CD139" s="1">
        <v>-12</v>
      </c>
      <c r="CE139" s="4">
        <v>-13</v>
      </c>
      <c r="CG139" s="3">
        <v>-4</v>
      </c>
      <c r="CH139" s="1">
        <v>-4</v>
      </c>
      <c r="CI139" s="1">
        <v>-4</v>
      </c>
      <c r="CJ139" s="1">
        <v>-4</v>
      </c>
      <c r="CK139" s="1">
        <v>-4</v>
      </c>
      <c r="CL139" s="1">
        <v>-5</v>
      </c>
      <c r="CM139" s="1">
        <v>-4</v>
      </c>
      <c r="CN139" s="4">
        <v>-4</v>
      </c>
      <c r="CP139" s="3">
        <v>-7</v>
      </c>
      <c r="CQ139" s="1">
        <v>-7</v>
      </c>
      <c r="CR139" s="1">
        <v>-8</v>
      </c>
      <c r="CS139" s="1">
        <v>-7</v>
      </c>
      <c r="CT139" s="1">
        <v>-7</v>
      </c>
      <c r="CU139" s="1">
        <v>-8</v>
      </c>
      <c r="CV139" s="1">
        <v>-8</v>
      </c>
      <c r="CW139" s="4">
        <v>-8</v>
      </c>
    </row>
    <row r="140" spans="1:101">
      <c r="A140" s="8" t="str">
        <f>VLOOKUP(B140,List!W:X,2,1)</f>
        <v>1.00 - 1.09</v>
      </c>
      <c r="B140" s="8">
        <v>1</v>
      </c>
      <c r="C140" s="8" t="s">
        <v>9</v>
      </c>
      <c r="D140" s="3">
        <v>-46</v>
      </c>
      <c r="E140" s="1">
        <v>-46</v>
      </c>
      <c r="F140" s="1">
        <v>-46</v>
      </c>
      <c r="G140" s="1">
        <v>-46</v>
      </c>
      <c r="H140" s="1">
        <v>-45</v>
      </c>
      <c r="I140" s="1">
        <v>-43</v>
      </c>
      <c r="J140" s="1">
        <v>-43</v>
      </c>
      <c r="K140" s="4">
        <v>-42</v>
      </c>
      <c r="M140" s="3">
        <f t="shared" si="160"/>
        <v>-56</v>
      </c>
      <c r="N140" s="1">
        <f t="shared" si="161"/>
        <v>-56</v>
      </c>
      <c r="O140" s="1">
        <f t="shared" si="162"/>
        <v>-56</v>
      </c>
      <c r="P140" s="1">
        <f t="shared" si="163"/>
        <v>-54</v>
      </c>
      <c r="Q140" s="1">
        <f t="shared" si="164"/>
        <v>-53</v>
      </c>
      <c r="R140" s="1">
        <f t="shared" si="165"/>
        <v>-51</v>
      </c>
      <c r="S140" s="1">
        <f t="shared" si="166"/>
        <v>-52</v>
      </c>
      <c r="T140" s="4">
        <f t="shared" si="167"/>
        <v>-51</v>
      </c>
      <c r="V140" s="3">
        <f t="shared" si="168"/>
        <v>-71</v>
      </c>
      <c r="W140" s="1">
        <f t="shared" si="169"/>
        <v>-71</v>
      </c>
      <c r="X140" s="1">
        <f t="shared" si="170"/>
        <v>-71</v>
      </c>
      <c r="Y140" s="1">
        <f t="shared" si="171"/>
        <v>-69</v>
      </c>
      <c r="Z140" s="1">
        <f t="shared" si="172"/>
        <v>-66</v>
      </c>
      <c r="AA140" s="1">
        <f t="shared" si="173"/>
        <v>-63</v>
      </c>
      <c r="AB140" s="1">
        <f t="shared" si="174"/>
        <v>-65</v>
      </c>
      <c r="AC140" s="4">
        <f t="shared" si="175"/>
        <v>-64</v>
      </c>
      <c r="AE140" s="3">
        <f t="shared" si="176"/>
        <v>-61</v>
      </c>
      <c r="AF140" s="1">
        <f t="shared" si="177"/>
        <v>-61</v>
      </c>
      <c r="AG140" s="1">
        <f t="shared" si="178"/>
        <v>-61</v>
      </c>
      <c r="AH140" s="1">
        <f t="shared" si="179"/>
        <v>-61</v>
      </c>
      <c r="AI140" s="1">
        <f t="shared" si="180"/>
        <v>-60</v>
      </c>
      <c r="AJ140" s="1">
        <f t="shared" si="181"/>
        <v>-57</v>
      </c>
      <c r="AK140" s="1">
        <f t="shared" si="182"/>
        <v>-55</v>
      </c>
      <c r="AL140" s="4">
        <f t="shared" si="183"/>
        <v>-55</v>
      </c>
      <c r="AN140" s="3">
        <f t="shared" si="184"/>
        <v>-65</v>
      </c>
      <c r="AO140" s="1">
        <f t="shared" si="185"/>
        <v>-65</v>
      </c>
      <c r="AP140" s="1">
        <f t="shared" si="186"/>
        <v>-64</v>
      </c>
      <c r="AQ140" s="1">
        <f t="shared" si="187"/>
        <v>-64</v>
      </c>
      <c r="AR140" s="1">
        <f t="shared" si="188"/>
        <v>-63</v>
      </c>
      <c r="AS140" s="1">
        <f t="shared" si="189"/>
        <v>-61</v>
      </c>
      <c r="AT140" s="1">
        <f t="shared" si="190"/>
        <v>-58</v>
      </c>
      <c r="AU140" s="4">
        <f t="shared" si="191"/>
        <v>-58</v>
      </c>
      <c r="AW140" s="3">
        <f t="shared" si="192"/>
        <v>-69</v>
      </c>
      <c r="AX140" s="1">
        <f t="shared" si="193"/>
        <v>-69</v>
      </c>
      <c r="AY140" s="1">
        <f t="shared" si="194"/>
        <v>-68</v>
      </c>
      <c r="AZ140" s="1">
        <f t="shared" si="195"/>
        <v>-67</v>
      </c>
      <c r="BA140" s="1">
        <f t="shared" si="196"/>
        <v>-66</v>
      </c>
      <c r="BB140" s="1">
        <f t="shared" si="197"/>
        <v>-64</v>
      </c>
      <c r="BC140" s="1">
        <f t="shared" si="198"/>
        <v>-61</v>
      </c>
      <c r="BD140" s="4">
        <f t="shared" si="199"/>
        <v>-61</v>
      </c>
      <c r="BF140" s="3">
        <v>-10</v>
      </c>
      <c r="BG140" s="1">
        <v>-10</v>
      </c>
      <c r="BH140" s="1">
        <v>-10</v>
      </c>
      <c r="BI140" s="1">
        <v>-8</v>
      </c>
      <c r="BJ140" s="1">
        <v>-8</v>
      </c>
      <c r="BK140" s="1">
        <v>-8</v>
      </c>
      <c r="BL140" s="1">
        <v>-9</v>
      </c>
      <c r="BM140" s="4">
        <v>-9</v>
      </c>
      <c r="BO140" s="3">
        <v>-15</v>
      </c>
      <c r="BP140" s="1">
        <v>-15</v>
      </c>
      <c r="BQ140" s="1">
        <v>-15</v>
      </c>
      <c r="BR140" s="1">
        <v>-15</v>
      </c>
      <c r="BS140" s="1">
        <v>-13</v>
      </c>
      <c r="BT140" s="1">
        <v>-12</v>
      </c>
      <c r="BU140" s="1">
        <v>-13</v>
      </c>
      <c r="BV140" s="4">
        <v>-13</v>
      </c>
      <c r="BX140" s="3">
        <v>-15</v>
      </c>
      <c r="BY140" s="1">
        <v>-15</v>
      </c>
      <c r="BZ140" s="1">
        <v>-15</v>
      </c>
      <c r="CA140" s="1">
        <v>-15</v>
      </c>
      <c r="CB140" s="1">
        <v>-15</v>
      </c>
      <c r="CC140" s="1">
        <v>-14</v>
      </c>
      <c r="CD140" s="1">
        <v>-12</v>
      </c>
      <c r="CE140" s="4">
        <v>-13</v>
      </c>
      <c r="CG140" s="3">
        <v>-4</v>
      </c>
      <c r="CH140" s="1">
        <v>-4</v>
      </c>
      <c r="CI140" s="1">
        <v>-3</v>
      </c>
      <c r="CJ140" s="1">
        <v>-3</v>
      </c>
      <c r="CK140" s="1">
        <v>-3</v>
      </c>
      <c r="CL140" s="1">
        <v>-4</v>
      </c>
      <c r="CM140" s="1">
        <v>-3</v>
      </c>
      <c r="CN140" s="4">
        <v>-3</v>
      </c>
      <c r="CP140" s="3">
        <v>-8</v>
      </c>
      <c r="CQ140" s="1">
        <v>-8</v>
      </c>
      <c r="CR140" s="1">
        <v>-7</v>
      </c>
      <c r="CS140" s="1">
        <v>-6</v>
      </c>
      <c r="CT140" s="1">
        <v>-6</v>
      </c>
      <c r="CU140" s="1">
        <v>-7</v>
      </c>
      <c r="CV140" s="1">
        <v>-6</v>
      </c>
      <c r="CW140" s="4">
        <v>-6</v>
      </c>
    </row>
    <row r="141" spans="1:101">
      <c r="A141" s="8" t="str">
        <f>VLOOKUP(B141,List!W:X,2,1)</f>
        <v>1.00 - 1.09</v>
      </c>
      <c r="B141" s="8">
        <v>1</v>
      </c>
      <c r="C141" s="8" t="s">
        <v>10</v>
      </c>
      <c r="D141" s="3">
        <v>-46</v>
      </c>
      <c r="E141" s="1">
        <v>-46</v>
      </c>
      <c r="F141" s="1">
        <v>-45</v>
      </c>
      <c r="G141" s="1">
        <v>-44</v>
      </c>
      <c r="H141" s="1">
        <v>-44</v>
      </c>
      <c r="I141" s="1">
        <v>-43</v>
      </c>
      <c r="J141" s="1">
        <v>-43</v>
      </c>
      <c r="K141" s="4">
        <v>-42</v>
      </c>
      <c r="M141" s="3">
        <f t="shared" si="160"/>
        <v>-55</v>
      </c>
      <c r="N141" s="1">
        <f t="shared" si="161"/>
        <v>-55</v>
      </c>
      <c r="O141" s="1">
        <f t="shared" si="162"/>
        <v>-54</v>
      </c>
      <c r="P141" s="1">
        <f t="shared" si="163"/>
        <v>-54</v>
      </c>
      <c r="Q141" s="1">
        <f t="shared" si="164"/>
        <v>-51</v>
      </c>
      <c r="R141" s="1">
        <f t="shared" si="165"/>
        <v>-49</v>
      </c>
      <c r="S141" s="1">
        <f t="shared" si="166"/>
        <v>-51</v>
      </c>
      <c r="T141" s="4">
        <f t="shared" si="167"/>
        <v>-50</v>
      </c>
      <c r="V141" s="3">
        <f t="shared" si="168"/>
        <v>-68</v>
      </c>
      <c r="W141" s="1">
        <f t="shared" si="169"/>
        <v>-68</v>
      </c>
      <c r="X141" s="1">
        <f t="shared" si="170"/>
        <v>-69</v>
      </c>
      <c r="Y141" s="1">
        <f t="shared" si="171"/>
        <v>-69</v>
      </c>
      <c r="Z141" s="1">
        <f t="shared" si="172"/>
        <v>-63</v>
      </c>
      <c r="AA141" s="1">
        <f t="shared" si="173"/>
        <v>-60</v>
      </c>
      <c r="AB141" s="1">
        <f t="shared" si="174"/>
        <v>-63</v>
      </c>
      <c r="AC141" s="4">
        <f t="shared" si="175"/>
        <v>-63</v>
      </c>
      <c r="AE141" s="3">
        <f t="shared" si="176"/>
        <v>-61</v>
      </c>
      <c r="AF141" s="1">
        <f t="shared" si="177"/>
        <v>-61</v>
      </c>
      <c r="AG141" s="1">
        <f t="shared" si="178"/>
        <v>-60</v>
      </c>
      <c r="AH141" s="1">
        <f t="shared" si="179"/>
        <v>-59</v>
      </c>
      <c r="AI141" s="1">
        <f t="shared" si="180"/>
        <v>-58</v>
      </c>
      <c r="AJ141" s="1">
        <f t="shared" si="181"/>
        <v>-55</v>
      </c>
      <c r="AK141" s="1">
        <f t="shared" si="182"/>
        <v>-55</v>
      </c>
      <c r="AL141" s="4">
        <f t="shared" si="183"/>
        <v>-54</v>
      </c>
      <c r="AN141" s="3">
        <f t="shared" si="184"/>
        <v>-64</v>
      </c>
      <c r="AO141" s="1">
        <f t="shared" si="185"/>
        <v>-64</v>
      </c>
      <c r="AP141" s="1">
        <f t="shared" si="186"/>
        <v>-63</v>
      </c>
      <c r="AQ141" s="1">
        <f t="shared" si="187"/>
        <v>-62</v>
      </c>
      <c r="AR141" s="1">
        <f t="shared" si="188"/>
        <v>-61</v>
      </c>
      <c r="AS141" s="1">
        <f t="shared" si="189"/>
        <v>-59</v>
      </c>
      <c r="AT141" s="1">
        <f t="shared" si="190"/>
        <v>-58</v>
      </c>
      <c r="AU141" s="4">
        <f t="shared" si="191"/>
        <v>-58</v>
      </c>
      <c r="AW141" s="3">
        <f t="shared" si="192"/>
        <v>-67</v>
      </c>
      <c r="AX141" s="1">
        <f t="shared" si="193"/>
        <v>-67</v>
      </c>
      <c r="AY141" s="1">
        <f t="shared" si="194"/>
        <v>-67</v>
      </c>
      <c r="AZ141" s="1">
        <f t="shared" si="195"/>
        <v>-66</v>
      </c>
      <c r="BA141" s="1">
        <f t="shared" si="196"/>
        <v>-65</v>
      </c>
      <c r="BB141" s="1">
        <f t="shared" si="197"/>
        <v>-63</v>
      </c>
      <c r="BC141" s="1">
        <f t="shared" si="198"/>
        <v>-61</v>
      </c>
      <c r="BD141" s="4">
        <f t="shared" si="199"/>
        <v>-61</v>
      </c>
      <c r="BF141" s="3">
        <v>-9</v>
      </c>
      <c r="BG141" s="1">
        <v>-9</v>
      </c>
      <c r="BH141" s="1">
        <v>-9</v>
      </c>
      <c r="BI141" s="1">
        <v>-10</v>
      </c>
      <c r="BJ141" s="1">
        <v>-7</v>
      </c>
      <c r="BK141" s="1">
        <v>-6</v>
      </c>
      <c r="BL141" s="1">
        <v>-8</v>
      </c>
      <c r="BM141" s="4">
        <v>-8</v>
      </c>
      <c r="BO141" s="3">
        <v>-13</v>
      </c>
      <c r="BP141" s="1">
        <v>-13</v>
      </c>
      <c r="BQ141" s="1">
        <v>-15</v>
      </c>
      <c r="BR141" s="1">
        <v>-15</v>
      </c>
      <c r="BS141" s="1">
        <v>-12</v>
      </c>
      <c r="BT141" s="1">
        <v>-11</v>
      </c>
      <c r="BU141" s="1">
        <v>-12</v>
      </c>
      <c r="BV141" s="4">
        <v>-13</v>
      </c>
      <c r="BX141" s="3">
        <v>-15</v>
      </c>
      <c r="BY141" s="1">
        <v>-15</v>
      </c>
      <c r="BZ141" s="1">
        <v>-15</v>
      </c>
      <c r="CA141" s="1">
        <v>-15</v>
      </c>
      <c r="CB141" s="1">
        <v>-14</v>
      </c>
      <c r="CC141" s="1">
        <v>-12</v>
      </c>
      <c r="CD141" s="1">
        <v>-12</v>
      </c>
      <c r="CE141" s="4">
        <v>-12</v>
      </c>
      <c r="CG141" s="3">
        <v>-3</v>
      </c>
      <c r="CH141" s="1">
        <v>-3</v>
      </c>
      <c r="CI141" s="1">
        <v>-3</v>
      </c>
      <c r="CJ141" s="1">
        <v>-3</v>
      </c>
      <c r="CK141" s="1">
        <v>-3</v>
      </c>
      <c r="CL141" s="1">
        <v>-4</v>
      </c>
      <c r="CM141" s="1">
        <v>-3</v>
      </c>
      <c r="CN141" s="4">
        <v>-4</v>
      </c>
      <c r="CP141" s="3">
        <v>-6</v>
      </c>
      <c r="CQ141" s="1">
        <v>-6</v>
      </c>
      <c r="CR141" s="1">
        <v>-7</v>
      </c>
      <c r="CS141" s="1">
        <v>-7</v>
      </c>
      <c r="CT141" s="1">
        <v>-7</v>
      </c>
      <c r="CU141" s="1">
        <v>-8</v>
      </c>
      <c r="CV141" s="1">
        <v>-6</v>
      </c>
      <c r="CW141" s="4">
        <v>-7</v>
      </c>
    </row>
    <row r="142" spans="1:101">
      <c r="A142" s="8" t="str">
        <f>VLOOKUP(B142,List!W:X,2,1)</f>
        <v>1.00 - 1.09</v>
      </c>
      <c r="B142" s="8">
        <v>1</v>
      </c>
      <c r="C142" s="8" t="s">
        <v>11</v>
      </c>
      <c r="D142" s="3">
        <v>-46</v>
      </c>
      <c r="E142" s="1">
        <v>-46</v>
      </c>
      <c r="F142" s="1">
        <v>-46</v>
      </c>
      <c r="G142" s="1">
        <v>-46</v>
      </c>
      <c r="H142" s="1">
        <v>-45</v>
      </c>
      <c r="I142" s="1">
        <v>-43</v>
      </c>
      <c r="J142" s="1">
        <v>-44</v>
      </c>
      <c r="K142" s="4">
        <v>-43</v>
      </c>
      <c r="M142" s="3">
        <f t="shared" si="160"/>
        <v>-55</v>
      </c>
      <c r="N142" s="1">
        <f t="shared" si="161"/>
        <v>-55</v>
      </c>
      <c r="O142" s="1">
        <f t="shared" si="162"/>
        <v>-54</v>
      </c>
      <c r="P142" s="1">
        <f t="shared" si="163"/>
        <v>-53</v>
      </c>
      <c r="Q142" s="1">
        <f t="shared" si="164"/>
        <v>-51</v>
      </c>
      <c r="R142" s="1">
        <f t="shared" si="165"/>
        <v>-50</v>
      </c>
      <c r="S142" s="1">
        <f t="shared" si="166"/>
        <v>-50</v>
      </c>
      <c r="T142" s="4">
        <f t="shared" si="167"/>
        <v>-49</v>
      </c>
      <c r="V142" s="3">
        <f t="shared" si="168"/>
        <v>-68</v>
      </c>
      <c r="W142" s="1">
        <f t="shared" si="169"/>
        <v>-68</v>
      </c>
      <c r="X142" s="1">
        <f t="shared" si="170"/>
        <v>-67</v>
      </c>
      <c r="Y142" s="1">
        <f t="shared" si="171"/>
        <v>-65</v>
      </c>
      <c r="Z142" s="1">
        <f t="shared" si="172"/>
        <v>-62</v>
      </c>
      <c r="AA142" s="1">
        <f t="shared" si="173"/>
        <v>-61</v>
      </c>
      <c r="AB142" s="1">
        <f t="shared" si="174"/>
        <v>-61</v>
      </c>
      <c r="AC142" s="4">
        <f t="shared" si="175"/>
        <v>-61</v>
      </c>
      <c r="AE142" s="3">
        <f t="shared" si="176"/>
        <v>-60</v>
      </c>
      <c r="AF142" s="1">
        <f t="shared" si="177"/>
        <v>-60</v>
      </c>
      <c r="AG142" s="1">
        <f t="shared" si="178"/>
        <v>-58</v>
      </c>
      <c r="AH142" s="1">
        <f t="shared" si="179"/>
        <v>-58</v>
      </c>
      <c r="AI142" s="1">
        <f t="shared" si="180"/>
        <v>-57</v>
      </c>
      <c r="AJ142" s="1">
        <f t="shared" si="181"/>
        <v>-55</v>
      </c>
      <c r="AK142" s="1">
        <f t="shared" si="182"/>
        <v>-55</v>
      </c>
      <c r="AL142" s="4">
        <f t="shared" si="183"/>
        <v>-54</v>
      </c>
      <c r="AN142" s="3">
        <f t="shared" si="184"/>
        <v>-64</v>
      </c>
      <c r="AO142" s="1">
        <f t="shared" si="185"/>
        <v>-64</v>
      </c>
      <c r="AP142" s="1">
        <f t="shared" si="186"/>
        <v>-62</v>
      </c>
      <c r="AQ142" s="1">
        <f t="shared" si="187"/>
        <v>-62</v>
      </c>
      <c r="AR142" s="1">
        <f t="shared" si="188"/>
        <v>-60</v>
      </c>
      <c r="AS142" s="1">
        <f t="shared" si="189"/>
        <v>-58</v>
      </c>
      <c r="AT142" s="1">
        <f t="shared" si="190"/>
        <v>-58</v>
      </c>
      <c r="AU142" s="4">
        <f t="shared" si="191"/>
        <v>-57</v>
      </c>
      <c r="AW142" s="3">
        <f t="shared" si="192"/>
        <v>-67</v>
      </c>
      <c r="AX142" s="1">
        <f t="shared" si="193"/>
        <v>-67</v>
      </c>
      <c r="AY142" s="1">
        <f t="shared" si="194"/>
        <v>-66</v>
      </c>
      <c r="AZ142" s="1">
        <f t="shared" si="195"/>
        <v>-65</v>
      </c>
      <c r="BA142" s="1">
        <f t="shared" si="196"/>
        <v>-63</v>
      </c>
      <c r="BB142" s="1">
        <f t="shared" si="197"/>
        <v>-62</v>
      </c>
      <c r="BC142" s="1">
        <f t="shared" si="198"/>
        <v>-61</v>
      </c>
      <c r="BD142" s="4">
        <f t="shared" si="199"/>
        <v>-60</v>
      </c>
      <c r="BF142" s="3">
        <v>-9</v>
      </c>
      <c r="BG142" s="1">
        <v>-9</v>
      </c>
      <c r="BH142" s="1">
        <v>-8</v>
      </c>
      <c r="BI142" s="1">
        <v>-7</v>
      </c>
      <c r="BJ142" s="1">
        <v>-6</v>
      </c>
      <c r="BK142" s="1">
        <v>-7</v>
      </c>
      <c r="BL142" s="1">
        <v>-6</v>
      </c>
      <c r="BM142" s="4">
        <v>-6</v>
      </c>
      <c r="BO142" s="3">
        <v>-13</v>
      </c>
      <c r="BP142" s="1">
        <v>-13</v>
      </c>
      <c r="BQ142" s="1">
        <v>-13</v>
      </c>
      <c r="BR142" s="1">
        <v>-12</v>
      </c>
      <c r="BS142" s="1">
        <v>-11</v>
      </c>
      <c r="BT142" s="1">
        <v>-11</v>
      </c>
      <c r="BU142" s="1">
        <v>-11</v>
      </c>
      <c r="BV142" s="4">
        <v>-12</v>
      </c>
      <c r="BX142" s="3">
        <v>-14</v>
      </c>
      <c r="BY142" s="1">
        <v>-14</v>
      </c>
      <c r="BZ142" s="1">
        <v>-12</v>
      </c>
      <c r="CA142" s="1">
        <v>-12</v>
      </c>
      <c r="CB142" s="1">
        <v>-12</v>
      </c>
      <c r="CC142" s="1">
        <v>-12</v>
      </c>
      <c r="CD142" s="1">
        <v>-11</v>
      </c>
      <c r="CE142" s="4">
        <v>-11</v>
      </c>
      <c r="CG142" s="3">
        <v>-4</v>
      </c>
      <c r="CH142" s="1">
        <v>-4</v>
      </c>
      <c r="CI142" s="1">
        <v>-4</v>
      </c>
      <c r="CJ142" s="1">
        <v>-4</v>
      </c>
      <c r="CK142" s="1">
        <v>-3</v>
      </c>
      <c r="CL142" s="1">
        <v>-3</v>
      </c>
      <c r="CM142" s="1">
        <v>-3</v>
      </c>
      <c r="CN142" s="4">
        <v>-3</v>
      </c>
      <c r="CP142" s="3">
        <v>-7</v>
      </c>
      <c r="CQ142" s="1">
        <v>-7</v>
      </c>
      <c r="CR142" s="1">
        <v>-8</v>
      </c>
      <c r="CS142" s="1">
        <v>-7</v>
      </c>
      <c r="CT142" s="1">
        <v>-6</v>
      </c>
      <c r="CU142" s="1">
        <v>-7</v>
      </c>
      <c r="CV142" s="1">
        <v>-6</v>
      </c>
      <c r="CW142" s="4">
        <v>-6</v>
      </c>
    </row>
    <row r="143" spans="1:101">
      <c r="A143" s="8" t="str">
        <f>VLOOKUP(B143,List!W:X,2,1)</f>
        <v>1.00 - 1.09</v>
      </c>
      <c r="B143" s="8">
        <v>1</v>
      </c>
      <c r="C143" s="8" t="s">
        <v>12</v>
      </c>
      <c r="D143" s="3">
        <v>-47</v>
      </c>
      <c r="E143" s="1">
        <v>-47</v>
      </c>
      <c r="F143" s="1">
        <v>-47</v>
      </c>
      <c r="G143" s="1">
        <v>-46</v>
      </c>
      <c r="H143" s="1">
        <v>-46</v>
      </c>
      <c r="I143" s="1">
        <v>-46</v>
      </c>
      <c r="J143" s="1">
        <v>-44</v>
      </c>
      <c r="K143" s="4">
        <v>-43</v>
      </c>
      <c r="M143" s="3">
        <f t="shared" si="160"/>
        <v>-54</v>
      </c>
      <c r="N143" s="1">
        <f t="shared" si="161"/>
        <v>-54</v>
      </c>
      <c r="O143" s="1">
        <f t="shared" si="162"/>
        <v>-52</v>
      </c>
      <c r="P143" s="1">
        <f t="shared" si="163"/>
        <v>-52</v>
      </c>
      <c r="Q143" s="1">
        <f t="shared" si="164"/>
        <v>-50</v>
      </c>
      <c r="R143" s="1">
        <f t="shared" si="165"/>
        <v>-50</v>
      </c>
      <c r="S143" s="1">
        <f t="shared" si="166"/>
        <v>-50</v>
      </c>
      <c r="T143" s="4">
        <f t="shared" si="167"/>
        <v>-49</v>
      </c>
      <c r="V143" s="3">
        <f t="shared" si="168"/>
        <v>-64</v>
      </c>
      <c r="W143" s="1">
        <f t="shared" si="169"/>
        <v>-64</v>
      </c>
      <c r="X143" s="1">
        <f t="shared" si="170"/>
        <v>-60</v>
      </c>
      <c r="Y143" s="1">
        <f t="shared" si="171"/>
        <v>-61</v>
      </c>
      <c r="Z143" s="1">
        <f t="shared" si="172"/>
        <v>-58</v>
      </c>
      <c r="AA143" s="1">
        <f t="shared" si="173"/>
        <v>-57</v>
      </c>
      <c r="AB143" s="1">
        <f t="shared" si="174"/>
        <v>-60</v>
      </c>
      <c r="AC143" s="4">
        <f t="shared" si="175"/>
        <v>-60</v>
      </c>
      <c r="AE143" s="3">
        <f t="shared" si="176"/>
        <v>-56</v>
      </c>
      <c r="AF143" s="1">
        <f t="shared" si="177"/>
        <v>-56</v>
      </c>
      <c r="AG143" s="1">
        <f t="shared" si="178"/>
        <v>-58</v>
      </c>
      <c r="AH143" s="1">
        <f t="shared" si="179"/>
        <v>-57</v>
      </c>
      <c r="AI143" s="1">
        <f t="shared" si="180"/>
        <v>-56</v>
      </c>
      <c r="AJ143" s="1">
        <f t="shared" si="181"/>
        <v>-56</v>
      </c>
      <c r="AK143" s="1">
        <f t="shared" si="182"/>
        <v>-54</v>
      </c>
      <c r="AL143" s="4">
        <f t="shared" si="183"/>
        <v>-53</v>
      </c>
      <c r="AN143" s="3">
        <f t="shared" si="184"/>
        <v>-62</v>
      </c>
      <c r="AO143" s="1">
        <f t="shared" si="185"/>
        <v>-62</v>
      </c>
      <c r="AP143" s="1">
        <f t="shared" si="186"/>
        <v>-62</v>
      </c>
      <c r="AQ143" s="1">
        <f t="shared" si="187"/>
        <v>-62</v>
      </c>
      <c r="AR143" s="1">
        <f t="shared" si="188"/>
        <v>-61</v>
      </c>
      <c r="AS143" s="1">
        <f t="shared" si="189"/>
        <v>-60</v>
      </c>
      <c r="AT143" s="1">
        <f t="shared" si="190"/>
        <v>-59</v>
      </c>
      <c r="AU143" s="4">
        <f t="shared" si="191"/>
        <v>-59</v>
      </c>
      <c r="AW143" s="3">
        <f t="shared" si="192"/>
        <v>-65</v>
      </c>
      <c r="AX143" s="1">
        <f t="shared" si="193"/>
        <v>-65</v>
      </c>
      <c r="AY143" s="1">
        <f t="shared" si="194"/>
        <v>-65</v>
      </c>
      <c r="AZ143" s="1">
        <f t="shared" si="195"/>
        <v>-65</v>
      </c>
      <c r="BA143" s="1">
        <f t="shared" si="196"/>
        <v>-64</v>
      </c>
      <c r="BB143" s="1">
        <f t="shared" si="197"/>
        <v>-64</v>
      </c>
      <c r="BC143" s="1">
        <f t="shared" si="198"/>
        <v>-62</v>
      </c>
      <c r="BD143" s="4">
        <f t="shared" si="199"/>
        <v>-62</v>
      </c>
      <c r="BF143" s="3">
        <v>-7</v>
      </c>
      <c r="BG143" s="1">
        <v>-7</v>
      </c>
      <c r="BH143" s="1">
        <v>-5</v>
      </c>
      <c r="BI143" s="1">
        <v>-6</v>
      </c>
      <c r="BJ143" s="1">
        <v>-4</v>
      </c>
      <c r="BK143" s="1">
        <v>-4</v>
      </c>
      <c r="BL143" s="1">
        <v>-6</v>
      </c>
      <c r="BM143" s="4">
        <v>-6</v>
      </c>
      <c r="BO143" s="3">
        <v>-10</v>
      </c>
      <c r="BP143" s="1">
        <v>-10</v>
      </c>
      <c r="BQ143" s="1">
        <v>-8</v>
      </c>
      <c r="BR143" s="1">
        <v>-9</v>
      </c>
      <c r="BS143" s="1">
        <v>-8</v>
      </c>
      <c r="BT143" s="1">
        <v>-7</v>
      </c>
      <c r="BU143" s="1">
        <v>-10</v>
      </c>
      <c r="BV143" s="4">
        <v>-11</v>
      </c>
      <c r="BX143" s="3">
        <v>-9</v>
      </c>
      <c r="BY143" s="1">
        <v>-9</v>
      </c>
      <c r="BZ143" s="1">
        <v>-11</v>
      </c>
      <c r="CA143" s="1">
        <v>-11</v>
      </c>
      <c r="CB143" s="1">
        <v>-10</v>
      </c>
      <c r="CC143" s="1">
        <v>-10</v>
      </c>
      <c r="CD143" s="1">
        <v>-10</v>
      </c>
      <c r="CE143" s="4">
        <v>-10</v>
      </c>
      <c r="CG143" s="3">
        <v>-6</v>
      </c>
      <c r="CH143" s="1">
        <v>-6</v>
      </c>
      <c r="CI143" s="1">
        <v>-4</v>
      </c>
      <c r="CJ143" s="1">
        <v>-5</v>
      </c>
      <c r="CK143" s="1">
        <v>-5</v>
      </c>
      <c r="CL143" s="1">
        <v>-4</v>
      </c>
      <c r="CM143" s="1">
        <v>-5</v>
      </c>
      <c r="CN143" s="4">
        <v>-6</v>
      </c>
      <c r="CP143" s="3">
        <v>-9</v>
      </c>
      <c r="CQ143" s="1">
        <v>-9</v>
      </c>
      <c r="CR143" s="1">
        <v>-7</v>
      </c>
      <c r="CS143" s="1">
        <v>-8</v>
      </c>
      <c r="CT143" s="1">
        <v>-8</v>
      </c>
      <c r="CU143" s="1">
        <v>-8</v>
      </c>
      <c r="CV143" s="1">
        <v>-8</v>
      </c>
      <c r="CW143" s="4">
        <v>-9</v>
      </c>
    </row>
    <row r="144" spans="1:101">
      <c r="A144" s="8" t="str">
        <f>VLOOKUP(B144,List!W:X,2,1)</f>
        <v>1.00 - 1.09</v>
      </c>
      <c r="B144" s="8">
        <v>1</v>
      </c>
      <c r="C144" s="8" t="s">
        <v>13</v>
      </c>
      <c r="D144" s="3">
        <v>-46</v>
      </c>
      <c r="E144" s="1">
        <v>-46</v>
      </c>
      <c r="F144" s="1">
        <v>-45</v>
      </c>
      <c r="G144" s="1">
        <v>-44</v>
      </c>
      <c r="H144" s="1">
        <v>-44</v>
      </c>
      <c r="I144" s="1">
        <v>-45</v>
      </c>
      <c r="J144" s="1">
        <v>-45</v>
      </c>
      <c r="K144" s="4">
        <v>-45</v>
      </c>
      <c r="M144" s="3">
        <f t="shared" si="160"/>
        <v>-52</v>
      </c>
      <c r="N144" s="1">
        <f t="shared" si="161"/>
        <v>-52</v>
      </c>
      <c r="O144" s="1">
        <f t="shared" si="162"/>
        <v>-50</v>
      </c>
      <c r="P144" s="1">
        <f t="shared" si="163"/>
        <v>-49</v>
      </c>
      <c r="Q144" s="1">
        <f t="shared" si="164"/>
        <v>-48</v>
      </c>
      <c r="R144" s="1">
        <f t="shared" si="165"/>
        <v>-49</v>
      </c>
      <c r="S144" s="1">
        <f t="shared" si="166"/>
        <v>-50</v>
      </c>
      <c r="T144" s="4">
        <f t="shared" si="167"/>
        <v>-50</v>
      </c>
      <c r="V144" s="3">
        <f t="shared" si="168"/>
        <v>-61</v>
      </c>
      <c r="W144" s="1">
        <f t="shared" si="169"/>
        <v>-61</v>
      </c>
      <c r="X144" s="1">
        <f t="shared" si="170"/>
        <v>-60</v>
      </c>
      <c r="Y144" s="1">
        <f t="shared" si="171"/>
        <v>-59</v>
      </c>
      <c r="Z144" s="1">
        <f t="shared" si="172"/>
        <v>-57</v>
      </c>
      <c r="AA144" s="1">
        <f t="shared" si="173"/>
        <v>-57</v>
      </c>
      <c r="AB144" s="1">
        <f t="shared" si="174"/>
        <v>-60</v>
      </c>
      <c r="AC144" s="4">
        <f t="shared" si="175"/>
        <v>-60</v>
      </c>
      <c r="AE144" s="3">
        <f t="shared" si="176"/>
        <v>-56</v>
      </c>
      <c r="AF144" s="1">
        <f t="shared" si="177"/>
        <v>-56</v>
      </c>
      <c r="AG144" s="1">
        <f t="shared" si="178"/>
        <v>-56</v>
      </c>
      <c r="AH144" s="1">
        <f t="shared" si="179"/>
        <v>-56</v>
      </c>
      <c r="AI144" s="1">
        <f t="shared" si="180"/>
        <v>-54</v>
      </c>
      <c r="AJ144" s="1">
        <f t="shared" si="181"/>
        <v>-53</v>
      </c>
      <c r="AK144" s="1">
        <f t="shared" si="182"/>
        <v>-53</v>
      </c>
      <c r="AL144" s="4">
        <f t="shared" si="183"/>
        <v>-52</v>
      </c>
      <c r="AN144" s="3">
        <f t="shared" si="184"/>
        <v>-60</v>
      </c>
      <c r="AO144" s="1">
        <f t="shared" si="185"/>
        <v>-60</v>
      </c>
      <c r="AP144" s="1">
        <f t="shared" si="186"/>
        <v>-59</v>
      </c>
      <c r="AQ144" s="1">
        <f t="shared" si="187"/>
        <v>-59</v>
      </c>
      <c r="AR144" s="1">
        <f t="shared" si="188"/>
        <v>-58</v>
      </c>
      <c r="AS144" s="1">
        <f t="shared" si="189"/>
        <v>-57</v>
      </c>
      <c r="AT144" s="1">
        <f t="shared" si="190"/>
        <v>-57</v>
      </c>
      <c r="AU144" s="4">
        <f t="shared" si="191"/>
        <v>-57</v>
      </c>
      <c r="AW144" s="3">
        <f t="shared" si="192"/>
        <v>-64</v>
      </c>
      <c r="AX144" s="1">
        <f t="shared" si="193"/>
        <v>-64</v>
      </c>
      <c r="AY144" s="1">
        <f t="shared" si="194"/>
        <v>-63</v>
      </c>
      <c r="AZ144" s="1">
        <f t="shared" si="195"/>
        <v>-62</v>
      </c>
      <c r="BA144" s="1">
        <f t="shared" si="196"/>
        <v>-62</v>
      </c>
      <c r="BB144" s="1">
        <f t="shared" si="197"/>
        <v>-60</v>
      </c>
      <c r="BC144" s="1">
        <f t="shared" si="198"/>
        <v>-61</v>
      </c>
      <c r="BD144" s="4">
        <f t="shared" si="199"/>
        <v>-61</v>
      </c>
      <c r="BF144" s="3">
        <v>-6</v>
      </c>
      <c r="BG144" s="1">
        <v>-6</v>
      </c>
      <c r="BH144" s="1">
        <v>-5</v>
      </c>
      <c r="BI144" s="1">
        <v>-5</v>
      </c>
      <c r="BJ144" s="1">
        <v>-4</v>
      </c>
      <c r="BK144" s="1">
        <v>-4</v>
      </c>
      <c r="BL144" s="1">
        <v>-5</v>
      </c>
      <c r="BM144" s="4">
        <v>-5</v>
      </c>
      <c r="BO144" s="3">
        <v>-9</v>
      </c>
      <c r="BP144" s="1">
        <v>-9</v>
      </c>
      <c r="BQ144" s="1">
        <v>-10</v>
      </c>
      <c r="BR144" s="1">
        <v>-10</v>
      </c>
      <c r="BS144" s="1">
        <v>-9</v>
      </c>
      <c r="BT144" s="1">
        <v>-8</v>
      </c>
      <c r="BU144" s="1">
        <v>-10</v>
      </c>
      <c r="BV144" s="4">
        <v>-10</v>
      </c>
      <c r="BX144" s="3">
        <v>-10</v>
      </c>
      <c r="BY144" s="1">
        <v>-10</v>
      </c>
      <c r="BZ144" s="1">
        <v>-11</v>
      </c>
      <c r="CA144" s="1">
        <v>-12</v>
      </c>
      <c r="CB144" s="1">
        <v>-10</v>
      </c>
      <c r="CC144" s="1">
        <v>-8</v>
      </c>
      <c r="CD144" s="1">
        <v>-8</v>
      </c>
      <c r="CE144" s="4">
        <v>-7</v>
      </c>
      <c r="CG144" s="3">
        <v>-4</v>
      </c>
      <c r="CH144" s="1">
        <v>-4</v>
      </c>
      <c r="CI144" s="1">
        <v>-3</v>
      </c>
      <c r="CJ144" s="1">
        <v>-3</v>
      </c>
      <c r="CK144" s="1">
        <v>-4</v>
      </c>
      <c r="CL144" s="1">
        <v>-4</v>
      </c>
      <c r="CM144" s="1">
        <v>-4</v>
      </c>
      <c r="CN144" s="4">
        <v>-5</v>
      </c>
      <c r="CP144" s="3">
        <v>-8</v>
      </c>
      <c r="CQ144" s="1">
        <v>-8</v>
      </c>
      <c r="CR144" s="1">
        <v>-7</v>
      </c>
      <c r="CS144" s="1">
        <v>-6</v>
      </c>
      <c r="CT144" s="1">
        <v>-8</v>
      </c>
      <c r="CU144" s="1">
        <v>-7</v>
      </c>
      <c r="CV144" s="1">
        <v>-8</v>
      </c>
      <c r="CW144" s="4">
        <v>-9</v>
      </c>
    </row>
    <row r="145" spans="1:101">
      <c r="A145" s="8" t="str">
        <f>VLOOKUP(B145,List!W:X,2,1)</f>
        <v>1.00 - 1.09</v>
      </c>
      <c r="B145" s="8">
        <v>1</v>
      </c>
      <c r="C145" s="8" t="s">
        <v>14</v>
      </c>
      <c r="D145" s="3">
        <v>-47</v>
      </c>
      <c r="E145" s="1">
        <v>-47</v>
      </c>
      <c r="F145" s="1">
        <v>-46</v>
      </c>
      <c r="G145" s="1">
        <v>-45</v>
      </c>
      <c r="H145" s="1">
        <v>-45</v>
      </c>
      <c r="I145" s="1">
        <v>-45</v>
      </c>
      <c r="J145" s="1">
        <v>-45</v>
      </c>
      <c r="K145" s="4">
        <v>-44</v>
      </c>
      <c r="M145" s="3">
        <f t="shared" si="160"/>
        <v>-51</v>
      </c>
      <c r="N145" s="1">
        <f t="shared" si="161"/>
        <v>-51</v>
      </c>
      <c r="O145" s="1">
        <f t="shared" si="162"/>
        <v>-51</v>
      </c>
      <c r="P145" s="1">
        <f t="shared" si="163"/>
        <v>-50</v>
      </c>
      <c r="Q145" s="1">
        <f t="shared" si="164"/>
        <v>-50</v>
      </c>
      <c r="R145" s="1">
        <f t="shared" si="165"/>
        <v>-49</v>
      </c>
      <c r="S145" s="1">
        <f t="shared" si="166"/>
        <v>-49</v>
      </c>
      <c r="T145" s="4">
        <f t="shared" si="167"/>
        <v>-48</v>
      </c>
      <c r="V145" s="3">
        <f t="shared" si="168"/>
        <v>-61</v>
      </c>
      <c r="W145" s="1">
        <f t="shared" si="169"/>
        <v>-61</v>
      </c>
      <c r="X145" s="1">
        <f t="shared" si="170"/>
        <v>-60</v>
      </c>
      <c r="Y145" s="1">
        <f t="shared" si="171"/>
        <v>-59</v>
      </c>
      <c r="Z145" s="1">
        <f t="shared" si="172"/>
        <v>-59</v>
      </c>
      <c r="AA145" s="1">
        <f t="shared" si="173"/>
        <v>-57</v>
      </c>
      <c r="AB145" s="1">
        <f t="shared" si="174"/>
        <v>-58</v>
      </c>
      <c r="AC145" s="4">
        <f t="shared" si="175"/>
        <v>-58</v>
      </c>
      <c r="AE145" s="3">
        <f t="shared" si="176"/>
        <v>-56</v>
      </c>
      <c r="AF145" s="1">
        <f t="shared" si="177"/>
        <v>-56</v>
      </c>
      <c r="AG145" s="1">
        <f t="shared" si="178"/>
        <v>-55</v>
      </c>
      <c r="AH145" s="1">
        <f t="shared" si="179"/>
        <v>-54</v>
      </c>
      <c r="AI145" s="1">
        <f t="shared" si="180"/>
        <v>-54</v>
      </c>
      <c r="AJ145" s="1">
        <f t="shared" si="181"/>
        <v>-52</v>
      </c>
      <c r="AK145" s="1">
        <f t="shared" si="182"/>
        <v>-53</v>
      </c>
      <c r="AL145" s="4">
        <f t="shared" si="183"/>
        <v>-52</v>
      </c>
      <c r="AN145" s="3">
        <f t="shared" si="184"/>
        <v>-61</v>
      </c>
      <c r="AO145" s="1">
        <f t="shared" si="185"/>
        <v>-61</v>
      </c>
      <c r="AP145" s="1">
        <f t="shared" si="186"/>
        <v>-60</v>
      </c>
      <c r="AQ145" s="1">
        <f t="shared" si="187"/>
        <v>-58</v>
      </c>
      <c r="AR145" s="1">
        <f t="shared" si="188"/>
        <v>-58</v>
      </c>
      <c r="AS145" s="1">
        <f t="shared" si="189"/>
        <v>-57</v>
      </c>
      <c r="AT145" s="1">
        <f t="shared" si="190"/>
        <v>-57</v>
      </c>
      <c r="AU145" s="4">
        <f t="shared" si="191"/>
        <v>-57</v>
      </c>
      <c r="AW145" s="3">
        <f t="shared" si="192"/>
        <v>-64</v>
      </c>
      <c r="AX145" s="1">
        <f t="shared" si="193"/>
        <v>-64</v>
      </c>
      <c r="AY145" s="1">
        <f t="shared" si="194"/>
        <v>-63</v>
      </c>
      <c r="AZ145" s="1">
        <f t="shared" si="195"/>
        <v>-61</v>
      </c>
      <c r="BA145" s="1">
        <f t="shared" si="196"/>
        <v>-61</v>
      </c>
      <c r="BB145" s="1">
        <f t="shared" si="197"/>
        <v>-60</v>
      </c>
      <c r="BC145" s="1">
        <f t="shared" si="198"/>
        <v>-60</v>
      </c>
      <c r="BD145" s="4">
        <f t="shared" si="199"/>
        <v>-60</v>
      </c>
      <c r="BF145" s="3">
        <v>-4</v>
      </c>
      <c r="BG145" s="1">
        <v>-4</v>
      </c>
      <c r="BH145" s="1">
        <v>-5</v>
      </c>
      <c r="BI145" s="1">
        <v>-5</v>
      </c>
      <c r="BJ145" s="1">
        <v>-5</v>
      </c>
      <c r="BK145" s="1">
        <v>-4</v>
      </c>
      <c r="BL145" s="1">
        <v>-4</v>
      </c>
      <c r="BM145" s="4">
        <v>-4</v>
      </c>
      <c r="BO145" s="3">
        <v>-10</v>
      </c>
      <c r="BP145" s="1">
        <v>-10</v>
      </c>
      <c r="BQ145" s="1">
        <v>-9</v>
      </c>
      <c r="BR145" s="1">
        <v>-9</v>
      </c>
      <c r="BS145" s="1">
        <v>-9</v>
      </c>
      <c r="BT145" s="1">
        <v>-8</v>
      </c>
      <c r="BU145" s="1">
        <v>-9</v>
      </c>
      <c r="BV145" s="4">
        <v>-10</v>
      </c>
      <c r="BX145" s="3">
        <v>-9</v>
      </c>
      <c r="BY145" s="1">
        <v>-9</v>
      </c>
      <c r="BZ145" s="1">
        <v>-9</v>
      </c>
      <c r="CA145" s="1">
        <v>-9</v>
      </c>
      <c r="CB145" s="1">
        <v>-9</v>
      </c>
      <c r="CC145" s="1">
        <v>-7</v>
      </c>
      <c r="CD145" s="1">
        <v>-8</v>
      </c>
      <c r="CE145" s="4">
        <v>-8</v>
      </c>
      <c r="CG145" s="3">
        <v>-5</v>
      </c>
      <c r="CH145" s="1">
        <v>-5</v>
      </c>
      <c r="CI145" s="1">
        <v>-5</v>
      </c>
      <c r="CJ145" s="1">
        <v>-4</v>
      </c>
      <c r="CK145" s="1">
        <v>-4</v>
      </c>
      <c r="CL145" s="1">
        <v>-5</v>
      </c>
      <c r="CM145" s="1">
        <v>-4</v>
      </c>
      <c r="CN145" s="4">
        <v>-5</v>
      </c>
      <c r="CP145" s="3">
        <v>-8</v>
      </c>
      <c r="CQ145" s="1">
        <v>-8</v>
      </c>
      <c r="CR145" s="1">
        <v>-8</v>
      </c>
      <c r="CS145" s="1">
        <v>-7</v>
      </c>
      <c r="CT145" s="1">
        <v>-7</v>
      </c>
      <c r="CU145" s="1">
        <v>-8</v>
      </c>
      <c r="CV145" s="1">
        <v>-7</v>
      </c>
      <c r="CW145" s="4">
        <v>-8</v>
      </c>
    </row>
    <row r="146" spans="1:101">
      <c r="A146" s="8" t="str">
        <f>VLOOKUP(B146,List!W:X,2,1)</f>
        <v>1.00 - 1.09</v>
      </c>
      <c r="B146" s="8">
        <v>1</v>
      </c>
      <c r="C146" s="8" t="s">
        <v>15</v>
      </c>
      <c r="D146" s="3">
        <v>-46</v>
      </c>
      <c r="E146" s="1">
        <v>-46</v>
      </c>
      <c r="F146" s="1">
        <v>-44</v>
      </c>
      <c r="G146" s="1">
        <v>-44</v>
      </c>
      <c r="H146" s="1">
        <v>-44</v>
      </c>
      <c r="I146" s="1">
        <v>-45</v>
      </c>
      <c r="J146" s="1">
        <v>-44</v>
      </c>
      <c r="K146" s="4">
        <v>-43</v>
      </c>
      <c r="M146" s="3">
        <f t="shared" si="160"/>
        <v>-50</v>
      </c>
      <c r="N146" s="1">
        <f t="shared" si="161"/>
        <v>-50</v>
      </c>
      <c r="O146" s="1">
        <f t="shared" si="162"/>
        <v>-48</v>
      </c>
      <c r="P146" s="1">
        <f t="shared" si="163"/>
        <v>-47</v>
      </c>
      <c r="Q146" s="1">
        <f t="shared" si="164"/>
        <v>-48</v>
      </c>
      <c r="R146" s="1">
        <f t="shared" si="165"/>
        <v>-48</v>
      </c>
      <c r="S146" s="1">
        <f t="shared" si="166"/>
        <v>-48</v>
      </c>
      <c r="T146" s="4">
        <f t="shared" si="167"/>
        <v>-47</v>
      </c>
      <c r="V146" s="3">
        <f t="shared" si="168"/>
        <v>-60</v>
      </c>
      <c r="W146" s="1">
        <f t="shared" si="169"/>
        <v>-60</v>
      </c>
      <c r="X146" s="1">
        <f t="shared" si="170"/>
        <v>-58</v>
      </c>
      <c r="Y146" s="1">
        <f t="shared" si="171"/>
        <v>-57</v>
      </c>
      <c r="Z146" s="1">
        <f t="shared" si="172"/>
        <v>-57</v>
      </c>
      <c r="AA146" s="1">
        <f t="shared" si="173"/>
        <v>-56</v>
      </c>
      <c r="AB146" s="1">
        <f t="shared" si="174"/>
        <v>-57</v>
      </c>
      <c r="AC146" s="4">
        <f t="shared" si="175"/>
        <v>-57</v>
      </c>
      <c r="AE146" s="3">
        <f t="shared" si="176"/>
        <v>-56</v>
      </c>
      <c r="AF146" s="1">
        <f t="shared" si="177"/>
        <v>-56</v>
      </c>
      <c r="AG146" s="1">
        <f t="shared" si="178"/>
        <v>-54</v>
      </c>
      <c r="AH146" s="1">
        <f t="shared" si="179"/>
        <v>-54</v>
      </c>
      <c r="AI146" s="1">
        <f t="shared" si="180"/>
        <v>-54</v>
      </c>
      <c r="AJ146" s="1">
        <f t="shared" si="181"/>
        <v>-52</v>
      </c>
      <c r="AK146" s="1">
        <f t="shared" si="182"/>
        <v>-53</v>
      </c>
      <c r="AL146" s="4">
        <f t="shared" si="183"/>
        <v>-52</v>
      </c>
      <c r="AN146" s="3">
        <f t="shared" si="184"/>
        <v>-61</v>
      </c>
      <c r="AO146" s="1">
        <f t="shared" si="185"/>
        <v>-61</v>
      </c>
      <c r="AP146" s="1">
        <f t="shared" si="186"/>
        <v>-59</v>
      </c>
      <c r="AQ146" s="1">
        <f t="shared" si="187"/>
        <v>-59</v>
      </c>
      <c r="AR146" s="1">
        <f t="shared" si="188"/>
        <v>-58</v>
      </c>
      <c r="AS146" s="1">
        <f t="shared" si="189"/>
        <v>-57</v>
      </c>
      <c r="AT146" s="1">
        <f t="shared" si="190"/>
        <v>-58</v>
      </c>
      <c r="AU146" s="4">
        <f t="shared" si="191"/>
        <v>-58</v>
      </c>
      <c r="AW146" s="3">
        <f t="shared" si="192"/>
        <v>-64</v>
      </c>
      <c r="AX146" s="1">
        <f t="shared" si="193"/>
        <v>-64</v>
      </c>
      <c r="AY146" s="1">
        <f t="shared" si="194"/>
        <v>-62</v>
      </c>
      <c r="AZ146" s="1">
        <f t="shared" si="195"/>
        <v>-62</v>
      </c>
      <c r="BA146" s="1">
        <f t="shared" si="196"/>
        <v>-61</v>
      </c>
      <c r="BB146" s="1">
        <f t="shared" si="197"/>
        <v>-60</v>
      </c>
      <c r="BC146" s="1">
        <f t="shared" si="198"/>
        <v>-61</v>
      </c>
      <c r="BD146" s="4">
        <f t="shared" si="199"/>
        <v>-61</v>
      </c>
      <c r="BF146" s="3">
        <v>-4</v>
      </c>
      <c r="BG146" s="1">
        <v>-4</v>
      </c>
      <c r="BH146" s="1">
        <v>-4</v>
      </c>
      <c r="BI146" s="1">
        <v>-3</v>
      </c>
      <c r="BJ146" s="1">
        <v>-4</v>
      </c>
      <c r="BK146" s="1">
        <v>-3</v>
      </c>
      <c r="BL146" s="1">
        <v>-4</v>
      </c>
      <c r="BM146" s="4">
        <v>-4</v>
      </c>
      <c r="BO146" s="3">
        <v>-10</v>
      </c>
      <c r="BP146" s="1">
        <v>-10</v>
      </c>
      <c r="BQ146" s="1">
        <v>-10</v>
      </c>
      <c r="BR146" s="1">
        <v>-10</v>
      </c>
      <c r="BS146" s="1">
        <v>-9</v>
      </c>
      <c r="BT146" s="1">
        <v>-8</v>
      </c>
      <c r="BU146" s="1">
        <v>-9</v>
      </c>
      <c r="BV146" s="4">
        <v>-10</v>
      </c>
      <c r="BX146" s="3">
        <v>-10</v>
      </c>
      <c r="BY146" s="1">
        <v>-10</v>
      </c>
      <c r="BZ146" s="1">
        <v>-10</v>
      </c>
      <c r="CA146" s="1">
        <v>-10</v>
      </c>
      <c r="CB146" s="1">
        <v>-10</v>
      </c>
      <c r="CC146" s="1">
        <v>-7</v>
      </c>
      <c r="CD146" s="1">
        <v>-9</v>
      </c>
      <c r="CE146" s="4">
        <v>-9</v>
      </c>
      <c r="CG146" s="3">
        <v>-5</v>
      </c>
      <c r="CH146" s="1">
        <v>-5</v>
      </c>
      <c r="CI146" s="1">
        <v>-5</v>
      </c>
      <c r="CJ146" s="1">
        <v>-5</v>
      </c>
      <c r="CK146" s="1">
        <v>-4</v>
      </c>
      <c r="CL146" s="1">
        <v>-5</v>
      </c>
      <c r="CM146" s="1">
        <v>-5</v>
      </c>
      <c r="CN146" s="4">
        <v>-6</v>
      </c>
      <c r="CP146" s="3">
        <v>-8</v>
      </c>
      <c r="CQ146" s="1">
        <v>-8</v>
      </c>
      <c r="CR146" s="1">
        <v>-8</v>
      </c>
      <c r="CS146" s="1">
        <v>-8</v>
      </c>
      <c r="CT146" s="1">
        <v>-7</v>
      </c>
      <c r="CU146" s="1">
        <v>-8</v>
      </c>
      <c r="CV146" s="1">
        <v>-8</v>
      </c>
      <c r="CW146" s="4">
        <v>-9</v>
      </c>
    </row>
    <row r="147" spans="1:101">
      <c r="A147" s="8" t="str">
        <f>VLOOKUP(B147,List!W:X,2,1)</f>
        <v>1.10 - 1.19</v>
      </c>
      <c r="B147" s="8">
        <v>1.1000000000000001</v>
      </c>
      <c r="C147" s="8" t="s">
        <v>8</v>
      </c>
      <c r="D147" s="3">
        <v>-46</v>
      </c>
      <c r="E147" s="1">
        <v>-46</v>
      </c>
      <c r="F147" s="1">
        <v>-45</v>
      </c>
      <c r="G147" s="1">
        <v>-45</v>
      </c>
      <c r="H147" s="1">
        <v>-43</v>
      </c>
      <c r="I147" s="1">
        <v>-42</v>
      </c>
      <c r="J147" s="1">
        <v>-41</v>
      </c>
      <c r="K147" s="4">
        <v>-40</v>
      </c>
      <c r="M147" s="3">
        <f t="shared" si="160"/>
        <v>-57</v>
      </c>
      <c r="N147" s="1">
        <f t="shared" si="161"/>
        <v>-57</v>
      </c>
      <c r="O147" s="1">
        <f t="shared" si="162"/>
        <v>-56</v>
      </c>
      <c r="P147" s="1">
        <f t="shared" si="163"/>
        <v>-56</v>
      </c>
      <c r="Q147" s="1">
        <f t="shared" si="164"/>
        <v>-55</v>
      </c>
      <c r="R147" s="1">
        <f t="shared" si="165"/>
        <v>-53</v>
      </c>
      <c r="S147" s="1">
        <f t="shared" si="166"/>
        <v>-51</v>
      </c>
      <c r="T147" s="4">
        <f t="shared" si="167"/>
        <v>-50</v>
      </c>
      <c r="V147" s="3">
        <f t="shared" si="168"/>
        <v>-74</v>
      </c>
      <c r="W147" s="1">
        <f t="shared" si="169"/>
        <v>-74</v>
      </c>
      <c r="X147" s="1">
        <f t="shared" si="170"/>
        <v>-72</v>
      </c>
      <c r="Y147" s="1">
        <f t="shared" si="171"/>
        <v>-72</v>
      </c>
      <c r="Z147" s="1">
        <f t="shared" si="172"/>
        <v>-72</v>
      </c>
      <c r="AA147" s="1">
        <f t="shared" si="173"/>
        <v>-68</v>
      </c>
      <c r="AB147" s="1">
        <f t="shared" si="174"/>
        <v>-65</v>
      </c>
      <c r="AC147" s="4">
        <f t="shared" si="175"/>
        <v>-64</v>
      </c>
      <c r="AE147" s="3">
        <f t="shared" si="176"/>
        <v>-69</v>
      </c>
      <c r="AF147" s="1">
        <f t="shared" si="177"/>
        <v>-69</v>
      </c>
      <c r="AG147" s="1">
        <f t="shared" si="178"/>
        <v>-69</v>
      </c>
      <c r="AH147" s="1">
        <f t="shared" si="179"/>
        <v>-65</v>
      </c>
      <c r="AI147" s="1">
        <f t="shared" si="180"/>
        <v>-64</v>
      </c>
      <c r="AJ147" s="1">
        <f t="shared" si="181"/>
        <v>-61</v>
      </c>
      <c r="AK147" s="1">
        <f t="shared" si="182"/>
        <v>-57</v>
      </c>
      <c r="AL147" s="4">
        <f t="shared" si="183"/>
        <v>-57</v>
      </c>
      <c r="AN147" s="3">
        <f t="shared" si="184"/>
        <v>-73</v>
      </c>
      <c r="AO147" s="1">
        <f t="shared" si="185"/>
        <v>-73</v>
      </c>
      <c r="AP147" s="1">
        <f t="shared" si="186"/>
        <v>-73</v>
      </c>
      <c r="AQ147" s="1">
        <f t="shared" si="187"/>
        <v>-69</v>
      </c>
      <c r="AR147" s="1">
        <f t="shared" si="188"/>
        <v>-68</v>
      </c>
      <c r="AS147" s="1">
        <f t="shared" si="189"/>
        <v>-66</v>
      </c>
      <c r="AT147" s="1">
        <f t="shared" si="190"/>
        <v>-61</v>
      </c>
      <c r="AU147" s="4">
        <f t="shared" si="191"/>
        <v>-61</v>
      </c>
      <c r="AW147" s="3">
        <f t="shared" si="192"/>
        <v>-76</v>
      </c>
      <c r="AX147" s="1">
        <f t="shared" si="193"/>
        <v>-76</v>
      </c>
      <c r="AY147" s="1">
        <f t="shared" si="194"/>
        <v>-77</v>
      </c>
      <c r="AZ147" s="1">
        <f t="shared" si="195"/>
        <v>-72</v>
      </c>
      <c r="BA147" s="1">
        <f t="shared" si="196"/>
        <v>-71</v>
      </c>
      <c r="BB147" s="1">
        <f t="shared" si="197"/>
        <v>-69</v>
      </c>
      <c r="BC147" s="1">
        <f t="shared" si="198"/>
        <v>-65</v>
      </c>
      <c r="BD147" s="4">
        <f t="shared" si="199"/>
        <v>-65</v>
      </c>
      <c r="BF147" s="3">
        <v>-11</v>
      </c>
      <c r="BG147" s="1">
        <v>-11</v>
      </c>
      <c r="BH147" s="1">
        <v>-11</v>
      </c>
      <c r="BI147" s="1">
        <v>-11</v>
      </c>
      <c r="BJ147" s="1">
        <v>-12</v>
      </c>
      <c r="BK147" s="1">
        <v>-11</v>
      </c>
      <c r="BL147" s="1">
        <v>-10</v>
      </c>
      <c r="BM147" s="4">
        <v>-10</v>
      </c>
      <c r="BO147" s="3">
        <v>-17</v>
      </c>
      <c r="BP147" s="1">
        <v>-17</v>
      </c>
      <c r="BQ147" s="1">
        <v>-16</v>
      </c>
      <c r="BR147" s="1">
        <v>-16</v>
      </c>
      <c r="BS147" s="1">
        <v>-17</v>
      </c>
      <c r="BT147" s="1">
        <v>-15</v>
      </c>
      <c r="BU147" s="1">
        <v>-14</v>
      </c>
      <c r="BV147" s="4">
        <v>-14</v>
      </c>
      <c r="BX147" s="3">
        <v>-23</v>
      </c>
      <c r="BY147" s="1">
        <v>-23</v>
      </c>
      <c r="BZ147" s="1">
        <v>-24</v>
      </c>
      <c r="CA147" s="1">
        <v>-20</v>
      </c>
      <c r="CB147" s="1">
        <v>-21</v>
      </c>
      <c r="CC147" s="1">
        <v>-19</v>
      </c>
      <c r="CD147" s="1">
        <v>-16</v>
      </c>
      <c r="CE147" s="4">
        <v>-17</v>
      </c>
      <c r="CG147" s="3">
        <v>-4</v>
      </c>
      <c r="CH147" s="1">
        <v>-4</v>
      </c>
      <c r="CI147" s="1">
        <v>-4</v>
      </c>
      <c r="CJ147" s="1">
        <v>-4</v>
      </c>
      <c r="CK147" s="1">
        <v>-4</v>
      </c>
      <c r="CL147" s="1">
        <v>-5</v>
      </c>
      <c r="CM147" s="1">
        <v>-4</v>
      </c>
      <c r="CN147" s="4">
        <v>-4</v>
      </c>
      <c r="CP147" s="3">
        <v>-7</v>
      </c>
      <c r="CQ147" s="1">
        <v>-7</v>
      </c>
      <c r="CR147" s="1">
        <v>-8</v>
      </c>
      <c r="CS147" s="1">
        <v>-7</v>
      </c>
      <c r="CT147" s="1">
        <v>-7</v>
      </c>
      <c r="CU147" s="1">
        <v>-8</v>
      </c>
      <c r="CV147" s="1">
        <v>-8</v>
      </c>
      <c r="CW147" s="4">
        <v>-8</v>
      </c>
    </row>
    <row r="148" spans="1:101">
      <c r="A148" s="8" t="str">
        <f>VLOOKUP(B148,List!W:X,2,1)</f>
        <v>1.10 - 1.19</v>
      </c>
      <c r="B148" s="8">
        <v>1.1000000000000001</v>
      </c>
      <c r="C148" s="8" t="s">
        <v>9</v>
      </c>
      <c r="D148" s="3">
        <v>-46</v>
      </c>
      <c r="E148" s="1">
        <v>-46</v>
      </c>
      <c r="F148" s="1">
        <v>-46</v>
      </c>
      <c r="G148" s="1">
        <v>-46</v>
      </c>
      <c r="H148" s="1">
        <v>-45</v>
      </c>
      <c r="I148" s="1">
        <v>-43</v>
      </c>
      <c r="J148" s="1">
        <v>-43</v>
      </c>
      <c r="K148" s="4">
        <v>-42</v>
      </c>
      <c r="M148" s="3">
        <f t="shared" si="160"/>
        <v>-56</v>
      </c>
      <c r="N148" s="1">
        <f t="shared" si="161"/>
        <v>-56</v>
      </c>
      <c r="O148" s="1">
        <f t="shared" si="162"/>
        <v>-56</v>
      </c>
      <c r="P148" s="1">
        <f t="shared" si="163"/>
        <v>-54</v>
      </c>
      <c r="Q148" s="1">
        <f t="shared" si="164"/>
        <v>-53</v>
      </c>
      <c r="R148" s="1">
        <f t="shared" si="165"/>
        <v>-51</v>
      </c>
      <c r="S148" s="1">
        <f t="shared" si="166"/>
        <v>-52</v>
      </c>
      <c r="T148" s="4">
        <f t="shared" si="167"/>
        <v>-51</v>
      </c>
      <c r="V148" s="3">
        <f t="shared" si="168"/>
        <v>-71</v>
      </c>
      <c r="W148" s="1">
        <f t="shared" si="169"/>
        <v>-71</v>
      </c>
      <c r="X148" s="1">
        <f t="shared" si="170"/>
        <v>-71</v>
      </c>
      <c r="Y148" s="1">
        <f t="shared" si="171"/>
        <v>-69</v>
      </c>
      <c r="Z148" s="1">
        <f t="shared" si="172"/>
        <v>-66</v>
      </c>
      <c r="AA148" s="1">
        <f t="shared" si="173"/>
        <v>-63</v>
      </c>
      <c r="AB148" s="1">
        <f t="shared" si="174"/>
        <v>-65</v>
      </c>
      <c r="AC148" s="4">
        <f t="shared" si="175"/>
        <v>-64</v>
      </c>
      <c r="AE148" s="3">
        <f t="shared" si="176"/>
        <v>-66</v>
      </c>
      <c r="AF148" s="1">
        <f t="shared" si="177"/>
        <v>-66</v>
      </c>
      <c r="AG148" s="1">
        <f t="shared" si="178"/>
        <v>-66</v>
      </c>
      <c r="AH148" s="1">
        <f t="shared" si="179"/>
        <v>-64</v>
      </c>
      <c r="AI148" s="1">
        <f t="shared" si="180"/>
        <v>-62</v>
      </c>
      <c r="AJ148" s="1">
        <f t="shared" si="181"/>
        <v>-59</v>
      </c>
      <c r="AK148" s="1">
        <f t="shared" si="182"/>
        <v>-61</v>
      </c>
      <c r="AL148" s="4">
        <f t="shared" si="183"/>
        <v>-60</v>
      </c>
      <c r="AN148" s="3">
        <f t="shared" si="184"/>
        <v>-70</v>
      </c>
      <c r="AO148" s="1">
        <f t="shared" si="185"/>
        <v>-70</v>
      </c>
      <c r="AP148" s="1">
        <f t="shared" si="186"/>
        <v>-69</v>
      </c>
      <c r="AQ148" s="1">
        <f t="shared" si="187"/>
        <v>-67</v>
      </c>
      <c r="AR148" s="1">
        <f t="shared" si="188"/>
        <v>-65</v>
      </c>
      <c r="AS148" s="1">
        <f t="shared" si="189"/>
        <v>-63</v>
      </c>
      <c r="AT148" s="1">
        <f t="shared" si="190"/>
        <v>-64</v>
      </c>
      <c r="AU148" s="4">
        <f t="shared" si="191"/>
        <v>-63</v>
      </c>
      <c r="AW148" s="3">
        <f t="shared" si="192"/>
        <v>-74</v>
      </c>
      <c r="AX148" s="1">
        <f t="shared" si="193"/>
        <v>-74</v>
      </c>
      <c r="AY148" s="1">
        <f t="shared" si="194"/>
        <v>-73</v>
      </c>
      <c r="AZ148" s="1">
        <f t="shared" si="195"/>
        <v>-70</v>
      </c>
      <c r="BA148" s="1">
        <f t="shared" si="196"/>
        <v>-68</v>
      </c>
      <c r="BB148" s="1">
        <f t="shared" si="197"/>
        <v>-66</v>
      </c>
      <c r="BC148" s="1">
        <f t="shared" si="198"/>
        <v>-67</v>
      </c>
      <c r="BD148" s="4">
        <f t="shared" si="199"/>
        <v>-66</v>
      </c>
      <c r="BF148" s="3">
        <v>-10</v>
      </c>
      <c r="BG148" s="1">
        <v>-10</v>
      </c>
      <c r="BH148" s="1">
        <v>-10</v>
      </c>
      <c r="BI148" s="1">
        <v>-8</v>
      </c>
      <c r="BJ148" s="1">
        <v>-8</v>
      </c>
      <c r="BK148" s="1">
        <v>-8</v>
      </c>
      <c r="BL148" s="1">
        <v>-9</v>
      </c>
      <c r="BM148" s="4">
        <v>-9</v>
      </c>
      <c r="BO148" s="3">
        <v>-15</v>
      </c>
      <c r="BP148" s="1">
        <v>-15</v>
      </c>
      <c r="BQ148" s="1">
        <v>-15</v>
      </c>
      <c r="BR148" s="1">
        <v>-15</v>
      </c>
      <c r="BS148" s="1">
        <v>-13</v>
      </c>
      <c r="BT148" s="1">
        <v>-12</v>
      </c>
      <c r="BU148" s="1">
        <v>-13</v>
      </c>
      <c r="BV148" s="4">
        <v>-13</v>
      </c>
      <c r="BX148" s="3">
        <v>-20</v>
      </c>
      <c r="BY148" s="1">
        <v>-20</v>
      </c>
      <c r="BZ148" s="1">
        <v>-20</v>
      </c>
      <c r="CA148" s="1">
        <v>-18</v>
      </c>
      <c r="CB148" s="1">
        <v>-17</v>
      </c>
      <c r="CC148" s="1">
        <v>-16</v>
      </c>
      <c r="CD148" s="1">
        <v>-18</v>
      </c>
      <c r="CE148" s="4">
        <v>-18</v>
      </c>
      <c r="CG148" s="3">
        <v>-4</v>
      </c>
      <c r="CH148" s="1">
        <v>-4</v>
      </c>
      <c r="CI148" s="1">
        <v>-3</v>
      </c>
      <c r="CJ148" s="1">
        <v>-3</v>
      </c>
      <c r="CK148" s="1">
        <v>-3</v>
      </c>
      <c r="CL148" s="1">
        <v>-4</v>
      </c>
      <c r="CM148" s="1">
        <v>-3</v>
      </c>
      <c r="CN148" s="4">
        <v>-3</v>
      </c>
      <c r="CP148" s="3">
        <v>-8</v>
      </c>
      <c r="CQ148" s="1">
        <v>-8</v>
      </c>
      <c r="CR148" s="1">
        <v>-7</v>
      </c>
      <c r="CS148" s="1">
        <v>-6</v>
      </c>
      <c r="CT148" s="1">
        <v>-6</v>
      </c>
      <c r="CU148" s="1">
        <v>-7</v>
      </c>
      <c r="CV148" s="1">
        <v>-6</v>
      </c>
      <c r="CW148" s="4">
        <v>-6</v>
      </c>
    </row>
    <row r="149" spans="1:101">
      <c r="A149" s="8" t="str">
        <f>VLOOKUP(B149,List!W:X,2,1)</f>
        <v>1.10 - 1.19</v>
      </c>
      <c r="B149" s="8">
        <v>1.1000000000000001</v>
      </c>
      <c r="C149" s="8" t="s">
        <v>10</v>
      </c>
      <c r="D149" s="3">
        <v>-46</v>
      </c>
      <c r="E149" s="1">
        <v>-46</v>
      </c>
      <c r="F149" s="1">
        <v>-45</v>
      </c>
      <c r="G149" s="1">
        <v>-44</v>
      </c>
      <c r="H149" s="1">
        <v>-44</v>
      </c>
      <c r="I149" s="1">
        <v>-43</v>
      </c>
      <c r="J149" s="1">
        <v>-43</v>
      </c>
      <c r="K149" s="4">
        <v>-42</v>
      </c>
      <c r="M149" s="3">
        <f t="shared" si="160"/>
        <v>-55</v>
      </c>
      <c r="N149" s="1">
        <f t="shared" si="161"/>
        <v>-55</v>
      </c>
      <c r="O149" s="1">
        <f t="shared" si="162"/>
        <v>-54</v>
      </c>
      <c r="P149" s="1">
        <f t="shared" si="163"/>
        <v>-54</v>
      </c>
      <c r="Q149" s="1">
        <f t="shared" si="164"/>
        <v>-51</v>
      </c>
      <c r="R149" s="1">
        <f t="shared" si="165"/>
        <v>-49</v>
      </c>
      <c r="S149" s="1">
        <f t="shared" si="166"/>
        <v>-51</v>
      </c>
      <c r="T149" s="4">
        <f t="shared" si="167"/>
        <v>-50</v>
      </c>
      <c r="V149" s="3">
        <f t="shared" si="168"/>
        <v>-68</v>
      </c>
      <c r="W149" s="1">
        <f t="shared" si="169"/>
        <v>-68</v>
      </c>
      <c r="X149" s="1">
        <f t="shared" si="170"/>
        <v>-69</v>
      </c>
      <c r="Y149" s="1">
        <f t="shared" si="171"/>
        <v>-69</v>
      </c>
      <c r="Z149" s="1">
        <f t="shared" si="172"/>
        <v>-63</v>
      </c>
      <c r="AA149" s="1">
        <f t="shared" si="173"/>
        <v>-60</v>
      </c>
      <c r="AB149" s="1">
        <f t="shared" si="174"/>
        <v>-63</v>
      </c>
      <c r="AC149" s="4">
        <f t="shared" si="175"/>
        <v>-63</v>
      </c>
      <c r="AE149" s="3">
        <f t="shared" si="176"/>
        <v>-63</v>
      </c>
      <c r="AF149" s="1">
        <f t="shared" si="177"/>
        <v>-63</v>
      </c>
      <c r="AG149" s="1">
        <f t="shared" si="178"/>
        <v>-62</v>
      </c>
      <c r="AH149" s="1">
        <f t="shared" si="179"/>
        <v>-62</v>
      </c>
      <c r="AI149" s="1">
        <f t="shared" si="180"/>
        <v>-62</v>
      </c>
      <c r="AJ149" s="1">
        <f t="shared" si="181"/>
        <v>-58</v>
      </c>
      <c r="AK149" s="1">
        <f t="shared" si="182"/>
        <v>-60</v>
      </c>
      <c r="AL149" s="4">
        <f t="shared" si="183"/>
        <v>-58</v>
      </c>
      <c r="AN149" s="3">
        <f t="shared" si="184"/>
        <v>-66</v>
      </c>
      <c r="AO149" s="1">
        <f t="shared" si="185"/>
        <v>-66</v>
      </c>
      <c r="AP149" s="1">
        <f t="shared" si="186"/>
        <v>-65</v>
      </c>
      <c r="AQ149" s="1">
        <f t="shared" si="187"/>
        <v>-65</v>
      </c>
      <c r="AR149" s="1">
        <f t="shared" si="188"/>
        <v>-65</v>
      </c>
      <c r="AS149" s="1">
        <f t="shared" si="189"/>
        <v>-62</v>
      </c>
      <c r="AT149" s="1">
        <f t="shared" si="190"/>
        <v>-63</v>
      </c>
      <c r="AU149" s="4">
        <f t="shared" si="191"/>
        <v>-62</v>
      </c>
      <c r="AW149" s="3">
        <f t="shared" si="192"/>
        <v>-69</v>
      </c>
      <c r="AX149" s="1">
        <f t="shared" si="193"/>
        <v>-69</v>
      </c>
      <c r="AY149" s="1">
        <f t="shared" si="194"/>
        <v>-69</v>
      </c>
      <c r="AZ149" s="1">
        <f t="shared" si="195"/>
        <v>-69</v>
      </c>
      <c r="BA149" s="1">
        <f t="shared" si="196"/>
        <v>-69</v>
      </c>
      <c r="BB149" s="1">
        <f t="shared" si="197"/>
        <v>-66</v>
      </c>
      <c r="BC149" s="1">
        <f t="shared" si="198"/>
        <v>-66</v>
      </c>
      <c r="BD149" s="4">
        <f t="shared" si="199"/>
        <v>-65</v>
      </c>
      <c r="BF149" s="3">
        <v>-9</v>
      </c>
      <c r="BG149" s="1">
        <v>-9</v>
      </c>
      <c r="BH149" s="1">
        <v>-9</v>
      </c>
      <c r="BI149" s="1">
        <v>-10</v>
      </c>
      <c r="BJ149" s="1">
        <v>-7</v>
      </c>
      <c r="BK149" s="1">
        <v>-6</v>
      </c>
      <c r="BL149" s="1">
        <v>-8</v>
      </c>
      <c r="BM149" s="4">
        <v>-8</v>
      </c>
      <c r="BO149" s="3">
        <v>-13</v>
      </c>
      <c r="BP149" s="1">
        <v>-13</v>
      </c>
      <c r="BQ149" s="1">
        <v>-15</v>
      </c>
      <c r="BR149" s="1">
        <v>-15</v>
      </c>
      <c r="BS149" s="1">
        <v>-12</v>
      </c>
      <c r="BT149" s="1">
        <v>-11</v>
      </c>
      <c r="BU149" s="1">
        <v>-12</v>
      </c>
      <c r="BV149" s="4">
        <v>-13</v>
      </c>
      <c r="BX149" s="3">
        <v>-17</v>
      </c>
      <c r="BY149" s="1">
        <v>-17</v>
      </c>
      <c r="BZ149" s="1">
        <v>-17</v>
      </c>
      <c r="CA149" s="1">
        <v>-18</v>
      </c>
      <c r="CB149" s="1">
        <v>-18</v>
      </c>
      <c r="CC149" s="1">
        <v>-15</v>
      </c>
      <c r="CD149" s="1">
        <v>-17</v>
      </c>
      <c r="CE149" s="4">
        <v>-16</v>
      </c>
      <c r="CG149" s="3">
        <v>-3</v>
      </c>
      <c r="CH149" s="1">
        <v>-3</v>
      </c>
      <c r="CI149" s="1">
        <v>-3</v>
      </c>
      <c r="CJ149" s="1">
        <v>-3</v>
      </c>
      <c r="CK149" s="1">
        <v>-3</v>
      </c>
      <c r="CL149" s="1">
        <v>-4</v>
      </c>
      <c r="CM149" s="1">
        <v>-3</v>
      </c>
      <c r="CN149" s="4">
        <v>-4</v>
      </c>
      <c r="CP149" s="3">
        <v>-6</v>
      </c>
      <c r="CQ149" s="1">
        <v>-6</v>
      </c>
      <c r="CR149" s="1">
        <v>-7</v>
      </c>
      <c r="CS149" s="1">
        <v>-7</v>
      </c>
      <c r="CT149" s="1">
        <v>-7</v>
      </c>
      <c r="CU149" s="1">
        <v>-8</v>
      </c>
      <c r="CV149" s="1">
        <v>-6</v>
      </c>
      <c r="CW149" s="4">
        <v>-7</v>
      </c>
    </row>
    <row r="150" spans="1:101">
      <c r="A150" s="8" t="str">
        <f>VLOOKUP(B150,List!W:X,2,1)</f>
        <v>1.10 - 1.19</v>
      </c>
      <c r="B150" s="8">
        <v>1.1000000000000001</v>
      </c>
      <c r="C150" s="8" t="s">
        <v>11</v>
      </c>
      <c r="D150" s="3">
        <v>-46</v>
      </c>
      <c r="E150" s="1">
        <v>-46</v>
      </c>
      <c r="F150" s="1">
        <v>-46</v>
      </c>
      <c r="G150" s="1">
        <v>-46</v>
      </c>
      <c r="H150" s="1">
        <v>-45</v>
      </c>
      <c r="I150" s="1">
        <v>-43</v>
      </c>
      <c r="J150" s="1">
        <v>-44</v>
      </c>
      <c r="K150" s="4">
        <v>-43</v>
      </c>
      <c r="M150" s="3">
        <f t="shared" si="160"/>
        <v>-55</v>
      </c>
      <c r="N150" s="1">
        <f t="shared" si="161"/>
        <v>-55</v>
      </c>
      <c r="O150" s="1">
        <f t="shared" si="162"/>
        <v>-54</v>
      </c>
      <c r="P150" s="1">
        <f t="shared" si="163"/>
        <v>-53</v>
      </c>
      <c r="Q150" s="1">
        <f t="shared" si="164"/>
        <v>-51</v>
      </c>
      <c r="R150" s="1">
        <f t="shared" si="165"/>
        <v>-50</v>
      </c>
      <c r="S150" s="1">
        <f t="shared" si="166"/>
        <v>-50</v>
      </c>
      <c r="T150" s="4">
        <f t="shared" si="167"/>
        <v>-49</v>
      </c>
      <c r="V150" s="3">
        <f t="shared" si="168"/>
        <v>-68</v>
      </c>
      <c r="W150" s="1">
        <f t="shared" si="169"/>
        <v>-68</v>
      </c>
      <c r="X150" s="1">
        <f t="shared" si="170"/>
        <v>-67</v>
      </c>
      <c r="Y150" s="1">
        <f t="shared" si="171"/>
        <v>-65</v>
      </c>
      <c r="Z150" s="1">
        <f t="shared" si="172"/>
        <v>-62</v>
      </c>
      <c r="AA150" s="1">
        <f t="shared" si="173"/>
        <v>-61</v>
      </c>
      <c r="AB150" s="1">
        <f t="shared" si="174"/>
        <v>-61</v>
      </c>
      <c r="AC150" s="4">
        <f t="shared" si="175"/>
        <v>-61</v>
      </c>
      <c r="AE150" s="3">
        <f t="shared" si="176"/>
        <v>-63</v>
      </c>
      <c r="AF150" s="1">
        <f t="shared" si="177"/>
        <v>-63</v>
      </c>
      <c r="AG150" s="1">
        <f t="shared" si="178"/>
        <v>-66</v>
      </c>
      <c r="AH150" s="1">
        <f t="shared" si="179"/>
        <v>-61</v>
      </c>
      <c r="AI150" s="1">
        <f t="shared" si="180"/>
        <v>-58</v>
      </c>
      <c r="AJ150" s="1">
        <f t="shared" si="181"/>
        <v>-58</v>
      </c>
      <c r="AK150" s="1">
        <f t="shared" si="182"/>
        <v>-61</v>
      </c>
      <c r="AL150" s="4">
        <f t="shared" si="183"/>
        <v>-61</v>
      </c>
      <c r="AN150" s="3">
        <f t="shared" si="184"/>
        <v>-67</v>
      </c>
      <c r="AO150" s="1">
        <f t="shared" si="185"/>
        <v>-67</v>
      </c>
      <c r="AP150" s="1">
        <f t="shared" si="186"/>
        <v>-70</v>
      </c>
      <c r="AQ150" s="1">
        <f t="shared" si="187"/>
        <v>-65</v>
      </c>
      <c r="AR150" s="1">
        <f t="shared" si="188"/>
        <v>-61</v>
      </c>
      <c r="AS150" s="1">
        <f t="shared" si="189"/>
        <v>-61</v>
      </c>
      <c r="AT150" s="1">
        <f t="shared" si="190"/>
        <v>-64</v>
      </c>
      <c r="AU150" s="4">
        <f t="shared" si="191"/>
        <v>-64</v>
      </c>
      <c r="AW150" s="3">
        <f t="shared" si="192"/>
        <v>-70</v>
      </c>
      <c r="AX150" s="1">
        <f t="shared" si="193"/>
        <v>-70</v>
      </c>
      <c r="AY150" s="1">
        <f t="shared" si="194"/>
        <v>-74</v>
      </c>
      <c r="AZ150" s="1">
        <f t="shared" si="195"/>
        <v>-68</v>
      </c>
      <c r="BA150" s="1">
        <f t="shared" si="196"/>
        <v>-64</v>
      </c>
      <c r="BB150" s="1">
        <f t="shared" si="197"/>
        <v>-65</v>
      </c>
      <c r="BC150" s="1">
        <f t="shared" si="198"/>
        <v>-67</v>
      </c>
      <c r="BD150" s="4">
        <f t="shared" si="199"/>
        <v>-67</v>
      </c>
      <c r="BF150" s="3">
        <v>-9</v>
      </c>
      <c r="BG150" s="1">
        <v>-9</v>
      </c>
      <c r="BH150" s="1">
        <v>-8</v>
      </c>
      <c r="BI150" s="1">
        <v>-7</v>
      </c>
      <c r="BJ150" s="1">
        <v>-6</v>
      </c>
      <c r="BK150" s="1">
        <v>-7</v>
      </c>
      <c r="BL150" s="1">
        <v>-6</v>
      </c>
      <c r="BM150" s="4">
        <v>-6</v>
      </c>
      <c r="BO150" s="3">
        <v>-13</v>
      </c>
      <c r="BP150" s="1">
        <v>-13</v>
      </c>
      <c r="BQ150" s="1">
        <v>-13</v>
      </c>
      <c r="BR150" s="1">
        <v>-12</v>
      </c>
      <c r="BS150" s="1">
        <v>-11</v>
      </c>
      <c r="BT150" s="1">
        <v>-11</v>
      </c>
      <c r="BU150" s="1">
        <v>-11</v>
      </c>
      <c r="BV150" s="4">
        <v>-12</v>
      </c>
      <c r="BX150" s="3">
        <v>-17</v>
      </c>
      <c r="BY150" s="1">
        <v>-17</v>
      </c>
      <c r="BZ150" s="1">
        <v>-20</v>
      </c>
      <c r="CA150" s="1">
        <v>-15</v>
      </c>
      <c r="CB150" s="1">
        <v>-13</v>
      </c>
      <c r="CC150" s="1">
        <v>-15</v>
      </c>
      <c r="CD150" s="1">
        <v>-17</v>
      </c>
      <c r="CE150" s="4">
        <v>-18</v>
      </c>
      <c r="CG150" s="3">
        <v>-4</v>
      </c>
      <c r="CH150" s="1">
        <v>-4</v>
      </c>
      <c r="CI150" s="1">
        <v>-4</v>
      </c>
      <c r="CJ150" s="1">
        <v>-4</v>
      </c>
      <c r="CK150" s="1">
        <v>-3</v>
      </c>
      <c r="CL150" s="1">
        <v>-3</v>
      </c>
      <c r="CM150" s="1">
        <v>-3</v>
      </c>
      <c r="CN150" s="4">
        <v>-3</v>
      </c>
      <c r="CP150" s="3">
        <v>-7</v>
      </c>
      <c r="CQ150" s="1">
        <v>-7</v>
      </c>
      <c r="CR150" s="1">
        <v>-8</v>
      </c>
      <c r="CS150" s="1">
        <v>-7</v>
      </c>
      <c r="CT150" s="1">
        <v>-6</v>
      </c>
      <c r="CU150" s="1">
        <v>-7</v>
      </c>
      <c r="CV150" s="1">
        <v>-6</v>
      </c>
      <c r="CW150" s="4">
        <v>-6</v>
      </c>
    </row>
    <row r="151" spans="1:101">
      <c r="A151" s="8" t="str">
        <f>VLOOKUP(B151,List!W:X,2,1)</f>
        <v>1.10 - 1.19</v>
      </c>
      <c r="B151" s="8">
        <v>1.1000000000000001</v>
      </c>
      <c r="C151" s="8" t="s">
        <v>12</v>
      </c>
      <c r="D151" s="3">
        <v>-47</v>
      </c>
      <c r="E151" s="1">
        <v>-47</v>
      </c>
      <c r="F151" s="1">
        <v>-47</v>
      </c>
      <c r="G151" s="1">
        <v>-46</v>
      </c>
      <c r="H151" s="1">
        <v>-46</v>
      </c>
      <c r="I151" s="1">
        <v>-46</v>
      </c>
      <c r="J151" s="1">
        <v>-44</v>
      </c>
      <c r="K151" s="4">
        <v>-43</v>
      </c>
      <c r="M151" s="3">
        <f t="shared" si="160"/>
        <v>-54</v>
      </c>
      <c r="N151" s="1">
        <f t="shared" si="161"/>
        <v>-54</v>
      </c>
      <c r="O151" s="1">
        <f t="shared" si="162"/>
        <v>-52</v>
      </c>
      <c r="P151" s="1">
        <f t="shared" si="163"/>
        <v>-52</v>
      </c>
      <c r="Q151" s="1">
        <f t="shared" si="164"/>
        <v>-50</v>
      </c>
      <c r="R151" s="1">
        <f t="shared" si="165"/>
        <v>-50</v>
      </c>
      <c r="S151" s="1">
        <f t="shared" si="166"/>
        <v>-50</v>
      </c>
      <c r="T151" s="4">
        <f t="shared" si="167"/>
        <v>-49</v>
      </c>
      <c r="V151" s="3">
        <f t="shared" si="168"/>
        <v>-64</v>
      </c>
      <c r="W151" s="1">
        <f t="shared" si="169"/>
        <v>-64</v>
      </c>
      <c r="X151" s="1">
        <f t="shared" si="170"/>
        <v>-60</v>
      </c>
      <c r="Y151" s="1">
        <f t="shared" si="171"/>
        <v>-61</v>
      </c>
      <c r="Z151" s="1">
        <f t="shared" si="172"/>
        <v>-58</v>
      </c>
      <c r="AA151" s="1">
        <f t="shared" si="173"/>
        <v>-57</v>
      </c>
      <c r="AB151" s="1">
        <f t="shared" si="174"/>
        <v>-60</v>
      </c>
      <c r="AC151" s="4">
        <f t="shared" si="175"/>
        <v>-60</v>
      </c>
      <c r="AE151" s="3">
        <f t="shared" si="176"/>
        <v>-61</v>
      </c>
      <c r="AF151" s="1">
        <f t="shared" si="177"/>
        <v>-61</v>
      </c>
      <c r="AG151" s="1">
        <f t="shared" si="178"/>
        <v>-62</v>
      </c>
      <c r="AH151" s="1">
        <f t="shared" si="179"/>
        <v>-63</v>
      </c>
      <c r="AI151" s="1">
        <f t="shared" si="180"/>
        <v>-62</v>
      </c>
      <c r="AJ151" s="1">
        <f t="shared" si="181"/>
        <v>-62</v>
      </c>
      <c r="AK151" s="1">
        <f t="shared" si="182"/>
        <v>-59</v>
      </c>
      <c r="AL151" s="4">
        <f t="shared" si="183"/>
        <v>-58</v>
      </c>
      <c r="AN151" s="3">
        <f t="shared" si="184"/>
        <v>-67</v>
      </c>
      <c r="AO151" s="1">
        <f t="shared" si="185"/>
        <v>-67</v>
      </c>
      <c r="AP151" s="1">
        <f t="shared" si="186"/>
        <v>-66</v>
      </c>
      <c r="AQ151" s="1">
        <f t="shared" si="187"/>
        <v>-68</v>
      </c>
      <c r="AR151" s="1">
        <f t="shared" si="188"/>
        <v>-67</v>
      </c>
      <c r="AS151" s="1">
        <f t="shared" si="189"/>
        <v>-66</v>
      </c>
      <c r="AT151" s="1">
        <f t="shared" si="190"/>
        <v>-64</v>
      </c>
      <c r="AU151" s="4">
        <f t="shared" si="191"/>
        <v>-64</v>
      </c>
      <c r="AW151" s="3">
        <f t="shared" si="192"/>
        <v>-70</v>
      </c>
      <c r="AX151" s="1">
        <f t="shared" si="193"/>
        <v>-70</v>
      </c>
      <c r="AY151" s="1">
        <f t="shared" si="194"/>
        <v>-69</v>
      </c>
      <c r="AZ151" s="1">
        <f t="shared" si="195"/>
        <v>-71</v>
      </c>
      <c r="BA151" s="1">
        <f t="shared" si="196"/>
        <v>-70</v>
      </c>
      <c r="BB151" s="1">
        <f t="shared" si="197"/>
        <v>-70</v>
      </c>
      <c r="BC151" s="1">
        <f t="shared" si="198"/>
        <v>-67</v>
      </c>
      <c r="BD151" s="4">
        <f t="shared" si="199"/>
        <v>-67</v>
      </c>
      <c r="BF151" s="3">
        <v>-7</v>
      </c>
      <c r="BG151" s="1">
        <v>-7</v>
      </c>
      <c r="BH151" s="1">
        <v>-5</v>
      </c>
      <c r="BI151" s="1">
        <v>-6</v>
      </c>
      <c r="BJ151" s="1">
        <v>-4</v>
      </c>
      <c r="BK151" s="1">
        <v>-4</v>
      </c>
      <c r="BL151" s="1">
        <v>-6</v>
      </c>
      <c r="BM151" s="4">
        <v>-6</v>
      </c>
      <c r="BO151" s="3">
        <v>-10</v>
      </c>
      <c r="BP151" s="1">
        <v>-10</v>
      </c>
      <c r="BQ151" s="1">
        <v>-8</v>
      </c>
      <c r="BR151" s="1">
        <v>-9</v>
      </c>
      <c r="BS151" s="1">
        <v>-8</v>
      </c>
      <c r="BT151" s="1">
        <v>-7</v>
      </c>
      <c r="BU151" s="1">
        <v>-10</v>
      </c>
      <c r="BV151" s="4">
        <v>-11</v>
      </c>
      <c r="BX151" s="3">
        <v>-14</v>
      </c>
      <c r="BY151" s="1">
        <v>-14</v>
      </c>
      <c r="BZ151" s="1">
        <v>-15</v>
      </c>
      <c r="CA151" s="1">
        <v>-17</v>
      </c>
      <c r="CB151" s="1">
        <v>-16</v>
      </c>
      <c r="CC151" s="1">
        <v>-16</v>
      </c>
      <c r="CD151" s="1">
        <v>-15</v>
      </c>
      <c r="CE151" s="4">
        <v>-15</v>
      </c>
      <c r="CG151" s="3">
        <v>-6</v>
      </c>
      <c r="CH151" s="1">
        <v>-6</v>
      </c>
      <c r="CI151" s="1">
        <v>-4</v>
      </c>
      <c r="CJ151" s="1">
        <v>-5</v>
      </c>
      <c r="CK151" s="1">
        <v>-5</v>
      </c>
      <c r="CL151" s="1">
        <v>-4</v>
      </c>
      <c r="CM151" s="1">
        <v>-5</v>
      </c>
      <c r="CN151" s="4">
        <v>-6</v>
      </c>
      <c r="CP151" s="3">
        <v>-9</v>
      </c>
      <c r="CQ151" s="1">
        <v>-9</v>
      </c>
      <c r="CR151" s="1">
        <v>-7</v>
      </c>
      <c r="CS151" s="1">
        <v>-8</v>
      </c>
      <c r="CT151" s="1">
        <v>-8</v>
      </c>
      <c r="CU151" s="1">
        <v>-8</v>
      </c>
      <c r="CV151" s="1">
        <v>-8</v>
      </c>
      <c r="CW151" s="4">
        <v>-9</v>
      </c>
    </row>
    <row r="152" spans="1:101">
      <c r="A152" s="8" t="str">
        <f>VLOOKUP(B152,List!W:X,2,1)</f>
        <v>1.10 - 1.19</v>
      </c>
      <c r="B152" s="8">
        <v>1.1000000000000001</v>
      </c>
      <c r="C152" s="8" t="s">
        <v>13</v>
      </c>
      <c r="D152" s="3">
        <v>-46</v>
      </c>
      <c r="E152" s="1">
        <v>-46</v>
      </c>
      <c r="F152" s="1">
        <v>-45</v>
      </c>
      <c r="G152" s="1">
        <v>-44</v>
      </c>
      <c r="H152" s="1">
        <v>-44</v>
      </c>
      <c r="I152" s="1">
        <v>-45</v>
      </c>
      <c r="J152" s="1">
        <v>-45</v>
      </c>
      <c r="K152" s="4">
        <v>-45</v>
      </c>
      <c r="M152" s="3">
        <f t="shared" si="160"/>
        <v>-52</v>
      </c>
      <c r="N152" s="1">
        <f t="shared" si="161"/>
        <v>-52</v>
      </c>
      <c r="O152" s="1">
        <f t="shared" si="162"/>
        <v>-50</v>
      </c>
      <c r="P152" s="1">
        <f t="shared" si="163"/>
        <v>-49</v>
      </c>
      <c r="Q152" s="1">
        <f t="shared" si="164"/>
        <v>-48</v>
      </c>
      <c r="R152" s="1">
        <f t="shared" si="165"/>
        <v>-49</v>
      </c>
      <c r="S152" s="1">
        <f t="shared" si="166"/>
        <v>-50</v>
      </c>
      <c r="T152" s="4">
        <f t="shared" si="167"/>
        <v>-50</v>
      </c>
      <c r="V152" s="3">
        <f t="shared" si="168"/>
        <v>-61</v>
      </c>
      <c r="W152" s="1">
        <f t="shared" si="169"/>
        <v>-61</v>
      </c>
      <c r="X152" s="1">
        <f t="shared" si="170"/>
        <v>-60</v>
      </c>
      <c r="Y152" s="1">
        <f t="shared" si="171"/>
        <v>-59</v>
      </c>
      <c r="Z152" s="1">
        <f t="shared" si="172"/>
        <v>-57</v>
      </c>
      <c r="AA152" s="1">
        <f t="shared" si="173"/>
        <v>-57</v>
      </c>
      <c r="AB152" s="1">
        <f t="shared" si="174"/>
        <v>-60</v>
      </c>
      <c r="AC152" s="4">
        <f t="shared" si="175"/>
        <v>-60</v>
      </c>
      <c r="AE152" s="3">
        <f t="shared" si="176"/>
        <v>-60</v>
      </c>
      <c r="AF152" s="1">
        <f t="shared" si="177"/>
        <v>-60</v>
      </c>
      <c r="AG152" s="1">
        <f t="shared" si="178"/>
        <v>-60</v>
      </c>
      <c r="AH152" s="1">
        <f t="shared" si="179"/>
        <v>-58</v>
      </c>
      <c r="AI152" s="1">
        <f t="shared" si="180"/>
        <v>-59</v>
      </c>
      <c r="AJ152" s="1">
        <f t="shared" si="181"/>
        <v>-59</v>
      </c>
      <c r="AK152" s="1">
        <f t="shared" si="182"/>
        <v>-60</v>
      </c>
      <c r="AL152" s="4">
        <f t="shared" si="183"/>
        <v>-61</v>
      </c>
      <c r="AN152" s="3">
        <f t="shared" si="184"/>
        <v>-64</v>
      </c>
      <c r="AO152" s="1">
        <f t="shared" si="185"/>
        <v>-64</v>
      </c>
      <c r="AP152" s="1">
        <f t="shared" si="186"/>
        <v>-63</v>
      </c>
      <c r="AQ152" s="1">
        <f t="shared" si="187"/>
        <v>-61</v>
      </c>
      <c r="AR152" s="1">
        <f t="shared" si="188"/>
        <v>-63</v>
      </c>
      <c r="AS152" s="1">
        <f t="shared" si="189"/>
        <v>-63</v>
      </c>
      <c r="AT152" s="1">
        <f t="shared" si="190"/>
        <v>-64</v>
      </c>
      <c r="AU152" s="4">
        <f t="shared" si="191"/>
        <v>-66</v>
      </c>
      <c r="AW152" s="3">
        <f t="shared" si="192"/>
        <v>-68</v>
      </c>
      <c r="AX152" s="1">
        <f t="shared" si="193"/>
        <v>-68</v>
      </c>
      <c r="AY152" s="1">
        <f t="shared" si="194"/>
        <v>-67</v>
      </c>
      <c r="AZ152" s="1">
        <f t="shared" si="195"/>
        <v>-64</v>
      </c>
      <c r="BA152" s="1">
        <f t="shared" si="196"/>
        <v>-67</v>
      </c>
      <c r="BB152" s="1">
        <f t="shared" si="197"/>
        <v>-66</v>
      </c>
      <c r="BC152" s="1">
        <f t="shared" si="198"/>
        <v>-68</v>
      </c>
      <c r="BD152" s="4">
        <f t="shared" si="199"/>
        <v>-70</v>
      </c>
      <c r="BF152" s="3">
        <v>-6</v>
      </c>
      <c r="BG152" s="1">
        <v>-6</v>
      </c>
      <c r="BH152" s="1">
        <v>-5</v>
      </c>
      <c r="BI152" s="1">
        <v>-5</v>
      </c>
      <c r="BJ152" s="1">
        <v>-4</v>
      </c>
      <c r="BK152" s="1">
        <v>-4</v>
      </c>
      <c r="BL152" s="1">
        <v>-5</v>
      </c>
      <c r="BM152" s="4">
        <v>-5</v>
      </c>
      <c r="BO152" s="3">
        <v>-9</v>
      </c>
      <c r="BP152" s="1">
        <v>-9</v>
      </c>
      <c r="BQ152" s="1">
        <v>-10</v>
      </c>
      <c r="BR152" s="1">
        <v>-10</v>
      </c>
      <c r="BS152" s="1">
        <v>-9</v>
      </c>
      <c r="BT152" s="1">
        <v>-8</v>
      </c>
      <c r="BU152" s="1">
        <v>-10</v>
      </c>
      <c r="BV152" s="4">
        <v>-10</v>
      </c>
      <c r="BX152" s="3">
        <v>-14</v>
      </c>
      <c r="BY152" s="1">
        <v>-14</v>
      </c>
      <c r="BZ152" s="1">
        <v>-15</v>
      </c>
      <c r="CA152" s="1">
        <v>-14</v>
      </c>
      <c r="CB152" s="1">
        <v>-15</v>
      </c>
      <c r="CC152" s="1">
        <v>-14</v>
      </c>
      <c r="CD152" s="1">
        <v>-15</v>
      </c>
      <c r="CE152" s="4">
        <v>-16</v>
      </c>
      <c r="CG152" s="3">
        <v>-4</v>
      </c>
      <c r="CH152" s="1">
        <v>-4</v>
      </c>
      <c r="CI152" s="1">
        <v>-3</v>
      </c>
      <c r="CJ152" s="1">
        <v>-3</v>
      </c>
      <c r="CK152" s="1">
        <v>-4</v>
      </c>
      <c r="CL152" s="1">
        <v>-4</v>
      </c>
      <c r="CM152" s="1">
        <v>-4</v>
      </c>
      <c r="CN152" s="4">
        <v>-5</v>
      </c>
      <c r="CP152" s="3">
        <v>-8</v>
      </c>
      <c r="CQ152" s="1">
        <v>-8</v>
      </c>
      <c r="CR152" s="1">
        <v>-7</v>
      </c>
      <c r="CS152" s="1">
        <v>-6</v>
      </c>
      <c r="CT152" s="1">
        <v>-8</v>
      </c>
      <c r="CU152" s="1">
        <v>-7</v>
      </c>
      <c r="CV152" s="1">
        <v>-8</v>
      </c>
      <c r="CW152" s="4">
        <v>-9</v>
      </c>
    </row>
    <row r="153" spans="1:101">
      <c r="A153" s="8" t="str">
        <f>VLOOKUP(B153,List!W:X,2,1)</f>
        <v>1.10 - 1.19</v>
      </c>
      <c r="B153" s="8">
        <v>1.1000000000000001</v>
      </c>
      <c r="C153" s="8" t="s">
        <v>14</v>
      </c>
      <c r="D153" s="3">
        <v>-47</v>
      </c>
      <c r="E153" s="1">
        <v>-47</v>
      </c>
      <c r="F153" s="1">
        <v>-46</v>
      </c>
      <c r="G153" s="1">
        <v>-45</v>
      </c>
      <c r="H153" s="1">
        <v>-45</v>
      </c>
      <c r="I153" s="1">
        <v>-45</v>
      </c>
      <c r="J153" s="1">
        <v>-45</v>
      </c>
      <c r="K153" s="4">
        <v>-44</v>
      </c>
      <c r="M153" s="3">
        <f t="shared" si="160"/>
        <v>-51</v>
      </c>
      <c r="N153" s="1">
        <f t="shared" si="161"/>
        <v>-51</v>
      </c>
      <c r="O153" s="1">
        <f t="shared" si="162"/>
        <v>-51</v>
      </c>
      <c r="P153" s="1">
        <f t="shared" si="163"/>
        <v>-50</v>
      </c>
      <c r="Q153" s="1">
        <f t="shared" si="164"/>
        <v>-50</v>
      </c>
      <c r="R153" s="1">
        <f t="shared" si="165"/>
        <v>-49</v>
      </c>
      <c r="S153" s="1">
        <f t="shared" si="166"/>
        <v>-49</v>
      </c>
      <c r="T153" s="4">
        <f t="shared" si="167"/>
        <v>-48</v>
      </c>
      <c r="V153" s="3">
        <f t="shared" si="168"/>
        <v>-61</v>
      </c>
      <c r="W153" s="1">
        <f t="shared" si="169"/>
        <v>-61</v>
      </c>
      <c r="X153" s="1">
        <f t="shared" si="170"/>
        <v>-60</v>
      </c>
      <c r="Y153" s="1">
        <f t="shared" si="171"/>
        <v>-59</v>
      </c>
      <c r="Z153" s="1">
        <f t="shared" si="172"/>
        <v>-59</v>
      </c>
      <c r="AA153" s="1">
        <f t="shared" si="173"/>
        <v>-57</v>
      </c>
      <c r="AB153" s="1">
        <f t="shared" si="174"/>
        <v>-58</v>
      </c>
      <c r="AC153" s="4">
        <f t="shared" si="175"/>
        <v>-58</v>
      </c>
      <c r="AE153" s="3">
        <f t="shared" si="176"/>
        <v>-61</v>
      </c>
      <c r="AF153" s="1">
        <f t="shared" si="177"/>
        <v>-61</v>
      </c>
      <c r="AG153" s="1">
        <f t="shared" si="178"/>
        <v>-61</v>
      </c>
      <c r="AH153" s="1">
        <f t="shared" si="179"/>
        <v>-59</v>
      </c>
      <c r="AI153" s="1">
        <f t="shared" si="180"/>
        <v>-58</v>
      </c>
      <c r="AJ153" s="1">
        <f t="shared" si="181"/>
        <v>-57</v>
      </c>
      <c r="AK153" s="1">
        <f t="shared" si="182"/>
        <v>-60</v>
      </c>
      <c r="AL153" s="4">
        <f t="shared" si="183"/>
        <v>-59</v>
      </c>
      <c r="AN153" s="3">
        <f t="shared" si="184"/>
        <v>-66</v>
      </c>
      <c r="AO153" s="1">
        <f t="shared" si="185"/>
        <v>-66</v>
      </c>
      <c r="AP153" s="1">
        <f t="shared" si="186"/>
        <v>-66</v>
      </c>
      <c r="AQ153" s="1">
        <f t="shared" si="187"/>
        <v>-63</v>
      </c>
      <c r="AR153" s="1">
        <f t="shared" si="188"/>
        <v>-62</v>
      </c>
      <c r="AS153" s="1">
        <f t="shared" si="189"/>
        <v>-62</v>
      </c>
      <c r="AT153" s="1">
        <f t="shared" si="190"/>
        <v>-64</v>
      </c>
      <c r="AU153" s="4">
        <f t="shared" si="191"/>
        <v>-64</v>
      </c>
      <c r="AW153" s="3">
        <f t="shared" si="192"/>
        <v>-69</v>
      </c>
      <c r="AX153" s="1">
        <f t="shared" si="193"/>
        <v>-69</v>
      </c>
      <c r="AY153" s="1">
        <f t="shared" si="194"/>
        <v>-69</v>
      </c>
      <c r="AZ153" s="1">
        <f t="shared" si="195"/>
        <v>-66</v>
      </c>
      <c r="BA153" s="1">
        <f t="shared" si="196"/>
        <v>-65</v>
      </c>
      <c r="BB153" s="1">
        <f t="shared" si="197"/>
        <v>-65</v>
      </c>
      <c r="BC153" s="1">
        <f t="shared" si="198"/>
        <v>-67</v>
      </c>
      <c r="BD153" s="4">
        <f t="shared" si="199"/>
        <v>-67</v>
      </c>
      <c r="BF153" s="3">
        <v>-4</v>
      </c>
      <c r="BG153" s="1">
        <v>-4</v>
      </c>
      <c r="BH153" s="1">
        <v>-5</v>
      </c>
      <c r="BI153" s="1">
        <v>-5</v>
      </c>
      <c r="BJ153" s="1">
        <v>-5</v>
      </c>
      <c r="BK153" s="1">
        <v>-4</v>
      </c>
      <c r="BL153" s="1">
        <v>-4</v>
      </c>
      <c r="BM153" s="4">
        <v>-4</v>
      </c>
      <c r="BO153" s="3">
        <v>-10</v>
      </c>
      <c r="BP153" s="1">
        <v>-10</v>
      </c>
      <c r="BQ153" s="1">
        <v>-9</v>
      </c>
      <c r="BR153" s="1">
        <v>-9</v>
      </c>
      <c r="BS153" s="1">
        <v>-9</v>
      </c>
      <c r="BT153" s="1">
        <v>-8</v>
      </c>
      <c r="BU153" s="1">
        <v>-9</v>
      </c>
      <c r="BV153" s="4">
        <v>-10</v>
      </c>
      <c r="BX153" s="3">
        <v>-14</v>
      </c>
      <c r="BY153" s="1">
        <v>-14</v>
      </c>
      <c r="BZ153" s="1">
        <v>-15</v>
      </c>
      <c r="CA153" s="1">
        <v>-14</v>
      </c>
      <c r="CB153" s="1">
        <v>-13</v>
      </c>
      <c r="CC153" s="1">
        <v>-12</v>
      </c>
      <c r="CD153" s="1">
        <v>-15</v>
      </c>
      <c r="CE153" s="4">
        <v>-15</v>
      </c>
      <c r="CG153" s="3">
        <v>-5</v>
      </c>
      <c r="CH153" s="1">
        <v>-5</v>
      </c>
      <c r="CI153" s="1">
        <v>-5</v>
      </c>
      <c r="CJ153" s="1">
        <v>-4</v>
      </c>
      <c r="CK153" s="1">
        <v>-4</v>
      </c>
      <c r="CL153" s="1">
        <v>-5</v>
      </c>
      <c r="CM153" s="1">
        <v>-4</v>
      </c>
      <c r="CN153" s="4">
        <v>-5</v>
      </c>
      <c r="CP153" s="3">
        <v>-8</v>
      </c>
      <c r="CQ153" s="1">
        <v>-8</v>
      </c>
      <c r="CR153" s="1">
        <v>-8</v>
      </c>
      <c r="CS153" s="1">
        <v>-7</v>
      </c>
      <c r="CT153" s="1">
        <v>-7</v>
      </c>
      <c r="CU153" s="1">
        <v>-8</v>
      </c>
      <c r="CV153" s="1">
        <v>-7</v>
      </c>
      <c r="CW153" s="4">
        <v>-8</v>
      </c>
    </row>
    <row r="154" spans="1:101">
      <c r="A154" s="8" t="str">
        <f>VLOOKUP(B154,List!W:X,2,1)</f>
        <v>1.10 - 1.19</v>
      </c>
      <c r="B154" s="8">
        <v>1.1000000000000001</v>
      </c>
      <c r="C154" s="8" t="s">
        <v>15</v>
      </c>
      <c r="D154" s="3">
        <v>-46</v>
      </c>
      <c r="E154" s="1">
        <v>-46</v>
      </c>
      <c r="F154" s="1">
        <v>-44</v>
      </c>
      <c r="G154" s="1">
        <v>-44</v>
      </c>
      <c r="H154" s="1">
        <v>-44</v>
      </c>
      <c r="I154" s="1">
        <v>-45</v>
      </c>
      <c r="J154" s="1">
        <v>-44</v>
      </c>
      <c r="K154" s="4">
        <v>-43</v>
      </c>
      <c r="M154" s="3">
        <f t="shared" si="160"/>
        <v>-50</v>
      </c>
      <c r="N154" s="1">
        <f t="shared" si="161"/>
        <v>-50</v>
      </c>
      <c r="O154" s="1">
        <f t="shared" si="162"/>
        <v>-48</v>
      </c>
      <c r="P154" s="1">
        <f t="shared" si="163"/>
        <v>-47</v>
      </c>
      <c r="Q154" s="1">
        <f t="shared" si="164"/>
        <v>-48</v>
      </c>
      <c r="R154" s="1">
        <f t="shared" si="165"/>
        <v>-48</v>
      </c>
      <c r="S154" s="1">
        <f t="shared" si="166"/>
        <v>-48</v>
      </c>
      <c r="T154" s="4">
        <f t="shared" si="167"/>
        <v>-47</v>
      </c>
      <c r="V154" s="3">
        <f t="shared" si="168"/>
        <v>-60</v>
      </c>
      <c r="W154" s="1">
        <f t="shared" si="169"/>
        <v>-60</v>
      </c>
      <c r="X154" s="1">
        <f t="shared" si="170"/>
        <v>-58</v>
      </c>
      <c r="Y154" s="1">
        <f t="shared" si="171"/>
        <v>-57</v>
      </c>
      <c r="Z154" s="1">
        <f t="shared" si="172"/>
        <v>-57</v>
      </c>
      <c r="AA154" s="1">
        <f t="shared" si="173"/>
        <v>-56</v>
      </c>
      <c r="AB154" s="1">
        <f t="shared" si="174"/>
        <v>-57</v>
      </c>
      <c r="AC154" s="4">
        <f t="shared" si="175"/>
        <v>-57</v>
      </c>
      <c r="AE154" s="3">
        <f t="shared" si="176"/>
        <v>-60</v>
      </c>
      <c r="AF154" s="1">
        <f t="shared" si="177"/>
        <v>-60</v>
      </c>
      <c r="AG154" s="1">
        <f t="shared" si="178"/>
        <v>-59</v>
      </c>
      <c r="AH154" s="1">
        <f t="shared" si="179"/>
        <v>-58</v>
      </c>
      <c r="AI154" s="1">
        <f t="shared" si="180"/>
        <v>-58</v>
      </c>
      <c r="AJ154" s="1">
        <f t="shared" si="181"/>
        <v>-58</v>
      </c>
      <c r="AK154" s="1">
        <f t="shared" si="182"/>
        <v>-59</v>
      </c>
      <c r="AL154" s="4">
        <f t="shared" si="183"/>
        <v>-58</v>
      </c>
      <c r="AN154" s="3">
        <f t="shared" si="184"/>
        <v>-65</v>
      </c>
      <c r="AO154" s="1">
        <f t="shared" si="185"/>
        <v>-65</v>
      </c>
      <c r="AP154" s="1">
        <f t="shared" si="186"/>
        <v>-64</v>
      </c>
      <c r="AQ154" s="1">
        <f t="shared" si="187"/>
        <v>-63</v>
      </c>
      <c r="AR154" s="1">
        <f t="shared" si="188"/>
        <v>-62</v>
      </c>
      <c r="AS154" s="1">
        <f t="shared" si="189"/>
        <v>-63</v>
      </c>
      <c r="AT154" s="1">
        <f t="shared" si="190"/>
        <v>-64</v>
      </c>
      <c r="AU154" s="4">
        <f t="shared" si="191"/>
        <v>-64</v>
      </c>
      <c r="AW154" s="3">
        <f t="shared" si="192"/>
        <v>-68</v>
      </c>
      <c r="AX154" s="1">
        <f t="shared" si="193"/>
        <v>-68</v>
      </c>
      <c r="AY154" s="1">
        <f t="shared" si="194"/>
        <v>-67</v>
      </c>
      <c r="AZ154" s="1">
        <f t="shared" si="195"/>
        <v>-66</v>
      </c>
      <c r="BA154" s="1">
        <f t="shared" si="196"/>
        <v>-65</v>
      </c>
      <c r="BB154" s="1">
        <f t="shared" si="197"/>
        <v>-66</v>
      </c>
      <c r="BC154" s="1">
        <f t="shared" si="198"/>
        <v>-67</v>
      </c>
      <c r="BD154" s="4">
        <f t="shared" si="199"/>
        <v>-67</v>
      </c>
      <c r="BF154" s="3">
        <v>-4</v>
      </c>
      <c r="BG154" s="1">
        <v>-4</v>
      </c>
      <c r="BH154" s="1">
        <v>-4</v>
      </c>
      <c r="BI154" s="1">
        <v>-3</v>
      </c>
      <c r="BJ154" s="1">
        <v>-4</v>
      </c>
      <c r="BK154" s="1">
        <v>-3</v>
      </c>
      <c r="BL154" s="1">
        <v>-4</v>
      </c>
      <c r="BM154" s="4">
        <v>-4</v>
      </c>
      <c r="BO154" s="3">
        <v>-10</v>
      </c>
      <c r="BP154" s="1">
        <v>-10</v>
      </c>
      <c r="BQ154" s="1">
        <v>-10</v>
      </c>
      <c r="BR154" s="1">
        <v>-10</v>
      </c>
      <c r="BS154" s="1">
        <v>-9</v>
      </c>
      <c r="BT154" s="1">
        <v>-8</v>
      </c>
      <c r="BU154" s="1">
        <v>-9</v>
      </c>
      <c r="BV154" s="4">
        <v>-10</v>
      </c>
      <c r="BX154" s="3">
        <v>-14</v>
      </c>
      <c r="BY154" s="1">
        <v>-14</v>
      </c>
      <c r="BZ154" s="1">
        <v>-15</v>
      </c>
      <c r="CA154" s="1">
        <v>-14</v>
      </c>
      <c r="CB154" s="1">
        <v>-14</v>
      </c>
      <c r="CC154" s="1">
        <v>-13</v>
      </c>
      <c r="CD154" s="1">
        <v>-15</v>
      </c>
      <c r="CE154" s="4">
        <v>-15</v>
      </c>
      <c r="CG154" s="3">
        <v>-5</v>
      </c>
      <c r="CH154" s="1">
        <v>-5</v>
      </c>
      <c r="CI154" s="1">
        <v>-5</v>
      </c>
      <c r="CJ154" s="1">
        <v>-5</v>
      </c>
      <c r="CK154" s="1">
        <v>-4</v>
      </c>
      <c r="CL154" s="1">
        <v>-5</v>
      </c>
      <c r="CM154" s="1">
        <v>-5</v>
      </c>
      <c r="CN154" s="4">
        <v>-6</v>
      </c>
      <c r="CP154" s="3">
        <v>-8</v>
      </c>
      <c r="CQ154" s="1">
        <v>-8</v>
      </c>
      <c r="CR154" s="1">
        <v>-8</v>
      </c>
      <c r="CS154" s="1">
        <v>-8</v>
      </c>
      <c r="CT154" s="1">
        <v>-7</v>
      </c>
      <c r="CU154" s="1">
        <v>-8</v>
      </c>
      <c r="CV154" s="1">
        <v>-8</v>
      </c>
      <c r="CW154" s="4">
        <v>-9</v>
      </c>
    </row>
    <row r="155" spans="1:101">
      <c r="A155" s="8" t="str">
        <f>VLOOKUP(B155,List!W:X,2,1)</f>
        <v>1.20 - 1.29</v>
      </c>
      <c r="B155" s="8">
        <v>1.2</v>
      </c>
      <c r="C155" s="8" t="s">
        <v>8</v>
      </c>
      <c r="D155" s="3">
        <v>-45</v>
      </c>
      <c r="E155" s="1">
        <v>-45</v>
      </c>
      <c r="F155" s="1">
        <v>-40</v>
      </c>
      <c r="G155" s="1">
        <v>-39</v>
      </c>
      <c r="H155" s="1">
        <v>-37</v>
      </c>
      <c r="I155" s="1">
        <v>-34</v>
      </c>
      <c r="J155" s="1">
        <v>-34</v>
      </c>
      <c r="K155" s="4">
        <v>-34</v>
      </c>
      <c r="M155" s="3">
        <f t="shared" si="160"/>
        <v>-54</v>
      </c>
      <c r="N155" s="1">
        <f t="shared" si="161"/>
        <v>-54</v>
      </c>
      <c r="O155" s="1">
        <f t="shared" si="162"/>
        <v>-47</v>
      </c>
      <c r="P155" s="1">
        <f t="shared" si="163"/>
        <v>-47</v>
      </c>
      <c r="Q155" s="1">
        <f t="shared" si="164"/>
        <v>-44</v>
      </c>
      <c r="R155" s="1">
        <f t="shared" si="165"/>
        <v>-42</v>
      </c>
      <c r="S155" s="1">
        <f t="shared" si="166"/>
        <v>-43</v>
      </c>
      <c r="T155" s="4">
        <f t="shared" si="167"/>
        <v>-43</v>
      </c>
      <c r="V155" s="3">
        <f t="shared" si="168"/>
        <v>-67</v>
      </c>
      <c r="W155" s="1">
        <f t="shared" si="169"/>
        <v>-67</v>
      </c>
      <c r="X155" s="1">
        <f t="shared" si="170"/>
        <v>-63</v>
      </c>
      <c r="Y155" s="1">
        <f t="shared" si="171"/>
        <v>-62</v>
      </c>
      <c r="Z155" s="1">
        <f t="shared" si="172"/>
        <v>-58</v>
      </c>
      <c r="AA155" s="1">
        <f t="shared" si="173"/>
        <v>-57</v>
      </c>
      <c r="AB155" s="1">
        <f t="shared" si="174"/>
        <v>-56</v>
      </c>
      <c r="AC155" s="4">
        <f t="shared" si="175"/>
        <v>-56</v>
      </c>
      <c r="AE155" s="3">
        <f t="shared" si="176"/>
        <v>-72</v>
      </c>
      <c r="AF155" s="1">
        <f t="shared" si="177"/>
        <v>-72</v>
      </c>
      <c r="AG155" s="1">
        <f t="shared" si="178"/>
        <v>-73</v>
      </c>
      <c r="AH155" s="1">
        <f t="shared" si="179"/>
        <v>-72</v>
      </c>
      <c r="AI155" s="1">
        <f t="shared" si="180"/>
        <v>-73</v>
      </c>
      <c r="AJ155" s="1">
        <f t="shared" si="181"/>
        <v>-67</v>
      </c>
      <c r="AK155" s="1">
        <f t="shared" si="182"/>
        <v>-68</v>
      </c>
      <c r="AL155" s="4">
        <f t="shared" si="183"/>
        <v>-59</v>
      </c>
      <c r="AN155" s="3">
        <f t="shared" si="184"/>
        <v>-76</v>
      </c>
      <c r="AO155" s="1">
        <f t="shared" si="185"/>
        <v>-76</v>
      </c>
      <c r="AP155" s="1">
        <f t="shared" si="186"/>
        <v>-77</v>
      </c>
      <c r="AQ155" s="1">
        <f t="shared" si="187"/>
        <v>-76</v>
      </c>
      <c r="AR155" s="1">
        <f t="shared" si="188"/>
        <v>-77</v>
      </c>
      <c r="AS155" s="1">
        <f t="shared" si="189"/>
        <v>-71</v>
      </c>
      <c r="AT155" s="1">
        <f t="shared" si="190"/>
        <v>-72</v>
      </c>
      <c r="AU155" s="4">
        <f t="shared" si="191"/>
        <v>-62</v>
      </c>
      <c r="AW155" s="3">
        <f t="shared" si="192"/>
        <v>-79</v>
      </c>
      <c r="AX155" s="1">
        <f t="shared" si="193"/>
        <v>-79</v>
      </c>
      <c r="AY155" s="1">
        <f t="shared" si="194"/>
        <v>-81</v>
      </c>
      <c r="AZ155" s="1">
        <f t="shared" si="195"/>
        <v>-80</v>
      </c>
      <c r="BA155" s="1">
        <f t="shared" si="196"/>
        <v>-81</v>
      </c>
      <c r="BB155" s="1">
        <f t="shared" si="197"/>
        <v>-74</v>
      </c>
      <c r="BC155" s="1">
        <f t="shared" si="198"/>
        <v>-75</v>
      </c>
      <c r="BD155" s="4">
        <f t="shared" si="199"/>
        <v>-65</v>
      </c>
      <c r="BF155" s="3">
        <v>-9</v>
      </c>
      <c r="BG155" s="1">
        <v>-9</v>
      </c>
      <c r="BH155" s="1">
        <v>-7</v>
      </c>
      <c r="BI155" s="1">
        <v>-8</v>
      </c>
      <c r="BJ155" s="1">
        <v>-7</v>
      </c>
      <c r="BK155" s="1">
        <v>-8</v>
      </c>
      <c r="BL155" s="1">
        <v>-9</v>
      </c>
      <c r="BM155" s="4">
        <v>-9</v>
      </c>
      <c r="BO155" s="3">
        <v>-13</v>
      </c>
      <c r="BP155" s="1">
        <v>-13</v>
      </c>
      <c r="BQ155" s="1">
        <v>-16</v>
      </c>
      <c r="BR155" s="1">
        <v>-15</v>
      </c>
      <c r="BS155" s="1">
        <v>-14</v>
      </c>
      <c r="BT155" s="1">
        <v>-15</v>
      </c>
      <c r="BU155" s="1">
        <v>-13</v>
      </c>
      <c r="BV155" s="4">
        <v>-13</v>
      </c>
      <c r="BX155" s="3">
        <v>-27</v>
      </c>
      <c r="BY155" s="1">
        <v>-27</v>
      </c>
      <c r="BZ155" s="1">
        <v>-33</v>
      </c>
      <c r="CA155" s="1">
        <v>-33</v>
      </c>
      <c r="CB155" s="1">
        <v>-36</v>
      </c>
      <c r="CC155" s="1">
        <v>-33</v>
      </c>
      <c r="CD155" s="1">
        <v>-34</v>
      </c>
      <c r="CE155" s="4">
        <v>-25</v>
      </c>
      <c r="CG155" s="3">
        <v>-4</v>
      </c>
      <c r="CH155" s="1">
        <v>-4</v>
      </c>
      <c r="CI155" s="1">
        <v>-4</v>
      </c>
      <c r="CJ155" s="1">
        <v>-4</v>
      </c>
      <c r="CK155" s="1">
        <v>-4</v>
      </c>
      <c r="CL155" s="1">
        <v>-4</v>
      </c>
      <c r="CM155" s="1">
        <v>-4</v>
      </c>
      <c r="CN155" s="4">
        <v>-3</v>
      </c>
      <c r="CP155" s="3">
        <v>-7</v>
      </c>
      <c r="CQ155" s="1">
        <v>-7</v>
      </c>
      <c r="CR155" s="1">
        <v>-8</v>
      </c>
      <c r="CS155" s="1">
        <v>-8</v>
      </c>
      <c r="CT155" s="1">
        <v>-8</v>
      </c>
      <c r="CU155" s="1">
        <v>-7</v>
      </c>
      <c r="CV155" s="1">
        <v>-7</v>
      </c>
      <c r="CW155" s="4">
        <v>-6</v>
      </c>
    </row>
    <row r="156" spans="1:101">
      <c r="A156" s="8" t="str">
        <f>VLOOKUP(B156,List!W:X,2,1)</f>
        <v>1.20 - 1.29</v>
      </c>
      <c r="B156" s="8">
        <v>1.2</v>
      </c>
      <c r="C156" s="8" t="s">
        <v>9</v>
      </c>
      <c r="D156" s="3">
        <v>-42</v>
      </c>
      <c r="E156" s="1">
        <v>-42</v>
      </c>
      <c r="F156" s="1">
        <v>-40</v>
      </c>
      <c r="G156" s="1">
        <v>-41</v>
      </c>
      <c r="H156" s="1">
        <v>-39</v>
      </c>
      <c r="I156" s="1">
        <v>-37</v>
      </c>
      <c r="J156" s="1">
        <v>-35</v>
      </c>
      <c r="K156" s="4">
        <v>-35</v>
      </c>
      <c r="M156" s="3">
        <f t="shared" si="160"/>
        <v>-51</v>
      </c>
      <c r="N156" s="1">
        <f t="shared" si="161"/>
        <v>-51</v>
      </c>
      <c r="O156" s="1">
        <f t="shared" si="162"/>
        <v>-48</v>
      </c>
      <c r="P156" s="1">
        <f t="shared" si="163"/>
        <v>-48</v>
      </c>
      <c r="Q156" s="1">
        <f t="shared" si="164"/>
        <v>-46</v>
      </c>
      <c r="R156" s="1">
        <f t="shared" si="165"/>
        <v>-43</v>
      </c>
      <c r="S156" s="1">
        <f t="shared" si="166"/>
        <v>-44</v>
      </c>
      <c r="T156" s="4">
        <f t="shared" si="167"/>
        <v>-42</v>
      </c>
      <c r="V156" s="3">
        <f t="shared" si="168"/>
        <v>-67</v>
      </c>
      <c r="W156" s="1">
        <f t="shared" si="169"/>
        <v>-67</v>
      </c>
      <c r="X156" s="1">
        <f t="shared" si="170"/>
        <v>-64</v>
      </c>
      <c r="Y156" s="1">
        <f t="shared" si="171"/>
        <v>-61</v>
      </c>
      <c r="Z156" s="1">
        <f t="shared" si="172"/>
        <v>-59</v>
      </c>
      <c r="AA156" s="1">
        <f t="shared" si="173"/>
        <v>-55</v>
      </c>
      <c r="AB156" s="1">
        <f t="shared" si="174"/>
        <v>-57</v>
      </c>
      <c r="AC156" s="4">
        <f t="shared" si="175"/>
        <v>-53</v>
      </c>
      <c r="AE156" s="3">
        <f t="shared" si="176"/>
        <v>-68</v>
      </c>
      <c r="AF156" s="1">
        <f t="shared" si="177"/>
        <v>-68</v>
      </c>
      <c r="AG156" s="1">
        <f t="shared" si="178"/>
        <v>-73</v>
      </c>
      <c r="AH156" s="1">
        <f t="shared" si="179"/>
        <v>-76</v>
      </c>
      <c r="AI156" s="1">
        <f t="shared" si="180"/>
        <v>-76</v>
      </c>
      <c r="AJ156" s="1">
        <f t="shared" si="181"/>
        <v>-69</v>
      </c>
      <c r="AK156" s="1">
        <f t="shared" si="182"/>
        <v>-69</v>
      </c>
      <c r="AL156" s="4">
        <f t="shared" si="183"/>
        <v>-61</v>
      </c>
      <c r="AN156" s="3">
        <f t="shared" si="184"/>
        <v>-72</v>
      </c>
      <c r="AO156" s="1">
        <f t="shared" si="185"/>
        <v>-72</v>
      </c>
      <c r="AP156" s="1">
        <f t="shared" si="186"/>
        <v>-77</v>
      </c>
      <c r="AQ156" s="1">
        <f t="shared" si="187"/>
        <v>-79</v>
      </c>
      <c r="AR156" s="1">
        <f t="shared" si="188"/>
        <v>-79</v>
      </c>
      <c r="AS156" s="1">
        <f t="shared" si="189"/>
        <v>-72</v>
      </c>
      <c r="AT156" s="1">
        <f t="shared" si="190"/>
        <v>-72</v>
      </c>
      <c r="AU156" s="4">
        <f t="shared" si="191"/>
        <v>-65</v>
      </c>
      <c r="AW156" s="3">
        <f t="shared" si="192"/>
        <v>-75</v>
      </c>
      <c r="AX156" s="1">
        <f t="shared" si="193"/>
        <v>-75</v>
      </c>
      <c r="AY156" s="1">
        <f t="shared" si="194"/>
        <v>-80</v>
      </c>
      <c r="AZ156" s="1">
        <f t="shared" si="195"/>
        <v>-82</v>
      </c>
      <c r="BA156" s="1">
        <f t="shared" si="196"/>
        <v>-81</v>
      </c>
      <c r="BB156" s="1">
        <f t="shared" si="197"/>
        <v>-74</v>
      </c>
      <c r="BC156" s="1">
        <f t="shared" si="198"/>
        <v>-74</v>
      </c>
      <c r="BD156" s="4">
        <f t="shared" si="199"/>
        <v>-67</v>
      </c>
      <c r="BF156" s="3">
        <v>-9</v>
      </c>
      <c r="BG156" s="1">
        <v>-9</v>
      </c>
      <c r="BH156" s="1">
        <v>-8</v>
      </c>
      <c r="BI156" s="1">
        <v>-7</v>
      </c>
      <c r="BJ156" s="1">
        <v>-7</v>
      </c>
      <c r="BK156" s="1">
        <v>-6</v>
      </c>
      <c r="BL156" s="1">
        <v>-9</v>
      </c>
      <c r="BM156" s="4">
        <v>-7</v>
      </c>
      <c r="BO156" s="3">
        <v>-16</v>
      </c>
      <c r="BP156" s="1">
        <v>-16</v>
      </c>
      <c r="BQ156" s="1">
        <v>-16</v>
      </c>
      <c r="BR156" s="1">
        <v>-13</v>
      </c>
      <c r="BS156" s="1">
        <v>-13</v>
      </c>
      <c r="BT156" s="1">
        <v>-12</v>
      </c>
      <c r="BU156" s="1">
        <v>-13</v>
      </c>
      <c r="BV156" s="4">
        <v>-11</v>
      </c>
      <c r="BX156" s="3">
        <v>-26</v>
      </c>
      <c r="BY156" s="1">
        <v>-26</v>
      </c>
      <c r="BZ156" s="1">
        <v>-33</v>
      </c>
      <c r="CA156" s="1">
        <v>-35</v>
      </c>
      <c r="CB156" s="1">
        <v>-37</v>
      </c>
      <c r="CC156" s="1">
        <v>-32</v>
      </c>
      <c r="CD156" s="1">
        <v>-34</v>
      </c>
      <c r="CE156" s="4">
        <v>-26</v>
      </c>
      <c r="CG156" s="3">
        <v>-4</v>
      </c>
      <c r="CH156" s="1">
        <v>-4</v>
      </c>
      <c r="CI156" s="1">
        <v>-4</v>
      </c>
      <c r="CJ156" s="1">
        <v>-3</v>
      </c>
      <c r="CK156" s="1">
        <v>-3</v>
      </c>
      <c r="CL156" s="1">
        <v>-3</v>
      </c>
      <c r="CM156" s="1">
        <v>-3</v>
      </c>
      <c r="CN156" s="4">
        <v>-4</v>
      </c>
      <c r="CP156" s="3">
        <v>-7</v>
      </c>
      <c r="CQ156" s="1">
        <v>-7</v>
      </c>
      <c r="CR156" s="1">
        <v>-7</v>
      </c>
      <c r="CS156" s="1">
        <v>-6</v>
      </c>
      <c r="CT156" s="1">
        <v>-5</v>
      </c>
      <c r="CU156" s="1">
        <v>-5</v>
      </c>
      <c r="CV156" s="1">
        <v>-5</v>
      </c>
      <c r="CW156" s="4">
        <v>-6</v>
      </c>
    </row>
    <row r="157" spans="1:101">
      <c r="A157" s="8" t="str">
        <f>VLOOKUP(B157,List!W:X,2,1)</f>
        <v>1.20 - 1.29</v>
      </c>
      <c r="B157" s="8">
        <v>1.2</v>
      </c>
      <c r="C157" s="8" t="s">
        <v>10</v>
      </c>
      <c r="D157" s="3">
        <v>-42</v>
      </c>
      <c r="E157" s="1">
        <v>-42</v>
      </c>
      <c r="F157" s="1">
        <v>-39</v>
      </c>
      <c r="G157" s="1">
        <v>-40</v>
      </c>
      <c r="H157" s="1">
        <v>-37</v>
      </c>
      <c r="I157" s="1">
        <v>-33</v>
      </c>
      <c r="J157" s="1">
        <v>-35</v>
      </c>
      <c r="K157" s="4">
        <v>-34</v>
      </c>
      <c r="M157" s="3">
        <f t="shared" si="160"/>
        <v>-49</v>
      </c>
      <c r="N157" s="1">
        <f t="shared" si="161"/>
        <v>-49</v>
      </c>
      <c r="O157" s="1">
        <f t="shared" si="162"/>
        <v>-47</v>
      </c>
      <c r="P157" s="1">
        <f t="shared" si="163"/>
        <v>-47</v>
      </c>
      <c r="Q157" s="1">
        <f t="shared" si="164"/>
        <v>-44</v>
      </c>
      <c r="R157" s="1">
        <f t="shared" si="165"/>
        <v>-43</v>
      </c>
      <c r="S157" s="1">
        <f t="shared" si="166"/>
        <v>-43</v>
      </c>
      <c r="T157" s="4">
        <f t="shared" si="167"/>
        <v>-42</v>
      </c>
      <c r="V157" s="3">
        <f t="shared" si="168"/>
        <v>-63</v>
      </c>
      <c r="W157" s="1">
        <f t="shared" si="169"/>
        <v>-63</v>
      </c>
      <c r="X157" s="1">
        <f t="shared" si="170"/>
        <v>-62</v>
      </c>
      <c r="Y157" s="1">
        <f t="shared" si="171"/>
        <v>-60</v>
      </c>
      <c r="Z157" s="1">
        <f t="shared" si="172"/>
        <v>-58</v>
      </c>
      <c r="AA157" s="1">
        <f t="shared" si="173"/>
        <v>-58</v>
      </c>
      <c r="AB157" s="1">
        <f t="shared" si="174"/>
        <v>-56</v>
      </c>
      <c r="AC157" s="4">
        <f t="shared" si="175"/>
        <v>-56</v>
      </c>
      <c r="AE157" s="3">
        <f t="shared" si="176"/>
        <v>-68</v>
      </c>
      <c r="AF157" s="1">
        <f t="shared" si="177"/>
        <v>-68</v>
      </c>
      <c r="AG157" s="1">
        <f t="shared" si="178"/>
        <v>-67</v>
      </c>
      <c r="AH157" s="1">
        <f t="shared" si="179"/>
        <v>-71</v>
      </c>
      <c r="AI157" s="1">
        <f t="shared" si="180"/>
        <v>-68</v>
      </c>
      <c r="AJ157" s="1">
        <f t="shared" si="181"/>
        <v>-65</v>
      </c>
      <c r="AK157" s="1">
        <f t="shared" si="182"/>
        <v>-65</v>
      </c>
      <c r="AL157" s="4">
        <f t="shared" si="183"/>
        <v>-62</v>
      </c>
      <c r="AN157" s="3">
        <f t="shared" si="184"/>
        <v>-71</v>
      </c>
      <c r="AO157" s="1">
        <f t="shared" si="185"/>
        <v>-71</v>
      </c>
      <c r="AP157" s="1">
        <f t="shared" si="186"/>
        <v>-71</v>
      </c>
      <c r="AQ157" s="1">
        <f t="shared" si="187"/>
        <v>-74</v>
      </c>
      <c r="AR157" s="1">
        <f t="shared" si="188"/>
        <v>-72</v>
      </c>
      <c r="AS157" s="1">
        <f t="shared" si="189"/>
        <v>-68</v>
      </c>
      <c r="AT157" s="1">
        <f t="shared" si="190"/>
        <v>-69</v>
      </c>
      <c r="AU157" s="4">
        <f t="shared" si="191"/>
        <v>-66</v>
      </c>
      <c r="AW157" s="3">
        <f t="shared" si="192"/>
        <v>-75</v>
      </c>
      <c r="AX157" s="1">
        <f t="shared" si="193"/>
        <v>-75</v>
      </c>
      <c r="AY157" s="1">
        <f t="shared" si="194"/>
        <v>-75</v>
      </c>
      <c r="AZ157" s="1">
        <f t="shared" si="195"/>
        <v>-76</v>
      </c>
      <c r="BA157" s="1">
        <f t="shared" si="196"/>
        <v>-74</v>
      </c>
      <c r="BB157" s="1">
        <f t="shared" si="197"/>
        <v>-70</v>
      </c>
      <c r="BC157" s="1">
        <f t="shared" si="198"/>
        <v>-72</v>
      </c>
      <c r="BD157" s="4">
        <f t="shared" si="199"/>
        <v>-69</v>
      </c>
      <c r="BF157" s="3">
        <v>-7</v>
      </c>
      <c r="BG157" s="1">
        <v>-7</v>
      </c>
      <c r="BH157" s="1">
        <v>-8</v>
      </c>
      <c r="BI157" s="1">
        <v>-7</v>
      </c>
      <c r="BJ157" s="1">
        <v>-7</v>
      </c>
      <c r="BK157" s="1">
        <v>-10</v>
      </c>
      <c r="BL157" s="1">
        <v>-8</v>
      </c>
      <c r="BM157" s="4">
        <v>-8</v>
      </c>
      <c r="BO157" s="3">
        <v>-14</v>
      </c>
      <c r="BP157" s="1">
        <v>-14</v>
      </c>
      <c r="BQ157" s="1">
        <v>-15</v>
      </c>
      <c r="BR157" s="1">
        <v>-13</v>
      </c>
      <c r="BS157" s="1">
        <v>-14</v>
      </c>
      <c r="BT157" s="1">
        <v>-15</v>
      </c>
      <c r="BU157" s="1">
        <v>-13</v>
      </c>
      <c r="BV157" s="4">
        <v>-14</v>
      </c>
      <c r="BX157" s="3">
        <v>-26</v>
      </c>
      <c r="BY157" s="1">
        <v>-26</v>
      </c>
      <c r="BZ157" s="1">
        <v>-28</v>
      </c>
      <c r="CA157" s="1">
        <v>-31</v>
      </c>
      <c r="CB157" s="1">
        <v>-31</v>
      </c>
      <c r="CC157" s="1">
        <v>-32</v>
      </c>
      <c r="CD157" s="1">
        <v>-30</v>
      </c>
      <c r="CE157" s="4">
        <v>-28</v>
      </c>
      <c r="CG157" s="3">
        <v>-3</v>
      </c>
      <c r="CH157" s="1">
        <v>-3</v>
      </c>
      <c r="CI157" s="1">
        <v>-4</v>
      </c>
      <c r="CJ157" s="1">
        <v>-3</v>
      </c>
      <c r="CK157" s="1">
        <v>-4</v>
      </c>
      <c r="CL157" s="1">
        <v>-3</v>
      </c>
      <c r="CM157" s="1">
        <v>-4</v>
      </c>
      <c r="CN157" s="4">
        <v>-4</v>
      </c>
      <c r="CP157" s="3">
        <v>-7</v>
      </c>
      <c r="CQ157" s="1">
        <v>-7</v>
      </c>
      <c r="CR157" s="1">
        <v>-8</v>
      </c>
      <c r="CS157" s="1">
        <v>-5</v>
      </c>
      <c r="CT157" s="1">
        <v>-6</v>
      </c>
      <c r="CU157" s="1">
        <v>-5</v>
      </c>
      <c r="CV157" s="1">
        <v>-7</v>
      </c>
      <c r="CW157" s="4">
        <v>-7</v>
      </c>
    </row>
    <row r="158" spans="1:101">
      <c r="A158" s="8" t="str">
        <f>VLOOKUP(B158,List!W:X,2,1)</f>
        <v>1.20 - 1.29</v>
      </c>
      <c r="B158" s="8">
        <v>1.2</v>
      </c>
      <c r="C158" s="8" t="s">
        <v>11</v>
      </c>
      <c r="D158" s="3">
        <v>-41</v>
      </c>
      <c r="E158" s="1">
        <v>-41</v>
      </c>
      <c r="F158" s="1">
        <v>-40</v>
      </c>
      <c r="G158" s="1">
        <v>-40</v>
      </c>
      <c r="H158" s="1">
        <v>-39</v>
      </c>
      <c r="I158" s="1">
        <v>-38</v>
      </c>
      <c r="J158" s="1">
        <v>-38</v>
      </c>
      <c r="K158" s="4">
        <v>-37</v>
      </c>
      <c r="M158" s="3">
        <f t="shared" si="160"/>
        <v>-47</v>
      </c>
      <c r="N158" s="1">
        <f t="shared" si="161"/>
        <v>-47</v>
      </c>
      <c r="O158" s="1">
        <f t="shared" si="162"/>
        <v>-47</v>
      </c>
      <c r="P158" s="1">
        <f t="shared" si="163"/>
        <v>-47</v>
      </c>
      <c r="Q158" s="1">
        <f t="shared" si="164"/>
        <v>-47</v>
      </c>
      <c r="R158" s="1">
        <f t="shared" si="165"/>
        <v>-43</v>
      </c>
      <c r="S158" s="1">
        <f t="shared" si="166"/>
        <v>-42</v>
      </c>
      <c r="T158" s="4">
        <f t="shared" si="167"/>
        <v>-42</v>
      </c>
      <c r="V158" s="3">
        <f t="shared" si="168"/>
        <v>-62</v>
      </c>
      <c r="W158" s="1">
        <f t="shared" si="169"/>
        <v>-62</v>
      </c>
      <c r="X158" s="1">
        <f t="shared" si="170"/>
        <v>-62</v>
      </c>
      <c r="Y158" s="1">
        <f t="shared" si="171"/>
        <v>-62</v>
      </c>
      <c r="Z158" s="1">
        <f t="shared" si="172"/>
        <v>-60</v>
      </c>
      <c r="AA158" s="1">
        <f t="shared" si="173"/>
        <v>-55</v>
      </c>
      <c r="AB158" s="1">
        <f t="shared" si="174"/>
        <v>-52</v>
      </c>
      <c r="AC158" s="4">
        <f t="shared" si="175"/>
        <v>-53</v>
      </c>
      <c r="AE158" s="3">
        <f t="shared" si="176"/>
        <v>-68</v>
      </c>
      <c r="AF158" s="1">
        <f t="shared" si="177"/>
        <v>-68</v>
      </c>
      <c r="AG158" s="1">
        <f t="shared" si="178"/>
        <v>-68</v>
      </c>
      <c r="AH158" s="1">
        <f t="shared" si="179"/>
        <v>-68</v>
      </c>
      <c r="AI158" s="1">
        <f t="shared" si="180"/>
        <v>-68</v>
      </c>
      <c r="AJ158" s="1">
        <f t="shared" si="181"/>
        <v>-66</v>
      </c>
      <c r="AK158" s="1">
        <f t="shared" si="182"/>
        <v>-65</v>
      </c>
      <c r="AL158" s="4">
        <f t="shared" si="183"/>
        <v>-65</v>
      </c>
      <c r="AN158" s="3">
        <f t="shared" si="184"/>
        <v>-72</v>
      </c>
      <c r="AO158" s="1">
        <f t="shared" si="185"/>
        <v>-72</v>
      </c>
      <c r="AP158" s="1">
        <f t="shared" si="186"/>
        <v>-71</v>
      </c>
      <c r="AQ158" s="1">
        <f t="shared" si="187"/>
        <v>-72</v>
      </c>
      <c r="AR158" s="1">
        <f t="shared" si="188"/>
        <v>-71</v>
      </c>
      <c r="AS158" s="1">
        <f t="shared" si="189"/>
        <v>-69</v>
      </c>
      <c r="AT158" s="1">
        <f t="shared" si="190"/>
        <v>-69</v>
      </c>
      <c r="AU158" s="4">
        <f t="shared" si="191"/>
        <v>-69</v>
      </c>
      <c r="AW158" s="3">
        <f t="shared" si="192"/>
        <v>-74</v>
      </c>
      <c r="AX158" s="1">
        <f t="shared" si="193"/>
        <v>-74</v>
      </c>
      <c r="AY158" s="1">
        <f t="shared" si="194"/>
        <v>-73</v>
      </c>
      <c r="AZ158" s="1">
        <f t="shared" si="195"/>
        <v>-74</v>
      </c>
      <c r="BA158" s="1">
        <f t="shared" si="196"/>
        <v>-74</v>
      </c>
      <c r="BB158" s="1">
        <f t="shared" si="197"/>
        <v>-71</v>
      </c>
      <c r="BC158" s="1">
        <f t="shared" si="198"/>
        <v>-72</v>
      </c>
      <c r="BD158" s="4">
        <f t="shared" si="199"/>
        <v>-71</v>
      </c>
      <c r="BF158" s="3">
        <v>-6</v>
      </c>
      <c r="BG158" s="1">
        <v>-6</v>
      </c>
      <c r="BH158" s="1">
        <v>-7</v>
      </c>
      <c r="BI158" s="1">
        <v>-7</v>
      </c>
      <c r="BJ158" s="1">
        <v>-8</v>
      </c>
      <c r="BK158" s="1">
        <v>-5</v>
      </c>
      <c r="BL158" s="1">
        <v>-4</v>
      </c>
      <c r="BM158" s="4">
        <v>-5</v>
      </c>
      <c r="BO158" s="3">
        <v>-15</v>
      </c>
      <c r="BP158" s="1">
        <v>-15</v>
      </c>
      <c r="BQ158" s="1">
        <v>-15</v>
      </c>
      <c r="BR158" s="1">
        <v>-15</v>
      </c>
      <c r="BS158" s="1">
        <v>-13</v>
      </c>
      <c r="BT158" s="1">
        <v>-12</v>
      </c>
      <c r="BU158" s="1">
        <v>-10</v>
      </c>
      <c r="BV158" s="4">
        <v>-11</v>
      </c>
      <c r="BX158" s="3">
        <v>-27</v>
      </c>
      <c r="BY158" s="1">
        <v>-27</v>
      </c>
      <c r="BZ158" s="1">
        <v>-28</v>
      </c>
      <c r="CA158" s="1">
        <v>-28</v>
      </c>
      <c r="CB158" s="1">
        <v>-29</v>
      </c>
      <c r="CC158" s="1">
        <v>-28</v>
      </c>
      <c r="CD158" s="1">
        <v>-27</v>
      </c>
      <c r="CE158" s="4">
        <v>-28</v>
      </c>
      <c r="CG158" s="3">
        <v>-4</v>
      </c>
      <c r="CH158" s="1">
        <v>-4</v>
      </c>
      <c r="CI158" s="1">
        <v>-3</v>
      </c>
      <c r="CJ158" s="1">
        <v>-4</v>
      </c>
      <c r="CK158" s="1">
        <v>-3</v>
      </c>
      <c r="CL158" s="1">
        <v>-3</v>
      </c>
      <c r="CM158" s="1">
        <v>-4</v>
      </c>
      <c r="CN158" s="4">
        <v>-4</v>
      </c>
      <c r="CP158" s="3">
        <v>-6</v>
      </c>
      <c r="CQ158" s="1">
        <v>-6</v>
      </c>
      <c r="CR158" s="1">
        <v>-5</v>
      </c>
      <c r="CS158" s="1">
        <v>-6</v>
      </c>
      <c r="CT158" s="1">
        <v>-6</v>
      </c>
      <c r="CU158" s="1">
        <v>-5</v>
      </c>
      <c r="CV158" s="1">
        <v>-7</v>
      </c>
      <c r="CW158" s="4">
        <v>-6</v>
      </c>
    </row>
    <row r="159" spans="1:101">
      <c r="A159" s="8" t="str">
        <f>VLOOKUP(B159,List!W:X,2,1)</f>
        <v>1.20 - 1.29</v>
      </c>
      <c r="B159" s="8">
        <v>1.2</v>
      </c>
      <c r="C159" s="8" t="s">
        <v>12</v>
      </c>
      <c r="D159" s="3">
        <v>-42</v>
      </c>
      <c r="E159" s="1">
        <v>-42</v>
      </c>
      <c r="F159" s="1">
        <v>-42</v>
      </c>
      <c r="G159" s="1">
        <v>-42</v>
      </c>
      <c r="H159" s="1">
        <v>-42</v>
      </c>
      <c r="I159" s="1">
        <v>-41</v>
      </c>
      <c r="J159" s="1">
        <v>-39</v>
      </c>
      <c r="K159" s="4">
        <v>-39</v>
      </c>
      <c r="M159" s="3">
        <f t="shared" si="160"/>
        <v>-48</v>
      </c>
      <c r="N159" s="1">
        <f t="shared" si="161"/>
        <v>-48</v>
      </c>
      <c r="O159" s="1">
        <f t="shared" si="162"/>
        <v>-48</v>
      </c>
      <c r="P159" s="1">
        <f t="shared" si="163"/>
        <v>-48</v>
      </c>
      <c r="Q159" s="1">
        <f t="shared" si="164"/>
        <v>-47</v>
      </c>
      <c r="R159" s="1">
        <f t="shared" si="165"/>
        <v>-47</v>
      </c>
      <c r="S159" s="1">
        <f t="shared" si="166"/>
        <v>-47</v>
      </c>
      <c r="T159" s="4">
        <f t="shared" si="167"/>
        <v>-46</v>
      </c>
      <c r="V159" s="3">
        <f t="shared" si="168"/>
        <v>-59</v>
      </c>
      <c r="W159" s="1">
        <f t="shared" si="169"/>
        <v>-59</v>
      </c>
      <c r="X159" s="1">
        <f t="shared" si="170"/>
        <v>-58</v>
      </c>
      <c r="Y159" s="1">
        <f t="shared" si="171"/>
        <v>-58</v>
      </c>
      <c r="Z159" s="1">
        <f t="shared" si="172"/>
        <v>-56</v>
      </c>
      <c r="AA159" s="1">
        <f t="shared" si="173"/>
        <v>-56</v>
      </c>
      <c r="AB159" s="1">
        <f t="shared" si="174"/>
        <v>-58</v>
      </c>
      <c r="AC159" s="4">
        <f t="shared" si="175"/>
        <v>-57</v>
      </c>
      <c r="AE159" s="3">
        <f t="shared" si="176"/>
        <v>-67</v>
      </c>
      <c r="AF159" s="1">
        <f t="shared" si="177"/>
        <v>-67</v>
      </c>
      <c r="AG159" s="1">
        <f t="shared" si="178"/>
        <v>-69</v>
      </c>
      <c r="AH159" s="1">
        <f t="shared" si="179"/>
        <v>-68</v>
      </c>
      <c r="AI159" s="1">
        <f t="shared" si="180"/>
        <v>-70</v>
      </c>
      <c r="AJ159" s="1">
        <f t="shared" si="181"/>
        <v>-68</v>
      </c>
      <c r="AK159" s="1">
        <f t="shared" si="182"/>
        <v>-66</v>
      </c>
      <c r="AL159" s="4">
        <f t="shared" si="183"/>
        <v>-66</v>
      </c>
      <c r="AN159" s="3">
        <f t="shared" si="184"/>
        <v>-70</v>
      </c>
      <c r="AO159" s="1">
        <f t="shared" si="185"/>
        <v>-70</v>
      </c>
      <c r="AP159" s="1">
        <f t="shared" si="186"/>
        <v>-72</v>
      </c>
      <c r="AQ159" s="1">
        <f t="shared" si="187"/>
        <v>-71</v>
      </c>
      <c r="AR159" s="1">
        <f t="shared" si="188"/>
        <v>-73</v>
      </c>
      <c r="AS159" s="1">
        <f t="shared" si="189"/>
        <v>-71</v>
      </c>
      <c r="AT159" s="1">
        <f t="shared" si="190"/>
        <v>-69</v>
      </c>
      <c r="AU159" s="4">
        <f t="shared" si="191"/>
        <v>-68</v>
      </c>
      <c r="AW159" s="3">
        <f t="shared" si="192"/>
        <v>-72</v>
      </c>
      <c r="AX159" s="1">
        <f t="shared" si="193"/>
        <v>-72</v>
      </c>
      <c r="AY159" s="1">
        <f t="shared" si="194"/>
        <v>-74</v>
      </c>
      <c r="AZ159" s="1">
        <f t="shared" si="195"/>
        <v>-73</v>
      </c>
      <c r="BA159" s="1">
        <f t="shared" si="196"/>
        <v>-75</v>
      </c>
      <c r="BB159" s="1">
        <f t="shared" si="197"/>
        <v>-73</v>
      </c>
      <c r="BC159" s="1">
        <f t="shared" si="198"/>
        <v>-71</v>
      </c>
      <c r="BD159" s="4">
        <f t="shared" si="199"/>
        <v>-70</v>
      </c>
      <c r="BF159" s="3">
        <v>-6</v>
      </c>
      <c r="BG159" s="1">
        <v>-6</v>
      </c>
      <c r="BH159" s="1">
        <v>-6</v>
      </c>
      <c r="BI159" s="1">
        <v>-6</v>
      </c>
      <c r="BJ159" s="1">
        <v>-5</v>
      </c>
      <c r="BK159" s="1">
        <v>-6</v>
      </c>
      <c r="BL159" s="1">
        <v>-8</v>
      </c>
      <c r="BM159" s="4">
        <v>-7</v>
      </c>
      <c r="BO159" s="3">
        <v>-11</v>
      </c>
      <c r="BP159" s="1">
        <v>-11</v>
      </c>
      <c r="BQ159" s="1">
        <v>-10</v>
      </c>
      <c r="BR159" s="1">
        <v>-10</v>
      </c>
      <c r="BS159" s="1">
        <v>-9</v>
      </c>
      <c r="BT159" s="1">
        <v>-9</v>
      </c>
      <c r="BU159" s="1">
        <v>-11</v>
      </c>
      <c r="BV159" s="4">
        <v>-11</v>
      </c>
      <c r="BX159" s="3">
        <v>-25</v>
      </c>
      <c r="BY159" s="1">
        <v>-25</v>
      </c>
      <c r="BZ159" s="1">
        <v>-27</v>
      </c>
      <c r="CA159" s="1">
        <v>-26</v>
      </c>
      <c r="CB159" s="1">
        <v>-28</v>
      </c>
      <c r="CC159" s="1">
        <v>-27</v>
      </c>
      <c r="CD159" s="1">
        <v>-27</v>
      </c>
      <c r="CE159" s="4">
        <v>-27</v>
      </c>
      <c r="CG159" s="3">
        <v>-3</v>
      </c>
      <c r="CH159" s="1">
        <v>-3</v>
      </c>
      <c r="CI159" s="1">
        <v>-3</v>
      </c>
      <c r="CJ159" s="1">
        <v>-3</v>
      </c>
      <c r="CK159" s="1">
        <v>-3</v>
      </c>
      <c r="CL159" s="1">
        <v>-3</v>
      </c>
      <c r="CM159" s="1">
        <v>-3</v>
      </c>
      <c r="CN159" s="4">
        <v>-2</v>
      </c>
      <c r="CP159" s="3">
        <v>-5</v>
      </c>
      <c r="CQ159" s="1">
        <v>-5</v>
      </c>
      <c r="CR159" s="1">
        <v>-5</v>
      </c>
      <c r="CS159" s="1">
        <v>-5</v>
      </c>
      <c r="CT159" s="1">
        <v>-5</v>
      </c>
      <c r="CU159" s="1">
        <v>-5</v>
      </c>
      <c r="CV159" s="1">
        <v>-5</v>
      </c>
      <c r="CW159" s="4">
        <v>-4</v>
      </c>
    </row>
    <row r="160" spans="1:101">
      <c r="A160" s="8" t="str">
        <f>VLOOKUP(B160,List!W:X,2,1)</f>
        <v>1.20 - 1.29</v>
      </c>
      <c r="B160" s="8">
        <v>1.2</v>
      </c>
      <c r="C160" s="8" t="s">
        <v>13</v>
      </c>
      <c r="D160" s="3">
        <v>-41</v>
      </c>
      <c r="E160" s="1">
        <v>-41</v>
      </c>
      <c r="F160" s="1">
        <v>-38</v>
      </c>
      <c r="G160" s="1">
        <v>-40</v>
      </c>
      <c r="H160" s="1">
        <v>-40</v>
      </c>
      <c r="I160" s="1">
        <v>-39</v>
      </c>
      <c r="J160" s="1">
        <v>-40</v>
      </c>
      <c r="K160" s="4">
        <v>-40</v>
      </c>
      <c r="M160" s="3">
        <f t="shared" si="160"/>
        <v>-47</v>
      </c>
      <c r="N160" s="1">
        <f t="shared" si="161"/>
        <v>-47</v>
      </c>
      <c r="O160" s="1">
        <f t="shared" si="162"/>
        <v>-46</v>
      </c>
      <c r="P160" s="1">
        <f t="shared" si="163"/>
        <v>-45</v>
      </c>
      <c r="Q160" s="1">
        <f t="shared" si="164"/>
        <v>-45</v>
      </c>
      <c r="R160" s="1">
        <f t="shared" si="165"/>
        <v>-47</v>
      </c>
      <c r="S160" s="1">
        <f t="shared" si="166"/>
        <v>-46</v>
      </c>
      <c r="T160" s="4">
        <f t="shared" si="167"/>
        <v>-46</v>
      </c>
      <c r="V160" s="3">
        <f t="shared" si="168"/>
        <v>-57</v>
      </c>
      <c r="W160" s="1">
        <f t="shared" si="169"/>
        <v>-57</v>
      </c>
      <c r="X160" s="1">
        <f t="shared" si="170"/>
        <v>-57</v>
      </c>
      <c r="Y160" s="1">
        <f t="shared" si="171"/>
        <v>-53</v>
      </c>
      <c r="Z160" s="1">
        <f t="shared" si="172"/>
        <v>-53</v>
      </c>
      <c r="AA160" s="1">
        <f t="shared" si="173"/>
        <v>-58</v>
      </c>
      <c r="AB160" s="1">
        <f t="shared" si="174"/>
        <v>-56</v>
      </c>
      <c r="AC160" s="4">
        <f t="shared" si="175"/>
        <v>-56</v>
      </c>
      <c r="AE160" s="3">
        <f t="shared" si="176"/>
        <v>-66</v>
      </c>
      <c r="AF160" s="1">
        <f t="shared" si="177"/>
        <v>-66</v>
      </c>
      <c r="AG160" s="1">
        <f t="shared" si="178"/>
        <v>-63</v>
      </c>
      <c r="AH160" s="1">
        <f t="shared" si="179"/>
        <v>-66</v>
      </c>
      <c r="AI160" s="1">
        <f t="shared" si="180"/>
        <v>-69</v>
      </c>
      <c r="AJ160" s="1">
        <f t="shared" si="181"/>
        <v>-66</v>
      </c>
      <c r="AK160" s="1">
        <f t="shared" si="182"/>
        <v>-66</v>
      </c>
      <c r="AL160" s="4">
        <f t="shared" si="183"/>
        <v>-66</v>
      </c>
      <c r="AN160" s="3">
        <f t="shared" si="184"/>
        <v>-69</v>
      </c>
      <c r="AO160" s="1">
        <f t="shared" si="185"/>
        <v>-69</v>
      </c>
      <c r="AP160" s="1">
        <f t="shared" si="186"/>
        <v>-66</v>
      </c>
      <c r="AQ160" s="1">
        <f t="shared" si="187"/>
        <v>-69</v>
      </c>
      <c r="AR160" s="1">
        <f t="shared" si="188"/>
        <v>-72</v>
      </c>
      <c r="AS160" s="1">
        <f t="shared" si="189"/>
        <v>-69</v>
      </c>
      <c r="AT160" s="1">
        <f t="shared" si="190"/>
        <v>-69</v>
      </c>
      <c r="AU160" s="4">
        <f t="shared" si="191"/>
        <v>-69</v>
      </c>
      <c r="AW160" s="3">
        <f t="shared" si="192"/>
        <v>-71</v>
      </c>
      <c r="AX160" s="1">
        <f t="shared" si="193"/>
        <v>-71</v>
      </c>
      <c r="AY160" s="1">
        <f t="shared" si="194"/>
        <v>-69</v>
      </c>
      <c r="AZ160" s="1">
        <f t="shared" si="195"/>
        <v>-71</v>
      </c>
      <c r="BA160" s="1">
        <f t="shared" si="196"/>
        <v>-74</v>
      </c>
      <c r="BB160" s="1">
        <f t="shared" si="197"/>
        <v>-71</v>
      </c>
      <c r="BC160" s="1">
        <f t="shared" si="198"/>
        <v>-71</v>
      </c>
      <c r="BD160" s="4">
        <f t="shared" si="199"/>
        <v>-71</v>
      </c>
      <c r="BF160" s="3">
        <v>-6</v>
      </c>
      <c r="BG160" s="1">
        <v>-6</v>
      </c>
      <c r="BH160" s="1">
        <v>-8</v>
      </c>
      <c r="BI160" s="1">
        <v>-5</v>
      </c>
      <c r="BJ160" s="1">
        <v>-5</v>
      </c>
      <c r="BK160" s="1">
        <v>-8</v>
      </c>
      <c r="BL160" s="1">
        <v>-6</v>
      </c>
      <c r="BM160" s="4">
        <v>-6</v>
      </c>
      <c r="BO160" s="3">
        <v>-10</v>
      </c>
      <c r="BP160" s="1">
        <v>-10</v>
      </c>
      <c r="BQ160" s="1">
        <v>-11</v>
      </c>
      <c r="BR160" s="1">
        <v>-8</v>
      </c>
      <c r="BS160" s="1">
        <v>-8</v>
      </c>
      <c r="BT160" s="1">
        <v>-11</v>
      </c>
      <c r="BU160" s="1">
        <v>-10</v>
      </c>
      <c r="BV160" s="4">
        <v>-10</v>
      </c>
      <c r="BX160" s="3">
        <v>-25</v>
      </c>
      <c r="BY160" s="1">
        <v>-25</v>
      </c>
      <c r="BZ160" s="1">
        <v>-25</v>
      </c>
      <c r="CA160" s="1">
        <v>-26</v>
      </c>
      <c r="CB160" s="1">
        <v>-29</v>
      </c>
      <c r="CC160" s="1">
        <v>-27</v>
      </c>
      <c r="CD160" s="1">
        <v>-26</v>
      </c>
      <c r="CE160" s="4">
        <v>-26</v>
      </c>
      <c r="CG160" s="3">
        <v>-3</v>
      </c>
      <c r="CH160" s="1">
        <v>-3</v>
      </c>
      <c r="CI160" s="1">
        <v>-3</v>
      </c>
      <c r="CJ160" s="1">
        <v>-3</v>
      </c>
      <c r="CK160" s="1">
        <v>-3</v>
      </c>
      <c r="CL160" s="1">
        <v>-3</v>
      </c>
      <c r="CM160" s="1">
        <v>-3</v>
      </c>
      <c r="CN160" s="4">
        <v>-3</v>
      </c>
      <c r="CP160" s="3">
        <v>-5</v>
      </c>
      <c r="CQ160" s="1">
        <v>-5</v>
      </c>
      <c r="CR160" s="1">
        <v>-6</v>
      </c>
      <c r="CS160" s="1">
        <v>-5</v>
      </c>
      <c r="CT160" s="1">
        <v>-5</v>
      </c>
      <c r="CU160" s="1">
        <v>-5</v>
      </c>
      <c r="CV160" s="1">
        <v>-5</v>
      </c>
      <c r="CW160" s="4">
        <v>-5</v>
      </c>
    </row>
    <row r="161" spans="1:101">
      <c r="A161" s="8" t="str">
        <f>VLOOKUP(B161,List!W:X,2,1)</f>
        <v>1.20 - 1.29</v>
      </c>
      <c r="B161" s="8">
        <v>1.2</v>
      </c>
      <c r="C161" s="8" t="s">
        <v>14</v>
      </c>
      <c r="D161" s="3">
        <v>-41</v>
      </c>
      <c r="E161" s="1">
        <v>-41</v>
      </c>
      <c r="F161" s="1">
        <v>-40</v>
      </c>
      <c r="G161" s="1">
        <v>-39</v>
      </c>
      <c r="H161" s="1">
        <v>-39</v>
      </c>
      <c r="I161" s="1">
        <v>-39</v>
      </c>
      <c r="J161" s="1">
        <v>-39</v>
      </c>
      <c r="K161" s="4">
        <v>-39</v>
      </c>
      <c r="M161" s="3">
        <f t="shared" si="160"/>
        <v>-46</v>
      </c>
      <c r="N161" s="1">
        <f t="shared" si="161"/>
        <v>-46</v>
      </c>
      <c r="O161" s="1">
        <f t="shared" si="162"/>
        <v>-46</v>
      </c>
      <c r="P161" s="1">
        <f t="shared" si="163"/>
        <v>-45</v>
      </c>
      <c r="Q161" s="1">
        <f t="shared" si="164"/>
        <v>-45</v>
      </c>
      <c r="R161" s="1">
        <f t="shared" si="165"/>
        <v>-45</v>
      </c>
      <c r="S161" s="1">
        <f t="shared" si="166"/>
        <v>-45</v>
      </c>
      <c r="T161" s="4">
        <f t="shared" si="167"/>
        <v>-45</v>
      </c>
      <c r="V161" s="3">
        <f t="shared" si="168"/>
        <v>-55</v>
      </c>
      <c r="W161" s="1">
        <f t="shared" si="169"/>
        <v>-55</v>
      </c>
      <c r="X161" s="1">
        <f t="shared" si="170"/>
        <v>-55</v>
      </c>
      <c r="Y161" s="1">
        <f t="shared" si="171"/>
        <v>-54</v>
      </c>
      <c r="Z161" s="1">
        <f t="shared" si="172"/>
        <v>-55</v>
      </c>
      <c r="AA161" s="1">
        <f t="shared" si="173"/>
        <v>-56</v>
      </c>
      <c r="AB161" s="1">
        <f t="shared" si="174"/>
        <v>-56</v>
      </c>
      <c r="AC161" s="4">
        <f t="shared" si="175"/>
        <v>-55</v>
      </c>
      <c r="AE161" s="3">
        <f t="shared" si="176"/>
        <v>-65</v>
      </c>
      <c r="AF161" s="1">
        <f t="shared" si="177"/>
        <v>-65</v>
      </c>
      <c r="AG161" s="1">
        <f t="shared" si="178"/>
        <v>-65</v>
      </c>
      <c r="AH161" s="1">
        <f t="shared" si="179"/>
        <v>-63</v>
      </c>
      <c r="AI161" s="1">
        <f t="shared" si="180"/>
        <v>-63</v>
      </c>
      <c r="AJ161" s="1">
        <f t="shared" si="181"/>
        <v>-65</v>
      </c>
      <c r="AK161" s="1">
        <f t="shared" si="182"/>
        <v>-64</v>
      </c>
      <c r="AL161" s="4">
        <f t="shared" si="183"/>
        <v>-66</v>
      </c>
      <c r="AN161" s="3">
        <f t="shared" si="184"/>
        <v>-68</v>
      </c>
      <c r="AO161" s="1">
        <f t="shared" si="185"/>
        <v>-68</v>
      </c>
      <c r="AP161" s="1">
        <f t="shared" si="186"/>
        <v>-68</v>
      </c>
      <c r="AQ161" s="1">
        <f t="shared" si="187"/>
        <v>-67</v>
      </c>
      <c r="AR161" s="1">
        <f t="shared" si="188"/>
        <v>-66</v>
      </c>
      <c r="AS161" s="1">
        <f t="shared" si="189"/>
        <v>-68</v>
      </c>
      <c r="AT161" s="1">
        <f t="shared" si="190"/>
        <v>-67</v>
      </c>
      <c r="AU161" s="4">
        <f t="shared" si="191"/>
        <v>-68</v>
      </c>
      <c r="AW161" s="3">
        <f t="shared" si="192"/>
        <v>-70</v>
      </c>
      <c r="AX161" s="1">
        <f t="shared" si="193"/>
        <v>-70</v>
      </c>
      <c r="AY161" s="1">
        <f t="shared" si="194"/>
        <v>-70</v>
      </c>
      <c r="AZ161" s="1">
        <f t="shared" si="195"/>
        <v>-69</v>
      </c>
      <c r="BA161" s="1">
        <f t="shared" si="196"/>
        <v>-69</v>
      </c>
      <c r="BB161" s="1">
        <f t="shared" si="197"/>
        <v>-70</v>
      </c>
      <c r="BC161" s="1">
        <f t="shared" si="198"/>
        <v>-69</v>
      </c>
      <c r="BD161" s="4">
        <f t="shared" si="199"/>
        <v>-70</v>
      </c>
      <c r="BF161" s="3">
        <v>-5</v>
      </c>
      <c r="BG161" s="1">
        <v>-5</v>
      </c>
      <c r="BH161" s="1">
        <v>-6</v>
      </c>
      <c r="BI161" s="1">
        <v>-6</v>
      </c>
      <c r="BJ161" s="1">
        <v>-6</v>
      </c>
      <c r="BK161" s="1">
        <v>-6</v>
      </c>
      <c r="BL161" s="1">
        <v>-6</v>
      </c>
      <c r="BM161" s="4">
        <v>-6</v>
      </c>
      <c r="BO161" s="3">
        <v>-9</v>
      </c>
      <c r="BP161" s="1">
        <v>-9</v>
      </c>
      <c r="BQ161" s="1">
        <v>-9</v>
      </c>
      <c r="BR161" s="1">
        <v>-9</v>
      </c>
      <c r="BS161" s="1">
        <v>-10</v>
      </c>
      <c r="BT161" s="1">
        <v>-11</v>
      </c>
      <c r="BU161" s="1">
        <v>-11</v>
      </c>
      <c r="BV161" s="4">
        <v>-10</v>
      </c>
      <c r="BX161" s="3">
        <v>-24</v>
      </c>
      <c r="BY161" s="1">
        <v>-24</v>
      </c>
      <c r="BZ161" s="1">
        <v>-25</v>
      </c>
      <c r="CA161" s="1">
        <v>-24</v>
      </c>
      <c r="CB161" s="1">
        <v>-24</v>
      </c>
      <c r="CC161" s="1">
        <v>-26</v>
      </c>
      <c r="CD161" s="1">
        <v>-25</v>
      </c>
      <c r="CE161" s="4">
        <v>-27</v>
      </c>
      <c r="CG161" s="3">
        <v>-3</v>
      </c>
      <c r="CH161" s="1">
        <v>-3</v>
      </c>
      <c r="CI161" s="1">
        <v>-3</v>
      </c>
      <c r="CJ161" s="1">
        <v>-4</v>
      </c>
      <c r="CK161" s="1">
        <v>-3</v>
      </c>
      <c r="CL161" s="1">
        <v>-3</v>
      </c>
      <c r="CM161" s="1">
        <v>-3</v>
      </c>
      <c r="CN161" s="4">
        <v>-2</v>
      </c>
      <c r="CP161" s="3">
        <v>-5</v>
      </c>
      <c r="CQ161" s="1">
        <v>-5</v>
      </c>
      <c r="CR161" s="1">
        <v>-5</v>
      </c>
      <c r="CS161" s="1">
        <v>-6</v>
      </c>
      <c r="CT161" s="1">
        <v>-6</v>
      </c>
      <c r="CU161" s="1">
        <v>-5</v>
      </c>
      <c r="CV161" s="1">
        <v>-5</v>
      </c>
      <c r="CW161" s="4">
        <v>-4</v>
      </c>
    </row>
    <row r="162" spans="1:101">
      <c r="A162" s="8" t="str">
        <f>VLOOKUP(B162,List!W:X,2,1)</f>
        <v>1.20 - 1.29</v>
      </c>
      <c r="B162" s="8">
        <v>1.2</v>
      </c>
      <c r="C162" s="8" t="s">
        <v>15</v>
      </c>
      <c r="D162" s="3">
        <v>-39</v>
      </c>
      <c r="E162" s="1">
        <v>-39</v>
      </c>
      <c r="F162" s="1">
        <v>-37</v>
      </c>
      <c r="G162" s="1">
        <v>-37</v>
      </c>
      <c r="H162" s="1">
        <v>-37</v>
      </c>
      <c r="I162" s="1">
        <v>-37</v>
      </c>
      <c r="J162" s="1">
        <v>-40</v>
      </c>
      <c r="K162" s="4">
        <v>-40</v>
      </c>
      <c r="M162" s="3">
        <f t="shared" si="160"/>
        <v>-45</v>
      </c>
      <c r="N162" s="1">
        <f t="shared" si="161"/>
        <v>-45</v>
      </c>
      <c r="O162" s="1">
        <f t="shared" si="162"/>
        <v>-44</v>
      </c>
      <c r="P162" s="1">
        <f t="shared" si="163"/>
        <v>-44</v>
      </c>
      <c r="Q162" s="1">
        <f t="shared" si="164"/>
        <v>-44</v>
      </c>
      <c r="R162" s="1">
        <f t="shared" si="165"/>
        <v>-44</v>
      </c>
      <c r="S162" s="1">
        <f t="shared" si="166"/>
        <v>-46</v>
      </c>
      <c r="T162" s="4">
        <f t="shared" si="167"/>
        <v>-46</v>
      </c>
      <c r="V162" s="3">
        <f t="shared" si="168"/>
        <v>-55</v>
      </c>
      <c r="W162" s="1">
        <f t="shared" si="169"/>
        <v>-55</v>
      </c>
      <c r="X162" s="1">
        <f t="shared" si="170"/>
        <v>-55</v>
      </c>
      <c r="Y162" s="1">
        <f t="shared" si="171"/>
        <v>-55</v>
      </c>
      <c r="Z162" s="1">
        <f t="shared" si="172"/>
        <v>-55</v>
      </c>
      <c r="AA162" s="1">
        <f t="shared" si="173"/>
        <v>-55</v>
      </c>
      <c r="AB162" s="1">
        <f t="shared" si="174"/>
        <v>-55</v>
      </c>
      <c r="AC162" s="4">
        <f t="shared" si="175"/>
        <v>-55</v>
      </c>
      <c r="AE162" s="3">
        <f t="shared" si="176"/>
        <v>-63</v>
      </c>
      <c r="AF162" s="1">
        <f t="shared" si="177"/>
        <v>-63</v>
      </c>
      <c r="AG162" s="1">
        <f t="shared" si="178"/>
        <v>-62</v>
      </c>
      <c r="AH162" s="1">
        <f t="shared" si="179"/>
        <v>-62</v>
      </c>
      <c r="AI162" s="1">
        <f t="shared" si="180"/>
        <v>-63</v>
      </c>
      <c r="AJ162" s="1">
        <f t="shared" si="181"/>
        <v>-64</v>
      </c>
      <c r="AK162" s="1">
        <f t="shared" si="182"/>
        <v>-65</v>
      </c>
      <c r="AL162" s="4">
        <f t="shared" si="183"/>
        <v>-65</v>
      </c>
      <c r="AN162" s="3">
        <f t="shared" si="184"/>
        <v>-65</v>
      </c>
      <c r="AO162" s="1">
        <f t="shared" si="185"/>
        <v>-65</v>
      </c>
      <c r="AP162" s="1">
        <f t="shared" si="186"/>
        <v>-64</v>
      </c>
      <c r="AQ162" s="1">
        <f t="shared" si="187"/>
        <v>-64</v>
      </c>
      <c r="AR162" s="1">
        <f t="shared" si="188"/>
        <v>-65</v>
      </c>
      <c r="AS162" s="1">
        <f t="shared" si="189"/>
        <v>-66</v>
      </c>
      <c r="AT162" s="1">
        <f t="shared" si="190"/>
        <v>-67</v>
      </c>
      <c r="AU162" s="4">
        <f t="shared" si="191"/>
        <v>-67</v>
      </c>
      <c r="AW162" s="3">
        <f t="shared" si="192"/>
        <v>-67</v>
      </c>
      <c r="AX162" s="1">
        <f t="shared" si="193"/>
        <v>-67</v>
      </c>
      <c r="AY162" s="1">
        <f t="shared" si="194"/>
        <v>-66</v>
      </c>
      <c r="AZ162" s="1">
        <f t="shared" si="195"/>
        <v>-66</v>
      </c>
      <c r="BA162" s="1">
        <f t="shared" si="196"/>
        <v>-67</v>
      </c>
      <c r="BB162" s="1">
        <f t="shared" si="197"/>
        <v>-68</v>
      </c>
      <c r="BC162" s="1">
        <f t="shared" si="198"/>
        <v>-69</v>
      </c>
      <c r="BD162" s="4">
        <f t="shared" si="199"/>
        <v>-69</v>
      </c>
      <c r="BF162" s="3">
        <v>-6</v>
      </c>
      <c r="BG162" s="1">
        <v>-6</v>
      </c>
      <c r="BH162" s="1">
        <v>-7</v>
      </c>
      <c r="BI162" s="1">
        <v>-7</v>
      </c>
      <c r="BJ162" s="1">
        <v>-7</v>
      </c>
      <c r="BK162" s="1">
        <v>-7</v>
      </c>
      <c r="BL162" s="1">
        <v>-6</v>
      </c>
      <c r="BM162" s="4">
        <v>-6</v>
      </c>
      <c r="BO162" s="3">
        <v>-10</v>
      </c>
      <c r="BP162" s="1">
        <v>-10</v>
      </c>
      <c r="BQ162" s="1">
        <v>-11</v>
      </c>
      <c r="BR162" s="1">
        <v>-11</v>
      </c>
      <c r="BS162" s="1">
        <v>-11</v>
      </c>
      <c r="BT162" s="1">
        <v>-11</v>
      </c>
      <c r="BU162" s="1">
        <v>-9</v>
      </c>
      <c r="BV162" s="4">
        <v>-9</v>
      </c>
      <c r="BX162" s="3">
        <v>-24</v>
      </c>
      <c r="BY162" s="1">
        <v>-24</v>
      </c>
      <c r="BZ162" s="1">
        <v>-25</v>
      </c>
      <c r="CA162" s="1">
        <v>-25</v>
      </c>
      <c r="CB162" s="1">
        <v>-26</v>
      </c>
      <c r="CC162" s="1">
        <v>-27</v>
      </c>
      <c r="CD162" s="1">
        <v>-25</v>
      </c>
      <c r="CE162" s="4">
        <v>-25</v>
      </c>
      <c r="CG162" s="3">
        <v>-2</v>
      </c>
      <c r="CH162" s="1">
        <v>-2</v>
      </c>
      <c r="CI162" s="1">
        <v>-2</v>
      </c>
      <c r="CJ162" s="1">
        <v>-2</v>
      </c>
      <c r="CK162" s="1">
        <v>-2</v>
      </c>
      <c r="CL162" s="1">
        <v>-2</v>
      </c>
      <c r="CM162" s="1">
        <v>-2</v>
      </c>
      <c r="CN162" s="4">
        <v>-2</v>
      </c>
      <c r="CP162" s="3">
        <v>-4</v>
      </c>
      <c r="CQ162" s="1">
        <v>-4</v>
      </c>
      <c r="CR162" s="1">
        <v>-4</v>
      </c>
      <c r="CS162" s="1">
        <v>-4</v>
      </c>
      <c r="CT162" s="1">
        <v>-4</v>
      </c>
      <c r="CU162" s="1">
        <v>-4</v>
      </c>
      <c r="CV162" s="1">
        <v>-4</v>
      </c>
      <c r="CW162" s="4">
        <v>-4</v>
      </c>
    </row>
    <row r="163" spans="1:101">
      <c r="A163" s="8" t="str">
        <f>VLOOKUP(B163,List!W:X,2,1)</f>
        <v>1.30 - 1.39</v>
      </c>
      <c r="B163" s="8">
        <v>1.3</v>
      </c>
      <c r="C163" s="8" t="s">
        <v>8</v>
      </c>
      <c r="D163" s="3">
        <v>-43</v>
      </c>
      <c r="E163" s="1">
        <v>-43</v>
      </c>
      <c r="F163" s="1">
        <v>-36</v>
      </c>
      <c r="G163" s="1">
        <v>-31</v>
      </c>
      <c r="H163" s="1">
        <v>-31</v>
      </c>
      <c r="I163" s="1">
        <v>-25</v>
      </c>
      <c r="J163" s="1">
        <v>-24</v>
      </c>
      <c r="K163" s="4">
        <v>-22</v>
      </c>
      <c r="M163" s="3">
        <f t="shared" ref="M163:M178" si="200">IFERROR(IF(AND(D163="",BF163=""),"",D163+BF163),"")</f>
        <v>-47</v>
      </c>
      <c r="N163" s="1">
        <f t="shared" ref="N163:N178" si="201">IFERROR(IF(AND(E163="",BG163=""),"",E163+BG163),"")</f>
        <v>-47</v>
      </c>
      <c r="O163" s="1">
        <f t="shared" ref="O163:O178" si="202">IFERROR(IF(AND(F163="",BH163=""),"",F163+BH163),"")</f>
        <v>-44</v>
      </c>
      <c r="P163" s="1">
        <f t="shared" ref="P163:P178" si="203">IFERROR(IF(AND(G163="",BI163=""),"",G163+BI163),"")</f>
        <v>-41</v>
      </c>
      <c r="Q163" s="1">
        <f t="shared" ref="Q163:Q178" si="204">IFERROR(IF(AND(H163="",BJ163=""),"",H163+BJ163),"")</f>
        <v>-38</v>
      </c>
      <c r="R163" s="1">
        <f t="shared" ref="R163:R178" si="205">IFERROR(IF(AND(I163="",BK163=""),"",I163+BK163),"")</f>
        <v>-36</v>
      </c>
      <c r="S163" s="1">
        <f t="shared" ref="S163:S178" si="206">IFERROR(IF(AND(J163="",BL163=""),"",J163+BL163),"")</f>
        <v>-35</v>
      </c>
      <c r="T163" s="4">
        <f t="shared" ref="T163:T178" si="207">IFERROR(IF(AND(K163="",BM163=""),"",K163+BM163),"")</f>
        <v>-35</v>
      </c>
      <c r="V163" s="3">
        <f t="shared" ref="V163:V178" si="208">IFERROR(IF(AND(M163="",BO163=""),"",M163+BO163),"")</f>
        <v>-56</v>
      </c>
      <c r="W163" s="1">
        <f t="shared" ref="W163:W178" si="209">IFERROR(IF(AND(N163="",BP163=""),"",N163+BP163),"")</f>
        <v>-56</v>
      </c>
      <c r="X163" s="1">
        <f t="shared" ref="X163:X178" si="210">IFERROR(IF(AND(O163="",BQ163=""),"",O163+BQ163),"")</f>
        <v>-56</v>
      </c>
      <c r="Y163" s="1">
        <f t="shared" ref="Y163:Y178" si="211">IFERROR(IF(AND(P163="",BR163=""),"",P163+BR163),"")</f>
        <v>-55</v>
      </c>
      <c r="Z163" s="1">
        <f t="shared" ref="Z163:Z178" si="212">IFERROR(IF(AND(Q163="",BS163=""),"",Q163+BS163),"")</f>
        <v>-52</v>
      </c>
      <c r="AA163" s="1">
        <f t="shared" ref="AA163:AA178" si="213">IFERROR(IF(AND(R163="",BT163=""),"",R163+BT163),"")</f>
        <v>-51</v>
      </c>
      <c r="AB163" s="1">
        <f t="shared" ref="AB163:AB178" si="214">IFERROR(IF(AND(S163="",BU163=""),"",S163+BU163),"")</f>
        <v>-51</v>
      </c>
      <c r="AC163" s="4">
        <f t="shared" ref="AC163:AC178" si="215">IFERROR(IF(AND(T163="",BV163=""),"",T163+BV163),"")</f>
        <v>-52</v>
      </c>
      <c r="AE163" s="3">
        <f t="shared" ref="AE163:AE178" si="216">IFERROR(IF(AND(D163="",BX163=""),"",D163+BX163),"")</f>
        <v>-72</v>
      </c>
      <c r="AF163" s="1">
        <f t="shared" ref="AF163:AF178" si="217">IFERROR(IF(AND(E163="",BY163=""),"",E163+BY163),"")</f>
        <v>-72</v>
      </c>
      <c r="AG163" s="1">
        <f t="shared" ref="AG163:AG178" si="218">IFERROR(IF(AND(F163="",BZ163=""),"",F163+BZ163),"")</f>
        <v>-66</v>
      </c>
      <c r="AH163" s="1">
        <f t="shared" ref="AH163:AH178" si="219">IFERROR(IF(AND(G163="",CA163=""),"",G163+CA163),"")</f>
        <v>-61</v>
      </c>
      <c r="AI163" s="1">
        <f t="shared" ref="AI163:AI178" si="220">IFERROR(IF(AND(H163="",CB163=""),"",H163+CB163),"")</f>
        <v>-63</v>
      </c>
      <c r="AJ163" s="1">
        <f t="shared" ref="AJ163:AJ178" si="221">IFERROR(IF(AND(I163="",CC163=""),"",I163+CC163),"")</f>
        <v>-59</v>
      </c>
      <c r="AK163" s="1">
        <f t="shared" ref="AK163:AK178" si="222">IFERROR(IF(AND(J163="",CD163=""),"",J163+CD163),"")</f>
        <v>-59</v>
      </c>
      <c r="AL163" s="4">
        <f t="shared" ref="AL163:AL178" si="223">IFERROR(IF(AND(K163="",CE163=""),"",K163+CE163),"")</f>
        <v>-53</v>
      </c>
      <c r="AN163" s="3">
        <f t="shared" ref="AN163:AN178" si="224">IFERROR(IF(AND(AE163="",CG163=""),"",AE163+CG163),"")</f>
        <v>-76</v>
      </c>
      <c r="AO163" s="1">
        <f t="shared" ref="AO163:AO178" si="225">IFERROR(IF(AND(AF163="",CH163=""),"",AF163+CH163),"")</f>
        <v>-76</v>
      </c>
      <c r="AP163" s="1">
        <f t="shared" ref="AP163:AP178" si="226">IFERROR(IF(AND(AG163="",CI163=""),"",AG163+CI163),"")</f>
        <v>-70</v>
      </c>
      <c r="AQ163" s="1">
        <f t="shared" ref="AQ163:AQ178" si="227">IFERROR(IF(AND(AH163="",CJ163=""),"",AH163+CJ163),"")</f>
        <v>-65</v>
      </c>
      <c r="AR163" s="1">
        <f t="shared" ref="AR163:AR178" si="228">IFERROR(IF(AND(AI163="",CK163=""),"",AI163+CK163),"")</f>
        <v>-67</v>
      </c>
      <c r="AS163" s="1">
        <f t="shared" ref="AS163:AS178" si="229">IFERROR(IF(AND(AJ163="",CL163=""),"",AJ163+CL163),"")</f>
        <v>-63</v>
      </c>
      <c r="AT163" s="1">
        <f t="shared" ref="AT163:AT178" si="230">IFERROR(IF(AND(AK163="",CM163=""),"",AK163+CM163),"")</f>
        <v>-63</v>
      </c>
      <c r="AU163" s="4">
        <f t="shared" ref="AU163:AU178" si="231">IFERROR(IF(AND(AL163="",CN163=""),"",AL163+CN163),"")</f>
        <v>-56</v>
      </c>
      <c r="AW163" s="3">
        <f t="shared" ref="AW163:AW178" si="232">IFERROR(IF(AND(AE163="",CP163=""),"",AE163+CP163),"")</f>
        <v>-79</v>
      </c>
      <c r="AX163" s="1">
        <f t="shared" ref="AX163:AX178" si="233">IFERROR(IF(AND(AF163="",CQ163=""),"",AF163+CQ163),"")</f>
        <v>-79</v>
      </c>
      <c r="AY163" s="1">
        <f t="shared" ref="AY163:AY178" si="234">IFERROR(IF(AND(AG163="",CR163=""),"",AG163+CR163),"")</f>
        <v>-74</v>
      </c>
      <c r="AZ163" s="1">
        <f t="shared" ref="AZ163:AZ178" si="235">IFERROR(IF(AND(AH163="",CS163=""),"",AH163+CS163),"")</f>
        <v>-69</v>
      </c>
      <c r="BA163" s="1">
        <f t="shared" ref="BA163:BA178" si="236">IFERROR(IF(AND(AI163="",CT163=""),"",AI163+CT163),"")</f>
        <v>-71</v>
      </c>
      <c r="BB163" s="1">
        <f t="shared" ref="BB163:BB178" si="237">IFERROR(IF(AND(AJ163="",CU163=""),"",AJ163+CU163),"")</f>
        <v>-66</v>
      </c>
      <c r="BC163" s="1">
        <f t="shared" ref="BC163:BC178" si="238">IFERROR(IF(AND(AK163="",CV163=""),"",AK163+CV163),"")</f>
        <v>-66</v>
      </c>
      <c r="BD163" s="4">
        <f t="shared" ref="BD163:BD178" si="239">IFERROR(IF(AND(AL163="",CW163=""),"",AL163+CW163),"")</f>
        <v>-59</v>
      </c>
      <c r="BF163" s="3">
        <v>-4</v>
      </c>
      <c r="BG163" s="1">
        <v>-4</v>
      </c>
      <c r="BH163" s="1">
        <v>-8</v>
      </c>
      <c r="BI163" s="1">
        <v>-10</v>
      </c>
      <c r="BJ163" s="1">
        <v>-7</v>
      </c>
      <c r="BK163" s="1">
        <v>-11</v>
      </c>
      <c r="BL163" s="1">
        <v>-11</v>
      </c>
      <c r="BM163" s="4">
        <v>-13</v>
      </c>
      <c r="BO163" s="3">
        <v>-9</v>
      </c>
      <c r="BP163" s="1">
        <v>-9</v>
      </c>
      <c r="BQ163" s="1">
        <v>-12</v>
      </c>
      <c r="BR163" s="1">
        <v>-14</v>
      </c>
      <c r="BS163" s="1">
        <v>-14</v>
      </c>
      <c r="BT163" s="1">
        <v>-15</v>
      </c>
      <c r="BU163" s="1">
        <v>-16</v>
      </c>
      <c r="BV163" s="4">
        <v>-17</v>
      </c>
      <c r="BX163" s="3">
        <v>-29</v>
      </c>
      <c r="BY163" s="1">
        <v>-29</v>
      </c>
      <c r="BZ163" s="1">
        <v>-30</v>
      </c>
      <c r="CA163" s="1">
        <v>-30</v>
      </c>
      <c r="CB163" s="1">
        <v>-32</v>
      </c>
      <c r="CC163" s="1">
        <v>-34</v>
      </c>
      <c r="CD163" s="1">
        <v>-35</v>
      </c>
      <c r="CE163" s="4">
        <v>-31</v>
      </c>
      <c r="CG163" s="3">
        <v>-4</v>
      </c>
      <c r="CH163" s="1">
        <v>-4</v>
      </c>
      <c r="CI163" s="1">
        <v>-4</v>
      </c>
      <c r="CJ163" s="1">
        <v>-4</v>
      </c>
      <c r="CK163" s="1">
        <v>-4</v>
      </c>
      <c r="CL163" s="1">
        <v>-4</v>
      </c>
      <c r="CM163" s="1">
        <v>-4</v>
      </c>
      <c r="CN163" s="4">
        <v>-3</v>
      </c>
      <c r="CP163" s="3">
        <v>-7</v>
      </c>
      <c r="CQ163" s="1">
        <v>-7</v>
      </c>
      <c r="CR163" s="1">
        <v>-8</v>
      </c>
      <c r="CS163" s="1">
        <v>-8</v>
      </c>
      <c r="CT163" s="1">
        <v>-8</v>
      </c>
      <c r="CU163" s="1">
        <v>-7</v>
      </c>
      <c r="CV163" s="1">
        <v>-7</v>
      </c>
      <c r="CW163" s="4">
        <v>-6</v>
      </c>
    </row>
    <row r="164" spans="1:101">
      <c r="A164" s="8" t="str">
        <f>VLOOKUP(B164,List!W:X,2,1)</f>
        <v>1.30 - 1.39</v>
      </c>
      <c r="B164" s="8">
        <v>1.3</v>
      </c>
      <c r="C164" s="8" t="s">
        <v>9</v>
      </c>
      <c r="D164" s="3">
        <v>-35</v>
      </c>
      <c r="E164" s="1">
        <v>-35</v>
      </c>
      <c r="F164" s="1">
        <v>-35</v>
      </c>
      <c r="G164" s="1">
        <v>-33</v>
      </c>
      <c r="H164" s="1">
        <v>-32</v>
      </c>
      <c r="I164" s="1">
        <v>-27</v>
      </c>
      <c r="J164" s="1">
        <v>-24</v>
      </c>
      <c r="K164" s="4">
        <v>-22</v>
      </c>
      <c r="M164" s="3">
        <f t="shared" si="200"/>
        <v>-46</v>
      </c>
      <c r="N164" s="1">
        <f t="shared" si="201"/>
        <v>-46</v>
      </c>
      <c r="O164" s="1">
        <f t="shared" si="202"/>
        <v>-45</v>
      </c>
      <c r="P164" s="1">
        <f t="shared" si="203"/>
        <v>-40</v>
      </c>
      <c r="Q164" s="1">
        <f t="shared" si="204"/>
        <v>-37</v>
      </c>
      <c r="R164" s="1">
        <f t="shared" si="205"/>
        <v>-37</v>
      </c>
      <c r="S164" s="1">
        <f t="shared" si="206"/>
        <v>-35</v>
      </c>
      <c r="T164" s="4">
        <f t="shared" si="207"/>
        <v>-35</v>
      </c>
      <c r="V164" s="3">
        <f t="shared" si="208"/>
        <v>-62</v>
      </c>
      <c r="W164" s="1">
        <f t="shared" si="209"/>
        <v>-62</v>
      </c>
      <c r="X164" s="1">
        <f t="shared" si="210"/>
        <v>-58</v>
      </c>
      <c r="Y164" s="1">
        <f t="shared" si="211"/>
        <v>-53</v>
      </c>
      <c r="Z164" s="1">
        <f t="shared" si="212"/>
        <v>-47</v>
      </c>
      <c r="AA164" s="1">
        <f t="shared" si="213"/>
        <v>-51</v>
      </c>
      <c r="AB164" s="1">
        <f t="shared" si="214"/>
        <v>-50</v>
      </c>
      <c r="AC164" s="4">
        <f t="shared" si="215"/>
        <v>-51</v>
      </c>
      <c r="AE164" s="3">
        <f t="shared" si="216"/>
        <v>-63</v>
      </c>
      <c r="AF164" s="1">
        <f t="shared" si="217"/>
        <v>-63</v>
      </c>
      <c r="AG164" s="1">
        <f t="shared" si="218"/>
        <v>-65</v>
      </c>
      <c r="AH164" s="1">
        <f t="shared" si="219"/>
        <v>-65</v>
      </c>
      <c r="AI164" s="1">
        <f t="shared" si="220"/>
        <v>-66</v>
      </c>
      <c r="AJ164" s="1">
        <f t="shared" si="221"/>
        <v>-60</v>
      </c>
      <c r="AK164" s="1">
        <f t="shared" si="222"/>
        <v>-59</v>
      </c>
      <c r="AL164" s="4">
        <f t="shared" si="223"/>
        <v>-54</v>
      </c>
      <c r="AN164" s="3">
        <f t="shared" si="224"/>
        <v>-67</v>
      </c>
      <c r="AO164" s="1">
        <f t="shared" si="225"/>
        <v>-67</v>
      </c>
      <c r="AP164" s="1">
        <f t="shared" si="226"/>
        <v>-69</v>
      </c>
      <c r="AQ164" s="1">
        <f t="shared" si="227"/>
        <v>-68</v>
      </c>
      <c r="AR164" s="1">
        <f t="shared" si="228"/>
        <v>-69</v>
      </c>
      <c r="AS164" s="1">
        <f t="shared" si="229"/>
        <v>-63</v>
      </c>
      <c r="AT164" s="1">
        <f t="shared" si="230"/>
        <v>-62</v>
      </c>
      <c r="AU164" s="4">
        <f t="shared" si="231"/>
        <v>-58</v>
      </c>
      <c r="AW164" s="3">
        <f t="shared" si="232"/>
        <v>-70</v>
      </c>
      <c r="AX164" s="1">
        <f t="shared" si="233"/>
        <v>-70</v>
      </c>
      <c r="AY164" s="1">
        <f t="shared" si="234"/>
        <v>-72</v>
      </c>
      <c r="AZ164" s="1">
        <f t="shared" si="235"/>
        <v>-71</v>
      </c>
      <c r="BA164" s="1">
        <f t="shared" si="236"/>
        <v>-71</v>
      </c>
      <c r="BB164" s="1">
        <f t="shared" si="237"/>
        <v>-65</v>
      </c>
      <c r="BC164" s="1">
        <f t="shared" si="238"/>
        <v>-64</v>
      </c>
      <c r="BD164" s="4">
        <f t="shared" si="239"/>
        <v>-60</v>
      </c>
      <c r="BF164" s="3">
        <v>-11</v>
      </c>
      <c r="BG164" s="1">
        <v>-11</v>
      </c>
      <c r="BH164" s="1">
        <v>-10</v>
      </c>
      <c r="BI164" s="1">
        <v>-7</v>
      </c>
      <c r="BJ164" s="1">
        <v>-5</v>
      </c>
      <c r="BK164" s="1">
        <v>-10</v>
      </c>
      <c r="BL164" s="1">
        <v>-11</v>
      </c>
      <c r="BM164" s="4">
        <v>-13</v>
      </c>
      <c r="BO164" s="3">
        <v>-16</v>
      </c>
      <c r="BP164" s="1">
        <v>-16</v>
      </c>
      <c r="BQ164" s="1">
        <v>-13</v>
      </c>
      <c r="BR164" s="1">
        <v>-13</v>
      </c>
      <c r="BS164" s="1">
        <v>-10</v>
      </c>
      <c r="BT164" s="1">
        <v>-14</v>
      </c>
      <c r="BU164" s="1">
        <v>-15</v>
      </c>
      <c r="BV164" s="4">
        <v>-16</v>
      </c>
      <c r="BX164" s="3">
        <v>-28</v>
      </c>
      <c r="BY164" s="1">
        <v>-28</v>
      </c>
      <c r="BZ164" s="1">
        <v>-30</v>
      </c>
      <c r="CA164" s="1">
        <v>-32</v>
      </c>
      <c r="CB164" s="1">
        <v>-34</v>
      </c>
      <c r="CC164" s="1">
        <v>-33</v>
      </c>
      <c r="CD164" s="1">
        <v>-35</v>
      </c>
      <c r="CE164" s="4">
        <v>-32</v>
      </c>
      <c r="CG164" s="3">
        <v>-4</v>
      </c>
      <c r="CH164" s="1">
        <v>-4</v>
      </c>
      <c r="CI164" s="1">
        <v>-4</v>
      </c>
      <c r="CJ164" s="1">
        <v>-3</v>
      </c>
      <c r="CK164" s="1">
        <v>-3</v>
      </c>
      <c r="CL164" s="1">
        <v>-3</v>
      </c>
      <c r="CM164" s="1">
        <v>-3</v>
      </c>
      <c r="CN164" s="4">
        <v>-4</v>
      </c>
      <c r="CP164" s="3">
        <v>-7</v>
      </c>
      <c r="CQ164" s="1">
        <v>-7</v>
      </c>
      <c r="CR164" s="1">
        <v>-7</v>
      </c>
      <c r="CS164" s="1">
        <v>-6</v>
      </c>
      <c r="CT164" s="1">
        <v>-5</v>
      </c>
      <c r="CU164" s="1">
        <v>-5</v>
      </c>
      <c r="CV164" s="1">
        <v>-5</v>
      </c>
      <c r="CW164" s="4">
        <v>-6</v>
      </c>
    </row>
    <row r="165" spans="1:101">
      <c r="A165" s="8" t="str">
        <f>VLOOKUP(B165,List!W:X,2,1)</f>
        <v>1.30 - 1.39</v>
      </c>
      <c r="B165" s="8">
        <v>1.3</v>
      </c>
      <c r="C165" s="8" t="s">
        <v>10</v>
      </c>
      <c r="D165" s="3">
        <v>-34</v>
      </c>
      <c r="E165" s="1">
        <v>-34</v>
      </c>
      <c r="F165" s="1">
        <v>-33</v>
      </c>
      <c r="G165" s="1">
        <v>-32</v>
      </c>
      <c r="H165" s="1">
        <v>-29</v>
      </c>
      <c r="I165" s="1">
        <v>-26</v>
      </c>
      <c r="J165" s="1">
        <v>-25</v>
      </c>
      <c r="K165" s="4">
        <v>-25</v>
      </c>
      <c r="M165" s="3">
        <f t="shared" si="200"/>
        <v>-43</v>
      </c>
      <c r="N165" s="1">
        <f t="shared" si="201"/>
        <v>-43</v>
      </c>
      <c r="O165" s="1">
        <f t="shared" si="202"/>
        <v>-42</v>
      </c>
      <c r="P165" s="1">
        <f t="shared" si="203"/>
        <v>-40</v>
      </c>
      <c r="Q165" s="1">
        <f t="shared" si="204"/>
        <v>-35</v>
      </c>
      <c r="R165" s="1">
        <f t="shared" si="205"/>
        <v>-35</v>
      </c>
      <c r="S165" s="1">
        <f t="shared" si="206"/>
        <v>-34</v>
      </c>
      <c r="T165" s="4">
        <f t="shared" si="207"/>
        <v>-34</v>
      </c>
      <c r="V165" s="3">
        <f t="shared" si="208"/>
        <v>-58</v>
      </c>
      <c r="W165" s="1">
        <f t="shared" si="209"/>
        <v>-58</v>
      </c>
      <c r="X165" s="1">
        <f t="shared" si="210"/>
        <v>-56</v>
      </c>
      <c r="Y165" s="1">
        <f t="shared" si="211"/>
        <v>-53</v>
      </c>
      <c r="Z165" s="1">
        <f t="shared" si="212"/>
        <v>-47</v>
      </c>
      <c r="AA165" s="1">
        <f t="shared" si="213"/>
        <v>-49</v>
      </c>
      <c r="AB165" s="1">
        <f t="shared" si="214"/>
        <v>-47</v>
      </c>
      <c r="AC165" s="4">
        <f t="shared" si="215"/>
        <v>-47</v>
      </c>
      <c r="AE165" s="3">
        <f t="shared" si="216"/>
        <v>-62</v>
      </c>
      <c r="AF165" s="1">
        <f t="shared" si="217"/>
        <v>-62</v>
      </c>
      <c r="AG165" s="1">
        <f t="shared" si="218"/>
        <v>-63</v>
      </c>
      <c r="AH165" s="1">
        <f t="shared" si="219"/>
        <v>-65</v>
      </c>
      <c r="AI165" s="1">
        <f t="shared" si="220"/>
        <v>-62</v>
      </c>
      <c r="AJ165" s="1">
        <f t="shared" si="221"/>
        <v>-60</v>
      </c>
      <c r="AK165" s="1">
        <f t="shared" si="222"/>
        <v>-57</v>
      </c>
      <c r="AL165" s="4">
        <f t="shared" si="223"/>
        <v>-55</v>
      </c>
      <c r="AN165" s="3">
        <f t="shared" si="224"/>
        <v>-65</v>
      </c>
      <c r="AO165" s="1">
        <f t="shared" si="225"/>
        <v>-65</v>
      </c>
      <c r="AP165" s="1">
        <f t="shared" si="226"/>
        <v>-67</v>
      </c>
      <c r="AQ165" s="1">
        <f t="shared" si="227"/>
        <v>-68</v>
      </c>
      <c r="AR165" s="1">
        <f t="shared" si="228"/>
        <v>-66</v>
      </c>
      <c r="AS165" s="1">
        <f t="shared" si="229"/>
        <v>-63</v>
      </c>
      <c r="AT165" s="1">
        <f t="shared" si="230"/>
        <v>-61</v>
      </c>
      <c r="AU165" s="4">
        <f t="shared" si="231"/>
        <v>-59</v>
      </c>
      <c r="AW165" s="3">
        <f t="shared" si="232"/>
        <v>-67</v>
      </c>
      <c r="AX165" s="1">
        <f t="shared" si="233"/>
        <v>-67</v>
      </c>
      <c r="AY165" s="1">
        <f t="shared" si="234"/>
        <v>-71</v>
      </c>
      <c r="AZ165" s="1">
        <f t="shared" si="235"/>
        <v>-70</v>
      </c>
      <c r="BA165" s="1">
        <f t="shared" si="236"/>
        <v>-68</v>
      </c>
      <c r="BB165" s="1">
        <f t="shared" si="237"/>
        <v>-65</v>
      </c>
      <c r="BC165" s="1">
        <f t="shared" si="238"/>
        <v>-64</v>
      </c>
      <c r="BD165" s="4">
        <f t="shared" si="239"/>
        <v>-62</v>
      </c>
      <c r="BF165" s="3">
        <v>-9</v>
      </c>
      <c r="BG165" s="1">
        <v>-9</v>
      </c>
      <c r="BH165" s="1">
        <v>-9</v>
      </c>
      <c r="BI165" s="1">
        <v>-8</v>
      </c>
      <c r="BJ165" s="1">
        <v>-6</v>
      </c>
      <c r="BK165" s="1">
        <v>-9</v>
      </c>
      <c r="BL165" s="1">
        <v>-9</v>
      </c>
      <c r="BM165" s="4">
        <v>-9</v>
      </c>
      <c r="BO165" s="3">
        <v>-15</v>
      </c>
      <c r="BP165" s="1">
        <v>-15</v>
      </c>
      <c r="BQ165" s="1">
        <v>-14</v>
      </c>
      <c r="BR165" s="1">
        <v>-13</v>
      </c>
      <c r="BS165" s="1">
        <v>-12</v>
      </c>
      <c r="BT165" s="1">
        <v>-14</v>
      </c>
      <c r="BU165" s="1">
        <v>-13</v>
      </c>
      <c r="BV165" s="4">
        <v>-13</v>
      </c>
      <c r="BX165" s="3">
        <v>-28</v>
      </c>
      <c r="BY165" s="1">
        <v>-28</v>
      </c>
      <c r="BZ165" s="1">
        <v>-30</v>
      </c>
      <c r="CA165" s="1">
        <v>-33</v>
      </c>
      <c r="CB165" s="1">
        <v>-33</v>
      </c>
      <c r="CC165" s="1">
        <v>-34</v>
      </c>
      <c r="CD165" s="1">
        <v>-32</v>
      </c>
      <c r="CE165" s="4">
        <v>-30</v>
      </c>
      <c r="CG165" s="3">
        <v>-3</v>
      </c>
      <c r="CH165" s="1">
        <v>-3</v>
      </c>
      <c r="CI165" s="1">
        <v>-4</v>
      </c>
      <c r="CJ165" s="1">
        <v>-3</v>
      </c>
      <c r="CK165" s="1">
        <v>-4</v>
      </c>
      <c r="CL165" s="1">
        <v>-3</v>
      </c>
      <c r="CM165" s="1">
        <v>-4</v>
      </c>
      <c r="CN165" s="4">
        <v>-4</v>
      </c>
      <c r="CP165" s="3">
        <v>-5</v>
      </c>
      <c r="CQ165" s="1">
        <v>-5</v>
      </c>
      <c r="CR165" s="1">
        <v>-8</v>
      </c>
      <c r="CS165" s="1">
        <v>-5</v>
      </c>
      <c r="CT165" s="1">
        <v>-6</v>
      </c>
      <c r="CU165" s="1">
        <v>-5</v>
      </c>
      <c r="CV165" s="1">
        <v>-7</v>
      </c>
      <c r="CW165" s="4">
        <v>-7</v>
      </c>
    </row>
    <row r="166" spans="1:101">
      <c r="A166" s="8" t="str">
        <f>VLOOKUP(B166,List!W:X,2,1)</f>
        <v>1.30 - 1.39</v>
      </c>
      <c r="B166" s="8">
        <v>1.3</v>
      </c>
      <c r="C166" s="8" t="s">
        <v>11</v>
      </c>
      <c r="D166" s="3">
        <v>-33</v>
      </c>
      <c r="E166" s="1">
        <v>-33</v>
      </c>
      <c r="F166" s="1">
        <v>-33</v>
      </c>
      <c r="G166" s="1">
        <v>-31</v>
      </c>
      <c r="H166" s="1">
        <v>-31</v>
      </c>
      <c r="I166" s="1">
        <v>-29</v>
      </c>
      <c r="J166" s="1">
        <v>-27</v>
      </c>
      <c r="K166" s="4">
        <v>-27</v>
      </c>
      <c r="M166" s="3">
        <f t="shared" si="200"/>
        <v>-42</v>
      </c>
      <c r="N166" s="1">
        <f t="shared" si="201"/>
        <v>-42</v>
      </c>
      <c r="O166" s="1">
        <f t="shared" si="202"/>
        <v>-41</v>
      </c>
      <c r="P166" s="1">
        <f t="shared" si="203"/>
        <v>-40</v>
      </c>
      <c r="Q166" s="1">
        <f t="shared" si="204"/>
        <v>-35</v>
      </c>
      <c r="R166" s="1">
        <f t="shared" si="205"/>
        <v>-37</v>
      </c>
      <c r="S166" s="1">
        <f t="shared" si="206"/>
        <v>-37</v>
      </c>
      <c r="T166" s="4">
        <f t="shared" si="207"/>
        <v>-37</v>
      </c>
      <c r="V166" s="3">
        <f t="shared" si="208"/>
        <v>-57</v>
      </c>
      <c r="W166" s="1">
        <f t="shared" si="209"/>
        <v>-57</v>
      </c>
      <c r="X166" s="1">
        <f t="shared" si="210"/>
        <v>-54</v>
      </c>
      <c r="Y166" s="1">
        <f t="shared" si="211"/>
        <v>-55</v>
      </c>
      <c r="Z166" s="1">
        <f t="shared" si="212"/>
        <v>-45</v>
      </c>
      <c r="AA166" s="1">
        <f t="shared" si="213"/>
        <v>-51</v>
      </c>
      <c r="AB166" s="1">
        <f t="shared" si="214"/>
        <v>-50</v>
      </c>
      <c r="AC166" s="4">
        <f t="shared" si="215"/>
        <v>-50</v>
      </c>
      <c r="AE166" s="3">
        <f t="shared" si="216"/>
        <v>-62</v>
      </c>
      <c r="AF166" s="1">
        <f t="shared" si="217"/>
        <v>-62</v>
      </c>
      <c r="AG166" s="1">
        <f t="shared" si="218"/>
        <v>-63</v>
      </c>
      <c r="AH166" s="1">
        <f t="shared" si="219"/>
        <v>-61</v>
      </c>
      <c r="AI166" s="1">
        <f t="shared" si="220"/>
        <v>-62</v>
      </c>
      <c r="AJ166" s="1">
        <f t="shared" si="221"/>
        <v>-59</v>
      </c>
      <c r="AK166" s="1">
        <f t="shared" si="222"/>
        <v>-56</v>
      </c>
      <c r="AL166" s="4">
        <f t="shared" si="223"/>
        <v>-55</v>
      </c>
      <c r="AN166" s="3">
        <f t="shared" si="224"/>
        <v>-66</v>
      </c>
      <c r="AO166" s="1">
        <f t="shared" si="225"/>
        <v>-66</v>
      </c>
      <c r="AP166" s="1">
        <f t="shared" si="226"/>
        <v>-66</v>
      </c>
      <c r="AQ166" s="1">
        <f t="shared" si="227"/>
        <v>-65</v>
      </c>
      <c r="AR166" s="1">
        <f t="shared" si="228"/>
        <v>-65</v>
      </c>
      <c r="AS166" s="1">
        <f t="shared" si="229"/>
        <v>-62</v>
      </c>
      <c r="AT166" s="1">
        <f t="shared" si="230"/>
        <v>-60</v>
      </c>
      <c r="AU166" s="4">
        <f t="shared" si="231"/>
        <v>-59</v>
      </c>
      <c r="AW166" s="3">
        <f t="shared" si="232"/>
        <v>-68</v>
      </c>
      <c r="AX166" s="1">
        <f t="shared" si="233"/>
        <v>-68</v>
      </c>
      <c r="AY166" s="1">
        <f t="shared" si="234"/>
        <v>-68</v>
      </c>
      <c r="AZ166" s="1">
        <f t="shared" si="235"/>
        <v>-67</v>
      </c>
      <c r="BA166" s="1">
        <f t="shared" si="236"/>
        <v>-68</v>
      </c>
      <c r="BB166" s="1">
        <f t="shared" si="237"/>
        <v>-64</v>
      </c>
      <c r="BC166" s="1">
        <f t="shared" si="238"/>
        <v>-63</v>
      </c>
      <c r="BD166" s="4">
        <f t="shared" si="239"/>
        <v>-61</v>
      </c>
      <c r="BF166" s="3">
        <v>-9</v>
      </c>
      <c r="BG166" s="1">
        <v>-9</v>
      </c>
      <c r="BH166" s="1">
        <v>-8</v>
      </c>
      <c r="BI166" s="1">
        <v>-9</v>
      </c>
      <c r="BJ166" s="1">
        <v>-4</v>
      </c>
      <c r="BK166" s="1">
        <v>-8</v>
      </c>
      <c r="BL166" s="1">
        <v>-10</v>
      </c>
      <c r="BM166" s="4">
        <v>-10</v>
      </c>
      <c r="BO166" s="3">
        <v>-15</v>
      </c>
      <c r="BP166" s="1">
        <v>-15</v>
      </c>
      <c r="BQ166" s="1">
        <v>-13</v>
      </c>
      <c r="BR166" s="1">
        <v>-15</v>
      </c>
      <c r="BS166" s="1">
        <v>-10</v>
      </c>
      <c r="BT166" s="1">
        <v>-14</v>
      </c>
      <c r="BU166" s="1">
        <v>-13</v>
      </c>
      <c r="BV166" s="4">
        <v>-13</v>
      </c>
      <c r="BX166" s="3">
        <v>-29</v>
      </c>
      <c r="BY166" s="1">
        <v>-29</v>
      </c>
      <c r="BZ166" s="1">
        <v>-30</v>
      </c>
      <c r="CA166" s="1">
        <v>-30</v>
      </c>
      <c r="CB166" s="1">
        <v>-31</v>
      </c>
      <c r="CC166" s="1">
        <v>-30</v>
      </c>
      <c r="CD166" s="1">
        <v>-29</v>
      </c>
      <c r="CE166" s="4">
        <v>-28</v>
      </c>
      <c r="CG166" s="3">
        <v>-4</v>
      </c>
      <c r="CH166" s="1">
        <v>-4</v>
      </c>
      <c r="CI166" s="1">
        <v>-3</v>
      </c>
      <c r="CJ166" s="1">
        <v>-4</v>
      </c>
      <c r="CK166" s="1">
        <v>-3</v>
      </c>
      <c r="CL166" s="1">
        <v>-3</v>
      </c>
      <c r="CM166" s="1">
        <v>-4</v>
      </c>
      <c r="CN166" s="4">
        <v>-4</v>
      </c>
      <c r="CP166" s="3">
        <v>-6</v>
      </c>
      <c r="CQ166" s="1">
        <v>-6</v>
      </c>
      <c r="CR166" s="1">
        <v>-5</v>
      </c>
      <c r="CS166" s="1">
        <v>-6</v>
      </c>
      <c r="CT166" s="1">
        <v>-6</v>
      </c>
      <c r="CU166" s="1">
        <v>-5</v>
      </c>
      <c r="CV166" s="1">
        <v>-7</v>
      </c>
      <c r="CW166" s="4">
        <v>-6</v>
      </c>
    </row>
    <row r="167" spans="1:101">
      <c r="A167" s="8" t="str">
        <f>VLOOKUP(B167,List!W:X,2,1)</f>
        <v>1.30 - 1.39</v>
      </c>
      <c r="B167" s="8">
        <v>1.3</v>
      </c>
      <c r="C167" s="8" t="s">
        <v>12</v>
      </c>
      <c r="D167" s="3">
        <v>-32</v>
      </c>
      <c r="E167" s="1">
        <v>-32</v>
      </c>
      <c r="F167" s="1">
        <v>-31</v>
      </c>
      <c r="G167" s="1">
        <v>-30</v>
      </c>
      <c r="H167" s="1">
        <v>-33</v>
      </c>
      <c r="I167" s="1">
        <v>-33</v>
      </c>
      <c r="J167" s="1">
        <v>-29</v>
      </c>
      <c r="K167" s="4">
        <v>-29</v>
      </c>
      <c r="M167" s="3">
        <f t="shared" si="200"/>
        <v>-42</v>
      </c>
      <c r="N167" s="1">
        <f t="shared" si="201"/>
        <v>-42</v>
      </c>
      <c r="O167" s="1">
        <f t="shared" si="202"/>
        <v>-41</v>
      </c>
      <c r="P167" s="1">
        <f t="shared" si="203"/>
        <v>-41</v>
      </c>
      <c r="Q167" s="1">
        <f t="shared" si="204"/>
        <v>-40</v>
      </c>
      <c r="R167" s="1">
        <f t="shared" si="205"/>
        <v>-39</v>
      </c>
      <c r="S167" s="1">
        <f t="shared" si="206"/>
        <v>-38</v>
      </c>
      <c r="T167" s="4">
        <f t="shared" si="207"/>
        <v>-37</v>
      </c>
      <c r="V167" s="3">
        <f t="shared" si="208"/>
        <v>-56</v>
      </c>
      <c r="W167" s="1">
        <f t="shared" si="209"/>
        <v>-56</v>
      </c>
      <c r="X167" s="1">
        <f t="shared" si="210"/>
        <v>-55</v>
      </c>
      <c r="Y167" s="1">
        <f t="shared" si="211"/>
        <v>-56</v>
      </c>
      <c r="Z167" s="1">
        <f t="shared" si="212"/>
        <v>-51</v>
      </c>
      <c r="AA167" s="1">
        <f t="shared" si="213"/>
        <v>-49</v>
      </c>
      <c r="AB167" s="1">
        <f t="shared" si="214"/>
        <v>-51</v>
      </c>
      <c r="AC167" s="4">
        <f t="shared" si="215"/>
        <v>-50</v>
      </c>
      <c r="AE167" s="3">
        <f t="shared" si="216"/>
        <v>-59</v>
      </c>
      <c r="AF167" s="1">
        <f t="shared" si="217"/>
        <v>-59</v>
      </c>
      <c r="AG167" s="1">
        <f t="shared" si="218"/>
        <v>-60</v>
      </c>
      <c r="AH167" s="1">
        <f t="shared" si="219"/>
        <v>-58</v>
      </c>
      <c r="AI167" s="1">
        <f t="shared" si="220"/>
        <v>-63</v>
      </c>
      <c r="AJ167" s="1">
        <f t="shared" si="221"/>
        <v>-62</v>
      </c>
      <c r="AK167" s="1">
        <f t="shared" si="222"/>
        <v>-58</v>
      </c>
      <c r="AL167" s="4">
        <f t="shared" si="223"/>
        <v>-58</v>
      </c>
      <c r="AN167" s="3">
        <f t="shared" si="224"/>
        <v>-62</v>
      </c>
      <c r="AO167" s="1">
        <f t="shared" si="225"/>
        <v>-62</v>
      </c>
      <c r="AP167" s="1">
        <f t="shared" si="226"/>
        <v>-63</v>
      </c>
      <c r="AQ167" s="1">
        <f t="shared" si="227"/>
        <v>-61</v>
      </c>
      <c r="AR167" s="1">
        <f t="shared" si="228"/>
        <v>-66</v>
      </c>
      <c r="AS167" s="1">
        <f t="shared" si="229"/>
        <v>-65</v>
      </c>
      <c r="AT167" s="1">
        <f t="shared" si="230"/>
        <v>-61</v>
      </c>
      <c r="AU167" s="4">
        <f t="shared" si="231"/>
        <v>-60</v>
      </c>
      <c r="AW167" s="3">
        <f t="shared" si="232"/>
        <v>-64</v>
      </c>
      <c r="AX167" s="1">
        <f t="shared" si="233"/>
        <v>-64</v>
      </c>
      <c r="AY167" s="1">
        <f t="shared" si="234"/>
        <v>-65</v>
      </c>
      <c r="AZ167" s="1">
        <f t="shared" si="235"/>
        <v>-63</v>
      </c>
      <c r="BA167" s="1">
        <f t="shared" si="236"/>
        <v>-68</v>
      </c>
      <c r="BB167" s="1">
        <f t="shared" si="237"/>
        <v>-67</v>
      </c>
      <c r="BC167" s="1">
        <f t="shared" si="238"/>
        <v>-63</v>
      </c>
      <c r="BD167" s="4">
        <f t="shared" si="239"/>
        <v>-62</v>
      </c>
      <c r="BF167" s="3">
        <v>-10</v>
      </c>
      <c r="BG167" s="1">
        <v>-10</v>
      </c>
      <c r="BH167" s="1">
        <v>-10</v>
      </c>
      <c r="BI167" s="1">
        <v>-11</v>
      </c>
      <c r="BJ167" s="1">
        <v>-7</v>
      </c>
      <c r="BK167" s="1">
        <v>-6</v>
      </c>
      <c r="BL167" s="1">
        <v>-9</v>
      </c>
      <c r="BM167" s="4">
        <v>-8</v>
      </c>
      <c r="BO167" s="3">
        <v>-14</v>
      </c>
      <c r="BP167" s="1">
        <v>-14</v>
      </c>
      <c r="BQ167" s="1">
        <v>-14</v>
      </c>
      <c r="BR167" s="1">
        <v>-15</v>
      </c>
      <c r="BS167" s="1">
        <v>-11</v>
      </c>
      <c r="BT167" s="1">
        <v>-10</v>
      </c>
      <c r="BU167" s="1">
        <v>-13</v>
      </c>
      <c r="BV167" s="4">
        <v>-13</v>
      </c>
      <c r="BX167" s="3">
        <v>-27</v>
      </c>
      <c r="BY167" s="1">
        <v>-27</v>
      </c>
      <c r="BZ167" s="1">
        <v>-29</v>
      </c>
      <c r="CA167" s="1">
        <v>-28</v>
      </c>
      <c r="CB167" s="1">
        <v>-30</v>
      </c>
      <c r="CC167" s="1">
        <v>-29</v>
      </c>
      <c r="CD167" s="1">
        <v>-29</v>
      </c>
      <c r="CE167" s="4">
        <v>-29</v>
      </c>
      <c r="CG167" s="3">
        <v>-3</v>
      </c>
      <c r="CH167" s="1">
        <v>-3</v>
      </c>
      <c r="CI167" s="1">
        <v>-3</v>
      </c>
      <c r="CJ167" s="1">
        <v>-3</v>
      </c>
      <c r="CK167" s="1">
        <v>-3</v>
      </c>
      <c r="CL167" s="1">
        <v>-3</v>
      </c>
      <c r="CM167" s="1">
        <v>-3</v>
      </c>
      <c r="CN167" s="4">
        <v>-2</v>
      </c>
      <c r="CP167" s="3">
        <v>-5</v>
      </c>
      <c r="CQ167" s="1">
        <v>-5</v>
      </c>
      <c r="CR167" s="1">
        <v>-5</v>
      </c>
      <c r="CS167" s="1">
        <v>-5</v>
      </c>
      <c r="CT167" s="1">
        <v>-5</v>
      </c>
      <c r="CU167" s="1">
        <v>-5</v>
      </c>
      <c r="CV167" s="1">
        <v>-5</v>
      </c>
      <c r="CW167" s="4">
        <v>-4</v>
      </c>
    </row>
    <row r="168" spans="1:101">
      <c r="A168" s="8" t="str">
        <f>VLOOKUP(B168,List!W:X,2,1)</f>
        <v>1.30 - 1.39</v>
      </c>
      <c r="B168" s="8">
        <v>1.3</v>
      </c>
      <c r="C168" s="8" t="s">
        <v>13</v>
      </c>
      <c r="D168" s="3">
        <v>-32</v>
      </c>
      <c r="E168" s="1">
        <v>-32</v>
      </c>
      <c r="F168" s="1">
        <v>-28</v>
      </c>
      <c r="G168" s="1">
        <v>-30</v>
      </c>
      <c r="H168" s="1">
        <v>-31</v>
      </c>
      <c r="I168" s="1">
        <v>-33</v>
      </c>
      <c r="J168" s="1">
        <v>-30</v>
      </c>
      <c r="K168" s="4">
        <v>-29</v>
      </c>
      <c r="M168" s="3">
        <f t="shared" si="200"/>
        <v>-39</v>
      </c>
      <c r="N168" s="1">
        <f t="shared" si="201"/>
        <v>-39</v>
      </c>
      <c r="O168" s="1">
        <f t="shared" si="202"/>
        <v>-38</v>
      </c>
      <c r="P168" s="1">
        <f t="shared" si="203"/>
        <v>-38</v>
      </c>
      <c r="Q168" s="1">
        <f t="shared" si="204"/>
        <v>-37</v>
      </c>
      <c r="R168" s="1">
        <f t="shared" si="205"/>
        <v>-39</v>
      </c>
      <c r="S168" s="1">
        <f t="shared" si="206"/>
        <v>-38</v>
      </c>
      <c r="T168" s="4">
        <f t="shared" si="207"/>
        <v>-37</v>
      </c>
      <c r="V168" s="3">
        <f t="shared" si="208"/>
        <v>-51</v>
      </c>
      <c r="W168" s="1">
        <f t="shared" si="209"/>
        <v>-51</v>
      </c>
      <c r="X168" s="1">
        <f t="shared" si="210"/>
        <v>-52</v>
      </c>
      <c r="Y168" s="1">
        <f t="shared" si="211"/>
        <v>-51</v>
      </c>
      <c r="Z168" s="1">
        <f t="shared" si="212"/>
        <v>-49</v>
      </c>
      <c r="AA168" s="1">
        <f t="shared" si="213"/>
        <v>-49</v>
      </c>
      <c r="AB168" s="1">
        <f t="shared" si="214"/>
        <v>-50</v>
      </c>
      <c r="AC168" s="4">
        <f t="shared" si="215"/>
        <v>-50</v>
      </c>
      <c r="AE168" s="3">
        <f t="shared" si="216"/>
        <v>-59</v>
      </c>
      <c r="AF168" s="1">
        <f t="shared" si="217"/>
        <v>-59</v>
      </c>
      <c r="AG168" s="1">
        <f t="shared" si="218"/>
        <v>-55</v>
      </c>
      <c r="AH168" s="1">
        <f t="shared" si="219"/>
        <v>-58</v>
      </c>
      <c r="AI168" s="1">
        <f t="shared" si="220"/>
        <v>-62</v>
      </c>
      <c r="AJ168" s="1">
        <f t="shared" si="221"/>
        <v>-62</v>
      </c>
      <c r="AK168" s="1">
        <f t="shared" si="222"/>
        <v>-58</v>
      </c>
      <c r="AL168" s="4">
        <f t="shared" si="223"/>
        <v>-57</v>
      </c>
      <c r="AN168" s="3">
        <f t="shared" si="224"/>
        <v>-62</v>
      </c>
      <c r="AO168" s="1">
        <f t="shared" si="225"/>
        <v>-62</v>
      </c>
      <c r="AP168" s="1">
        <f t="shared" si="226"/>
        <v>-58</v>
      </c>
      <c r="AQ168" s="1">
        <f t="shared" si="227"/>
        <v>-61</v>
      </c>
      <c r="AR168" s="1">
        <f t="shared" si="228"/>
        <v>-65</v>
      </c>
      <c r="AS168" s="1">
        <f t="shared" si="229"/>
        <v>-65</v>
      </c>
      <c r="AT168" s="1">
        <f t="shared" si="230"/>
        <v>-61</v>
      </c>
      <c r="AU168" s="4">
        <f t="shared" si="231"/>
        <v>-60</v>
      </c>
      <c r="AW168" s="3">
        <f t="shared" si="232"/>
        <v>-64</v>
      </c>
      <c r="AX168" s="1">
        <f t="shared" si="233"/>
        <v>-64</v>
      </c>
      <c r="AY168" s="1">
        <f t="shared" si="234"/>
        <v>-61</v>
      </c>
      <c r="AZ168" s="1">
        <f t="shared" si="235"/>
        <v>-63</v>
      </c>
      <c r="BA168" s="1">
        <f t="shared" si="236"/>
        <v>-67</v>
      </c>
      <c r="BB168" s="1">
        <f t="shared" si="237"/>
        <v>-67</v>
      </c>
      <c r="BC168" s="1">
        <f t="shared" si="238"/>
        <v>-63</v>
      </c>
      <c r="BD168" s="4">
        <f t="shared" si="239"/>
        <v>-62</v>
      </c>
      <c r="BF168" s="3">
        <v>-7</v>
      </c>
      <c r="BG168" s="1">
        <v>-7</v>
      </c>
      <c r="BH168" s="1">
        <v>-10</v>
      </c>
      <c r="BI168" s="1">
        <v>-8</v>
      </c>
      <c r="BJ168" s="1">
        <v>-6</v>
      </c>
      <c r="BK168" s="1">
        <v>-6</v>
      </c>
      <c r="BL168" s="1">
        <v>-8</v>
      </c>
      <c r="BM168" s="4">
        <v>-8</v>
      </c>
      <c r="BO168" s="3">
        <v>-12</v>
      </c>
      <c r="BP168" s="1">
        <v>-12</v>
      </c>
      <c r="BQ168" s="1">
        <v>-14</v>
      </c>
      <c r="BR168" s="1">
        <v>-13</v>
      </c>
      <c r="BS168" s="1">
        <v>-12</v>
      </c>
      <c r="BT168" s="1">
        <v>-10</v>
      </c>
      <c r="BU168" s="1">
        <v>-12</v>
      </c>
      <c r="BV168" s="4">
        <v>-13</v>
      </c>
      <c r="BX168" s="3">
        <v>-27</v>
      </c>
      <c r="BY168" s="1">
        <v>-27</v>
      </c>
      <c r="BZ168" s="1">
        <v>-27</v>
      </c>
      <c r="CA168" s="1">
        <v>-28</v>
      </c>
      <c r="CB168" s="1">
        <v>-31</v>
      </c>
      <c r="CC168" s="1">
        <v>-29</v>
      </c>
      <c r="CD168" s="1">
        <v>-28</v>
      </c>
      <c r="CE168" s="4">
        <v>-28</v>
      </c>
      <c r="CG168" s="3">
        <v>-3</v>
      </c>
      <c r="CH168" s="1">
        <v>-3</v>
      </c>
      <c r="CI168" s="1">
        <v>-3</v>
      </c>
      <c r="CJ168" s="1">
        <v>-3</v>
      </c>
      <c r="CK168" s="1">
        <v>-3</v>
      </c>
      <c r="CL168" s="1">
        <v>-3</v>
      </c>
      <c r="CM168" s="1">
        <v>-3</v>
      </c>
      <c r="CN168" s="4">
        <v>-3</v>
      </c>
      <c r="CP168" s="3">
        <v>-5</v>
      </c>
      <c r="CQ168" s="1">
        <v>-5</v>
      </c>
      <c r="CR168" s="1">
        <v>-6</v>
      </c>
      <c r="CS168" s="1">
        <v>-5</v>
      </c>
      <c r="CT168" s="1">
        <v>-5</v>
      </c>
      <c r="CU168" s="1">
        <v>-5</v>
      </c>
      <c r="CV168" s="1">
        <v>-5</v>
      </c>
      <c r="CW168" s="4">
        <v>-5</v>
      </c>
    </row>
    <row r="169" spans="1:101">
      <c r="A169" s="8" t="str">
        <f>VLOOKUP(B169,List!W:X,2,1)</f>
        <v>1.30 - 1.39</v>
      </c>
      <c r="B169" s="8">
        <v>1.3</v>
      </c>
      <c r="C169" s="8" t="s">
        <v>14</v>
      </c>
      <c r="D169" s="3">
        <v>-32</v>
      </c>
      <c r="E169" s="1">
        <v>-32</v>
      </c>
      <c r="F169" s="1">
        <v>-29</v>
      </c>
      <c r="G169" s="1">
        <v>-27</v>
      </c>
      <c r="H169" s="1">
        <v>-29</v>
      </c>
      <c r="I169" s="1">
        <v>-32</v>
      </c>
      <c r="J169" s="1">
        <v>-32</v>
      </c>
      <c r="K169" s="4">
        <v>-32</v>
      </c>
      <c r="M169" s="3">
        <f t="shared" si="200"/>
        <v>-39</v>
      </c>
      <c r="N169" s="1">
        <f t="shared" si="201"/>
        <v>-39</v>
      </c>
      <c r="O169" s="1">
        <f t="shared" si="202"/>
        <v>-38</v>
      </c>
      <c r="P169" s="1">
        <f t="shared" si="203"/>
        <v>-37</v>
      </c>
      <c r="Q169" s="1">
        <f t="shared" si="204"/>
        <v>-37</v>
      </c>
      <c r="R169" s="1">
        <f t="shared" si="205"/>
        <v>-39</v>
      </c>
      <c r="S169" s="1">
        <f t="shared" si="206"/>
        <v>-38</v>
      </c>
      <c r="T169" s="4">
        <f t="shared" si="207"/>
        <v>-38</v>
      </c>
      <c r="V169" s="3">
        <f t="shared" si="208"/>
        <v>-51</v>
      </c>
      <c r="W169" s="1">
        <f t="shared" si="209"/>
        <v>-51</v>
      </c>
      <c r="X169" s="1">
        <f t="shared" si="210"/>
        <v>-51</v>
      </c>
      <c r="Y169" s="1">
        <f t="shared" si="211"/>
        <v>-52</v>
      </c>
      <c r="Z169" s="1">
        <f t="shared" si="212"/>
        <v>-50</v>
      </c>
      <c r="AA169" s="1">
        <f t="shared" si="213"/>
        <v>-50</v>
      </c>
      <c r="AB169" s="1">
        <f t="shared" si="214"/>
        <v>-48</v>
      </c>
      <c r="AC169" s="4">
        <f t="shared" si="215"/>
        <v>-48</v>
      </c>
      <c r="AE169" s="3">
        <f t="shared" si="216"/>
        <v>-58</v>
      </c>
      <c r="AF169" s="1">
        <f t="shared" si="217"/>
        <v>-60</v>
      </c>
      <c r="AG169" s="1">
        <f t="shared" si="218"/>
        <v>-58</v>
      </c>
      <c r="AH169" s="1">
        <f t="shared" si="219"/>
        <v>-55</v>
      </c>
      <c r="AI169" s="1">
        <f t="shared" si="220"/>
        <v>-57</v>
      </c>
      <c r="AJ169" s="1">
        <f t="shared" si="221"/>
        <v>-62</v>
      </c>
      <c r="AK169" s="1">
        <f t="shared" si="222"/>
        <v>-61</v>
      </c>
      <c r="AL169" s="4">
        <f t="shared" si="223"/>
        <v>-63</v>
      </c>
      <c r="AN169" s="3">
        <f t="shared" si="224"/>
        <v>-61</v>
      </c>
      <c r="AO169" s="1">
        <f t="shared" si="225"/>
        <v>-63</v>
      </c>
      <c r="AP169" s="1">
        <f t="shared" si="226"/>
        <v>-61</v>
      </c>
      <c r="AQ169" s="1">
        <f t="shared" si="227"/>
        <v>-59</v>
      </c>
      <c r="AR169" s="1">
        <f t="shared" si="228"/>
        <v>-60</v>
      </c>
      <c r="AS169" s="1">
        <f t="shared" si="229"/>
        <v>-65</v>
      </c>
      <c r="AT169" s="1">
        <f t="shared" si="230"/>
        <v>-64</v>
      </c>
      <c r="AU169" s="4">
        <f t="shared" si="231"/>
        <v>-65</v>
      </c>
      <c r="AW169" s="3">
        <f t="shared" si="232"/>
        <v>-63</v>
      </c>
      <c r="AX169" s="1">
        <f t="shared" si="233"/>
        <v>-65</v>
      </c>
      <c r="AY169" s="1">
        <f t="shared" si="234"/>
        <v>-63</v>
      </c>
      <c r="AZ169" s="1">
        <f t="shared" si="235"/>
        <v>-61</v>
      </c>
      <c r="BA169" s="1">
        <f t="shared" si="236"/>
        <v>-63</v>
      </c>
      <c r="BB169" s="1">
        <f t="shared" si="237"/>
        <v>-67</v>
      </c>
      <c r="BC169" s="1">
        <f t="shared" si="238"/>
        <v>-66</v>
      </c>
      <c r="BD169" s="4">
        <f t="shared" si="239"/>
        <v>-67</v>
      </c>
      <c r="BF169" s="3">
        <v>-7</v>
      </c>
      <c r="BG169" s="1">
        <v>-7</v>
      </c>
      <c r="BH169" s="1">
        <v>-9</v>
      </c>
      <c r="BI169" s="1">
        <v>-10</v>
      </c>
      <c r="BJ169" s="1">
        <v>-8</v>
      </c>
      <c r="BK169" s="1">
        <v>-7</v>
      </c>
      <c r="BL169" s="1">
        <v>-6</v>
      </c>
      <c r="BM169" s="4">
        <v>-6</v>
      </c>
      <c r="BO169" s="3">
        <v>-12</v>
      </c>
      <c r="BP169" s="1">
        <v>-12</v>
      </c>
      <c r="BQ169" s="1">
        <v>-13</v>
      </c>
      <c r="BR169" s="1">
        <v>-15</v>
      </c>
      <c r="BS169" s="1">
        <v>-13</v>
      </c>
      <c r="BT169" s="1">
        <v>-11</v>
      </c>
      <c r="BU169" s="1">
        <v>-10</v>
      </c>
      <c r="BV169" s="4">
        <v>-10</v>
      </c>
      <c r="BX169" s="3">
        <v>-26</v>
      </c>
      <c r="BY169" s="1">
        <v>-28</v>
      </c>
      <c r="BZ169" s="1">
        <v>-29</v>
      </c>
      <c r="CA169" s="1">
        <v>-28</v>
      </c>
      <c r="CB169" s="1">
        <v>-28</v>
      </c>
      <c r="CC169" s="1">
        <v>-30</v>
      </c>
      <c r="CD169" s="1">
        <v>-29</v>
      </c>
      <c r="CE169" s="4">
        <v>-31</v>
      </c>
      <c r="CG169" s="3">
        <v>-3</v>
      </c>
      <c r="CH169" s="1">
        <v>-3</v>
      </c>
      <c r="CI169" s="1">
        <v>-3</v>
      </c>
      <c r="CJ169" s="1">
        <v>-4</v>
      </c>
      <c r="CK169" s="1">
        <v>-3</v>
      </c>
      <c r="CL169" s="1">
        <v>-3</v>
      </c>
      <c r="CM169" s="1">
        <v>-3</v>
      </c>
      <c r="CN169" s="4">
        <v>-2</v>
      </c>
      <c r="CP169" s="3">
        <v>-5</v>
      </c>
      <c r="CQ169" s="1">
        <v>-5</v>
      </c>
      <c r="CR169" s="1">
        <v>-5</v>
      </c>
      <c r="CS169" s="1">
        <v>-6</v>
      </c>
      <c r="CT169" s="1">
        <v>-6</v>
      </c>
      <c r="CU169" s="1">
        <v>-5</v>
      </c>
      <c r="CV169" s="1">
        <v>-5</v>
      </c>
      <c r="CW169" s="4">
        <v>-4</v>
      </c>
    </row>
    <row r="170" spans="1:101">
      <c r="A170" s="8" t="str">
        <f>VLOOKUP(B170,List!W:X,2,1)</f>
        <v>1.30 - 1.39</v>
      </c>
      <c r="B170" s="8">
        <v>1.3</v>
      </c>
      <c r="C170" s="8" t="s">
        <v>15</v>
      </c>
      <c r="D170" s="3">
        <v>-32</v>
      </c>
      <c r="E170" s="1">
        <v>-32</v>
      </c>
      <c r="F170" s="1">
        <v>-30</v>
      </c>
      <c r="G170" s="1">
        <v>-29</v>
      </c>
      <c r="H170" s="1">
        <v>-30</v>
      </c>
      <c r="I170" s="1">
        <v>-32</v>
      </c>
      <c r="J170" s="1">
        <v>-35</v>
      </c>
      <c r="K170" s="4">
        <v>-35</v>
      </c>
      <c r="M170" s="3">
        <f t="shared" si="200"/>
        <v>-38</v>
      </c>
      <c r="N170" s="1">
        <f t="shared" si="201"/>
        <v>-38</v>
      </c>
      <c r="O170" s="1">
        <f t="shared" si="202"/>
        <v>-37</v>
      </c>
      <c r="P170" s="1">
        <f t="shared" si="203"/>
        <v>-37</v>
      </c>
      <c r="Q170" s="1">
        <f t="shared" si="204"/>
        <v>-37</v>
      </c>
      <c r="R170" s="1">
        <f t="shared" si="205"/>
        <v>-39</v>
      </c>
      <c r="S170" s="1">
        <f t="shared" si="206"/>
        <v>-39</v>
      </c>
      <c r="T170" s="4">
        <f t="shared" si="207"/>
        <v>-39</v>
      </c>
      <c r="V170" s="3">
        <f t="shared" si="208"/>
        <v>-49</v>
      </c>
      <c r="W170" s="1">
        <f t="shared" si="209"/>
        <v>-49</v>
      </c>
      <c r="X170" s="1">
        <f t="shared" si="210"/>
        <v>-49</v>
      </c>
      <c r="Y170" s="1">
        <f t="shared" si="211"/>
        <v>-50</v>
      </c>
      <c r="Z170" s="1">
        <f t="shared" si="212"/>
        <v>-49</v>
      </c>
      <c r="AA170" s="1">
        <f t="shared" si="213"/>
        <v>-50</v>
      </c>
      <c r="AB170" s="1">
        <f t="shared" si="214"/>
        <v>-46</v>
      </c>
      <c r="AC170" s="4">
        <f t="shared" si="215"/>
        <v>-46</v>
      </c>
      <c r="AE170" s="3">
        <f t="shared" si="216"/>
        <v>-58</v>
      </c>
      <c r="AF170" s="1">
        <f t="shared" si="217"/>
        <v>-60</v>
      </c>
      <c r="AG170" s="1">
        <f t="shared" si="218"/>
        <v>-59</v>
      </c>
      <c r="AH170" s="1">
        <f t="shared" si="219"/>
        <v>-58</v>
      </c>
      <c r="AI170" s="1">
        <f t="shared" si="220"/>
        <v>-60</v>
      </c>
      <c r="AJ170" s="1">
        <f t="shared" si="221"/>
        <v>-63</v>
      </c>
      <c r="AK170" s="1">
        <f t="shared" si="222"/>
        <v>-64</v>
      </c>
      <c r="AL170" s="4">
        <f t="shared" si="223"/>
        <v>-64</v>
      </c>
      <c r="AN170" s="3">
        <f t="shared" si="224"/>
        <v>-60</v>
      </c>
      <c r="AO170" s="1">
        <f t="shared" si="225"/>
        <v>-62</v>
      </c>
      <c r="AP170" s="1">
        <f t="shared" si="226"/>
        <v>-61</v>
      </c>
      <c r="AQ170" s="1">
        <f t="shared" si="227"/>
        <v>-60</v>
      </c>
      <c r="AR170" s="1">
        <f t="shared" si="228"/>
        <v>-62</v>
      </c>
      <c r="AS170" s="1">
        <f t="shared" si="229"/>
        <v>-65</v>
      </c>
      <c r="AT170" s="1">
        <f t="shared" si="230"/>
        <v>-66</v>
      </c>
      <c r="AU170" s="4">
        <f t="shared" si="231"/>
        <v>-66</v>
      </c>
      <c r="AW170" s="3">
        <f t="shared" si="232"/>
        <v>-62</v>
      </c>
      <c r="AX170" s="1">
        <f t="shared" si="233"/>
        <v>-64</v>
      </c>
      <c r="AY170" s="1">
        <f t="shared" si="234"/>
        <v>-63</v>
      </c>
      <c r="AZ170" s="1">
        <f t="shared" si="235"/>
        <v>-62</v>
      </c>
      <c r="BA170" s="1">
        <f t="shared" si="236"/>
        <v>-64</v>
      </c>
      <c r="BB170" s="1">
        <f t="shared" si="237"/>
        <v>-67</v>
      </c>
      <c r="BC170" s="1">
        <f t="shared" si="238"/>
        <v>-68</v>
      </c>
      <c r="BD170" s="4">
        <f t="shared" si="239"/>
        <v>-68</v>
      </c>
      <c r="BF170" s="3">
        <v>-6</v>
      </c>
      <c r="BG170" s="1">
        <v>-6</v>
      </c>
      <c r="BH170" s="1">
        <v>-7</v>
      </c>
      <c r="BI170" s="1">
        <v>-8</v>
      </c>
      <c r="BJ170" s="1">
        <v>-7</v>
      </c>
      <c r="BK170" s="1">
        <v>-7</v>
      </c>
      <c r="BL170" s="1">
        <v>-4</v>
      </c>
      <c r="BM170" s="4">
        <v>-4</v>
      </c>
      <c r="BO170" s="3">
        <v>-11</v>
      </c>
      <c r="BP170" s="1">
        <v>-11</v>
      </c>
      <c r="BQ170" s="1">
        <v>-12</v>
      </c>
      <c r="BR170" s="1">
        <v>-13</v>
      </c>
      <c r="BS170" s="1">
        <v>-12</v>
      </c>
      <c r="BT170" s="1">
        <v>-11</v>
      </c>
      <c r="BU170" s="1">
        <v>-7</v>
      </c>
      <c r="BV170" s="4">
        <v>-7</v>
      </c>
      <c r="BX170" s="3">
        <v>-26</v>
      </c>
      <c r="BY170" s="1">
        <v>-28</v>
      </c>
      <c r="BZ170" s="1">
        <v>-29</v>
      </c>
      <c r="CA170" s="1">
        <v>-29</v>
      </c>
      <c r="CB170" s="1">
        <v>-30</v>
      </c>
      <c r="CC170" s="1">
        <v>-31</v>
      </c>
      <c r="CD170" s="1">
        <v>-29</v>
      </c>
      <c r="CE170" s="4">
        <v>-29</v>
      </c>
      <c r="CG170" s="3">
        <v>-2</v>
      </c>
      <c r="CH170" s="1">
        <v>-2</v>
      </c>
      <c r="CI170" s="1">
        <v>-2</v>
      </c>
      <c r="CJ170" s="1">
        <v>-2</v>
      </c>
      <c r="CK170" s="1">
        <v>-2</v>
      </c>
      <c r="CL170" s="1">
        <v>-2</v>
      </c>
      <c r="CM170" s="1">
        <v>-2</v>
      </c>
      <c r="CN170" s="4">
        <v>-2</v>
      </c>
      <c r="CP170" s="3">
        <v>-4</v>
      </c>
      <c r="CQ170" s="1">
        <v>-4</v>
      </c>
      <c r="CR170" s="1">
        <v>-4</v>
      </c>
      <c r="CS170" s="1">
        <v>-4</v>
      </c>
      <c r="CT170" s="1">
        <v>-4</v>
      </c>
      <c r="CU170" s="1">
        <v>-4</v>
      </c>
      <c r="CV170" s="1">
        <v>-4</v>
      </c>
      <c r="CW170" s="4">
        <v>-4</v>
      </c>
    </row>
    <row r="171" spans="1:101">
      <c r="A171" s="8" t="str">
        <f>VLOOKUP(B171,List!W:X,2,1)</f>
        <v>1.40 - 1.49</v>
      </c>
      <c r="B171" s="8">
        <v>1.4</v>
      </c>
      <c r="C171" s="8" t="s">
        <v>8</v>
      </c>
      <c r="D171" s="3">
        <v>-32</v>
      </c>
      <c r="E171" s="1">
        <v>-32</v>
      </c>
      <c r="F171" s="1">
        <v>-26</v>
      </c>
      <c r="G171" s="1">
        <v>-25</v>
      </c>
      <c r="H171" s="1">
        <v>-23</v>
      </c>
      <c r="I171" s="1">
        <v>-20</v>
      </c>
      <c r="J171" s="1">
        <v>-19</v>
      </c>
      <c r="K171" s="4">
        <v>-19</v>
      </c>
      <c r="M171" s="3">
        <f t="shared" si="200"/>
        <v>-45</v>
      </c>
      <c r="N171" s="1">
        <f t="shared" si="201"/>
        <v>-45</v>
      </c>
      <c r="O171" s="1">
        <f t="shared" si="202"/>
        <v>-35</v>
      </c>
      <c r="P171" s="1">
        <f t="shared" si="203"/>
        <v>-34</v>
      </c>
      <c r="Q171" s="1">
        <f t="shared" si="204"/>
        <v>-32</v>
      </c>
      <c r="R171" s="1">
        <f t="shared" si="205"/>
        <v>-29</v>
      </c>
      <c r="S171" s="1">
        <f t="shared" si="206"/>
        <v>-26</v>
      </c>
      <c r="T171" s="4">
        <f t="shared" si="207"/>
        <v>-26</v>
      </c>
      <c r="V171" s="3">
        <f t="shared" si="208"/>
        <v>-65</v>
      </c>
      <c r="W171" s="1">
        <f t="shared" si="209"/>
        <v>-65</v>
      </c>
      <c r="X171" s="1">
        <f t="shared" si="210"/>
        <v>-54</v>
      </c>
      <c r="Y171" s="1">
        <f t="shared" si="211"/>
        <v>-51</v>
      </c>
      <c r="Z171" s="1">
        <f t="shared" si="212"/>
        <v>-47</v>
      </c>
      <c r="AA171" s="1">
        <f t="shared" si="213"/>
        <v>-42</v>
      </c>
      <c r="AB171" s="1">
        <f t="shared" si="214"/>
        <v>-39</v>
      </c>
      <c r="AC171" s="4">
        <f t="shared" si="215"/>
        <v>-39</v>
      </c>
      <c r="AE171" s="3">
        <f t="shared" si="216"/>
        <v>-65</v>
      </c>
      <c r="AF171" s="1">
        <f t="shared" si="217"/>
        <v>-65</v>
      </c>
      <c r="AG171" s="1">
        <f t="shared" si="218"/>
        <v>-60</v>
      </c>
      <c r="AH171" s="1">
        <f t="shared" si="219"/>
        <v>-59</v>
      </c>
      <c r="AI171" s="1">
        <f t="shared" si="220"/>
        <v>-59</v>
      </c>
      <c r="AJ171" s="1">
        <f t="shared" si="221"/>
        <v>-58</v>
      </c>
      <c r="AK171" s="1">
        <f t="shared" si="222"/>
        <v>-58</v>
      </c>
      <c r="AL171" s="4">
        <f t="shared" si="223"/>
        <v>-54</v>
      </c>
      <c r="AN171" s="3">
        <f t="shared" si="224"/>
        <v>-69</v>
      </c>
      <c r="AO171" s="1">
        <f t="shared" si="225"/>
        <v>-69</v>
      </c>
      <c r="AP171" s="1">
        <f t="shared" si="226"/>
        <v>-64</v>
      </c>
      <c r="AQ171" s="1">
        <f t="shared" si="227"/>
        <v>-63</v>
      </c>
      <c r="AR171" s="1">
        <f t="shared" si="228"/>
        <v>-63</v>
      </c>
      <c r="AS171" s="1">
        <f t="shared" si="229"/>
        <v>-62</v>
      </c>
      <c r="AT171" s="1">
        <f t="shared" si="230"/>
        <v>-62</v>
      </c>
      <c r="AU171" s="4">
        <f t="shared" si="231"/>
        <v>-57</v>
      </c>
      <c r="AW171" s="3">
        <f t="shared" si="232"/>
        <v>-72</v>
      </c>
      <c r="AX171" s="1">
        <f t="shared" si="233"/>
        <v>-72</v>
      </c>
      <c r="AY171" s="1">
        <f t="shared" si="234"/>
        <v>-68</v>
      </c>
      <c r="AZ171" s="1">
        <f t="shared" si="235"/>
        <v>-67</v>
      </c>
      <c r="BA171" s="1">
        <f t="shared" si="236"/>
        <v>-67</v>
      </c>
      <c r="BB171" s="1">
        <f t="shared" si="237"/>
        <v>-65</v>
      </c>
      <c r="BC171" s="1">
        <f t="shared" si="238"/>
        <v>-65</v>
      </c>
      <c r="BD171" s="4">
        <f t="shared" si="239"/>
        <v>-60</v>
      </c>
      <c r="BF171" s="3">
        <v>-13</v>
      </c>
      <c r="BG171" s="1">
        <v>-13</v>
      </c>
      <c r="BH171" s="1">
        <v>-9</v>
      </c>
      <c r="BI171" s="1">
        <v>-9</v>
      </c>
      <c r="BJ171" s="1">
        <v>-9</v>
      </c>
      <c r="BK171" s="1">
        <v>-9</v>
      </c>
      <c r="BL171" s="1">
        <v>-7</v>
      </c>
      <c r="BM171" s="4">
        <v>-7</v>
      </c>
      <c r="BO171" s="3">
        <v>-20</v>
      </c>
      <c r="BP171" s="1">
        <v>-20</v>
      </c>
      <c r="BQ171" s="1">
        <v>-19</v>
      </c>
      <c r="BR171" s="1">
        <v>-17</v>
      </c>
      <c r="BS171" s="1">
        <v>-15</v>
      </c>
      <c r="BT171" s="1">
        <v>-13</v>
      </c>
      <c r="BU171" s="1">
        <v>-13</v>
      </c>
      <c r="BV171" s="4">
        <v>-13</v>
      </c>
      <c r="BX171" s="3">
        <v>-33</v>
      </c>
      <c r="BY171" s="1">
        <v>-33</v>
      </c>
      <c r="BZ171" s="1">
        <v>-34</v>
      </c>
      <c r="CA171" s="1">
        <v>-34</v>
      </c>
      <c r="CB171" s="1">
        <v>-36</v>
      </c>
      <c r="CC171" s="1">
        <v>-38</v>
      </c>
      <c r="CD171" s="1">
        <v>-39</v>
      </c>
      <c r="CE171" s="4">
        <v>-35</v>
      </c>
      <c r="CG171" s="3">
        <v>-4</v>
      </c>
      <c r="CH171" s="1">
        <v>-4</v>
      </c>
      <c r="CI171" s="1">
        <v>-4</v>
      </c>
      <c r="CJ171" s="1">
        <v>-4</v>
      </c>
      <c r="CK171" s="1">
        <v>-4</v>
      </c>
      <c r="CL171" s="1">
        <v>-4</v>
      </c>
      <c r="CM171" s="1">
        <v>-4</v>
      </c>
      <c r="CN171" s="4">
        <v>-3</v>
      </c>
      <c r="CP171" s="3">
        <v>-7</v>
      </c>
      <c r="CQ171" s="1">
        <v>-7</v>
      </c>
      <c r="CR171" s="1">
        <v>-8</v>
      </c>
      <c r="CS171" s="1">
        <v>-8</v>
      </c>
      <c r="CT171" s="1">
        <v>-8</v>
      </c>
      <c r="CU171" s="1">
        <v>-7</v>
      </c>
      <c r="CV171" s="1">
        <v>-7</v>
      </c>
      <c r="CW171" s="4">
        <v>-6</v>
      </c>
    </row>
    <row r="172" spans="1:101">
      <c r="A172" s="8" t="str">
        <f>VLOOKUP(B172,List!W:X,2,1)</f>
        <v>1.40 - 1.49</v>
      </c>
      <c r="B172" s="8">
        <v>1.4</v>
      </c>
      <c r="C172" s="8" t="s">
        <v>9</v>
      </c>
      <c r="D172" s="3">
        <v>-29</v>
      </c>
      <c r="E172" s="1">
        <v>-29</v>
      </c>
      <c r="F172" s="1">
        <v>-24</v>
      </c>
      <c r="G172" s="1">
        <v>-25</v>
      </c>
      <c r="H172" s="1">
        <v>-23</v>
      </c>
      <c r="I172" s="1">
        <v>-17</v>
      </c>
      <c r="J172" s="1">
        <v>-19</v>
      </c>
      <c r="K172" s="4">
        <v>-19</v>
      </c>
      <c r="M172" s="3">
        <f t="shared" si="200"/>
        <v>-42</v>
      </c>
      <c r="N172" s="1">
        <f t="shared" si="201"/>
        <v>-42</v>
      </c>
      <c r="O172" s="1">
        <f t="shared" si="202"/>
        <v>-36</v>
      </c>
      <c r="P172" s="1">
        <f t="shared" si="203"/>
        <v>-34</v>
      </c>
      <c r="Q172" s="1">
        <f t="shared" si="204"/>
        <v>-31</v>
      </c>
      <c r="R172" s="1">
        <f t="shared" si="205"/>
        <v>-26</v>
      </c>
      <c r="S172" s="1">
        <f t="shared" si="206"/>
        <v>-26</v>
      </c>
      <c r="T172" s="4">
        <f t="shared" si="207"/>
        <v>-26</v>
      </c>
      <c r="V172" s="3">
        <f t="shared" si="208"/>
        <v>-61</v>
      </c>
      <c r="W172" s="1">
        <f t="shared" si="209"/>
        <v>-61</v>
      </c>
      <c r="X172" s="1">
        <f t="shared" si="210"/>
        <v>-57</v>
      </c>
      <c r="Y172" s="1">
        <f t="shared" si="211"/>
        <v>-51</v>
      </c>
      <c r="Z172" s="1">
        <f t="shared" si="212"/>
        <v>-45</v>
      </c>
      <c r="AA172" s="1">
        <f t="shared" si="213"/>
        <v>-40</v>
      </c>
      <c r="AB172" s="1">
        <f t="shared" si="214"/>
        <v>-39</v>
      </c>
      <c r="AC172" s="4">
        <f t="shared" si="215"/>
        <v>-40</v>
      </c>
      <c r="AE172" s="3">
        <f t="shared" si="216"/>
        <v>-61</v>
      </c>
      <c r="AF172" s="1">
        <f t="shared" si="217"/>
        <v>-61</v>
      </c>
      <c r="AG172" s="1">
        <f t="shared" si="218"/>
        <v>-58</v>
      </c>
      <c r="AH172" s="1">
        <f t="shared" si="219"/>
        <v>-61</v>
      </c>
      <c r="AI172" s="1">
        <f t="shared" si="220"/>
        <v>-61</v>
      </c>
      <c r="AJ172" s="1">
        <f t="shared" si="221"/>
        <v>-54</v>
      </c>
      <c r="AK172" s="1">
        <f t="shared" si="222"/>
        <v>-58</v>
      </c>
      <c r="AL172" s="4">
        <f t="shared" si="223"/>
        <v>-55</v>
      </c>
      <c r="AN172" s="3">
        <f t="shared" si="224"/>
        <v>-65</v>
      </c>
      <c r="AO172" s="1">
        <f t="shared" si="225"/>
        <v>-65</v>
      </c>
      <c r="AP172" s="1">
        <f t="shared" si="226"/>
        <v>-62</v>
      </c>
      <c r="AQ172" s="1">
        <f t="shared" si="227"/>
        <v>-64</v>
      </c>
      <c r="AR172" s="1">
        <f t="shared" si="228"/>
        <v>-64</v>
      </c>
      <c r="AS172" s="1">
        <f t="shared" si="229"/>
        <v>-57</v>
      </c>
      <c r="AT172" s="1">
        <f t="shared" si="230"/>
        <v>-61</v>
      </c>
      <c r="AU172" s="4">
        <f t="shared" si="231"/>
        <v>-59</v>
      </c>
      <c r="AW172" s="3">
        <f t="shared" si="232"/>
        <v>-68</v>
      </c>
      <c r="AX172" s="1">
        <f t="shared" si="233"/>
        <v>-68</v>
      </c>
      <c r="AY172" s="1">
        <f t="shared" si="234"/>
        <v>-65</v>
      </c>
      <c r="AZ172" s="1">
        <f t="shared" si="235"/>
        <v>-67</v>
      </c>
      <c r="BA172" s="1">
        <f t="shared" si="236"/>
        <v>-66</v>
      </c>
      <c r="BB172" s="1">
        <f t="shared" si="237"/>
        <v>-59</v>
      </c>
      <c r="BC172" s="1">
        <f t="shared" si="238"/>
        <v>-63</v>
      </c>
      <c r="BD172" s="4">
        <f t="shared" si="239"/>
        <v>-61</v>
      </c>
      <c r="BF172" s="3">
        <v>-13</v>
      </c>
      <c r="BG172" s="1">
        <v>-13</v>
      </c>
      <c r="BH172" s="1">
        <v>-12</v>
      </c>
      <c r="BI172" s="1">
        <v>-9</v>
      </c>
      <c r="BJ172" s="1">
        <v>-8</v>
      </c>
      <c r="BK172" s="1">
        <v>-9</v>
      </c>
      <c r="BL172" s="1">
        <v>-7</v>
      </c>
      <c r="BM172" s="4">
        <v>-7</v>
      </c>
      <c r="BO172" s="3">
        <v>-19</v>
      </c>
      <c r="BP172" s="1">
        <v>-19</v>
      </c>
      <c r="BQ172" s="1">
        <v>-21</v>
      </c>
      <c r="BR172" s="1">
        <v>-17</v>
      </c>
      <c r="BS172" s="1">
        <v>-14</v>
      </c>
      <c r="BT172" s="1">
        <v>-14</v>
      </c>
      <c r="BU172" s="1">
        <v>-13</v>
      </c>
      <c r="BV172" s="4">
        <v>-14</v>
      </c>
      <c r="BX172" s="3">
        <v>-32</v>
      </c>
      <c r="BY172" s="1">
        <v>-32</v>
      </c>
      <c r="BZ172" s="1">
        <v>-34</v>
      </c>
      <c r="CA172" s="1">
        <v>-36</v>
      </c>
      <c r="CB172" s="1">
        <v>-38</v>
      </c>
      <c r="CC172" s="1">
        <v>-37</v>
      </c>
      <c r="CD172" s="1">
        <v>-39</v>
      </c>
      <c r="CE172" s="4">
        <v>-36</v>
      </c>
      <c r="CG172" s="3">
        <v>-4</v>
      </c>
      <c r="CH172" s="1">
        <v>-4</v>
      </c>
      <c r="CI172" s="1">
        <v>-4</v>
      </c>
      <c r="CJ172" s="1">
        <v>-3</v>
      </c>
      <c r="CK172" s="1">
        <v>-3</v>
      </c>
      <c r="CL172" s="1">
        <v>-3</v>
      </c>
      <c r="CM172" s="1">
        <v>-3</v>
      </c>
      <c r="CN172" s="4">
        <v>-4</v>
      </c>
      <c r="CP172" s="3">
        <v>-7</v>
      </c>
      <c r="CQ172" s="1">
        <v>-7</v>
      </c>
      <c r="CR172" s="1">
        <v>-7</v>
      </c>
      <c r="CS172" s="1">
        <v>-6</v>
      </c>
      <c r="CT172" s="1">
        <v>-5</v>
      </c>
      <c r="CU172" s="1">
        <v>-5</v>
      </c>
      <c r="CV172" s="1">
        <v>-5</v>
      </c>
      <c r="CW172" s="4">
        <v>-6</v>
      </c>
    </row>
    <row r="173" spans="1:101">
      <c r="A173" s="8" t="str">
        <f>VLOOKUP(B173,List!W:X,2,1)</f>
        <v>1.40 - 1.49</v>
      </c>
      <c r="B173" s="8">
        <v>1.4</v>
      </c>
      <c r="C173" s="8" t="s">
        <v>10</v>
      </c>
      <c r="D173" s="3">
        <v>-27</v>
      </c>
      <c r="E173" s="1">
        <v>-27</v>
      </c>
      <c r="F173" s="1">
        <v>-24</v>
      </c>
      <c r="G173" s="1">
        <v>-24</v>
      </c>
      <c r="H173" s="1">
        <v>-20</v>
      </c>
      <c r="I173" s="1">
        <v>-17</v>
      </c>
      <c r="J173" s="1">
        <v>-18</v>
      </c>
      <c r="K173" s="4">
        <v>-16</v>
      </c>
      <c r="M173" s="3">
        <f t="shared" si="200"/>
        <v>-39</v>
      </c>
      <c r="N173" s="1">
        <f t="shared" si="201"/>
        <v>-39</v>
      </c>
      <c r="O173" s="1">
        <f t="shared" si="202"/>
        <v>-35</v>
      </c>
      <c r="P173" s="1">
        <f t="shared" si="203"/>
        <v>-34</v>
      </c>
      <c r="Q173" s="1">
        <f t="shared" si="204"/>
        <v>-29</v>
      </c>
      <c r="R173" s="1">
        <f t="shared" si="205"/>
        <v>-26</v>
      </c>
      <c r="S173" s="1">
        <f t="shared" si="206"/>
        <v>-26</v>
      </c>
      <c r="T173" s="4">
        <f t="shared" si="207"/>
        <v>-25</v>
      </c>
      <c r="V173" s="3">
        <f t="shared" si="208"/>
        <v>-60</v>
      </c>
      <c r="W173" s="1">
        <f t="shared" si="209"/>
        <v>-60</v>
      </c>
      <c r="X173" s="1">
        <f t="shared" si="210"/>
        <v>-55</v>
      </c>
      <c r="Y173" s="1">
        <f t="shared" si="211"/>
        <v>-51</v>
      </c>
      <c r="Z173" s="1">
        <f t="shared" si="212"/>
        <v>-46</v>
      </c>
      <c r="AA173" s="1">
        <f t="shared" si="213"/>
        <v>-43</v>
      </c>
      <c r="AB173" s="1">
        <f t="shared" si="214"/>
        <v>-42</v>
      </c>
      <c r="AC173" s="4">
        <f t="shared" si="215"/>
        <v>-41</v>
      </c>
      <c r="AE173" s="3">
        <f t="shared" si="216"/>
        <v>-59</v>
      </c>
      <c r="AF173" s="1">
        <f t="shared" si="217"/>
        <v>-59</v>
      </c>
      <c r="AG173" s="1">
        <f t="shared" si="218"/>
        <v>-58</v>
      </c>
      <c r="AH173" s="1">
        <f t="shared" si="219"/>
        <v>-61</v>
      </c>
      <c r="AI173" s="1">
        <f t="shared" si="220"/>
        <v>-57</v>
      </c>
      <c r="AJ173" s="1">
        <f t="shared" si="221"/>
        <v>-55</v>
      </c>
      <c r="AK173" s="1">
        <f t="shared" si="222"/>
        <v>-54</v>
      </c>
      <c r="AL173" s="4">
        <f t="shared" si="223"/>
        <v>-50</v>
      </c>
      <c r="AN173" s="3">
        <f t="shared" si="224"/>
        <v>-62</v>
      </c>
      <c r="AO173" s="1">
        <f t="shared" si="225"/>
        <v>-62</v>
      </c>
      <c r="AP173" s="1">
        <f t="shared" si="226"/>
        <v>-62</v>
      </c>
      <c r="AQ173" s="1">
        <f t="shared" si="227"/>
        <v>-64</v>
      </c>
      <c r="AR173" s="1">
        <f t="shared" si="228"/>
        <v>-61</v>
      </c>
      <c r="AS173" s="1">
        <f t="shared" si="229"/>
        <v>-58</v>
      </c>
      <c r="AT173" s="1">
        <f t="shared" si="230"/>
        <v>-58</v>
      </c>
      <c r="AU173" s="4">
        <f t="shared" si="231"/>
        <v>-54</v>
      </c>
      <c r="AW173" s="3">
        <f t="shared" si="232"/>
        <v>-64</v>
      </c>
      <c r="AX173" s="1">
        <f t="shared" si="233"/>
        <v>-64</v>
      </c>
      <c r="AY173" s="1">
        <f t="shared" si="234"/>
        <v>-66</v>
      </c>
      <c r="AZ173" s="1">
        <f t="shared" si="235"/>
        <v>-66</v>
      </c>
      <c r="BA173" s="1">
        <f t="shared" si="236"/>
        <v>-63</v>
      </c>
      <c r="BB173" s="1">
        <f t="shared" si="237"/>
        <v>-60</v>
      </c>
      <c r="BC173" s="1">
        <f t="shared" si="238"/>
        <v>-61</v>
      </c>
      <c r="BD173" s="4">
        <f t="shared" si="239"/>
        <v>-57</v>
      </c>
      <c r="BF173" s="3">
        <v>-12</v>
      </c>
      <c r="BG173" s="1">
        <v>-12</v>
      </c>
      <c r="BH173" s="1">
        <v>-11</v>
      </c>
      <c r="BI173" s="1">
        <v>-10</v>
      </c>
      <c r="BJ173" s="1">
        <v>-9</v>
      </c>
      <c r="BK173" s="1">
        <v>-9</v>
      </c>
      <c r="BL173" s="1">
        <v>-8</v>
      </c>
      <c r="BM173" s="4">
        <v>-9</v>
      </c>
      <c r="BO173" s="3">
        <v>-21</v>
      </c>
      <c r="BP173" s="1">
        <v>-21</v>
      </c>
      <c r="BQ173" s="1">
        <v>-20</v>
      </c>
      <c r="BR173" s="1">
        <v>-17</v>
      </c>
      <c r="BS173" s="1">
        <v>-17</v>
      </c>
      <c r="BT173" s="1">
        <v>-17</v>
      </c>
      <c r="BU173" s="1">
        <v>-16</v>
      </c>
      <c r="BV173" s="4">
        <v>-16</v>
      </c>
      <c r="BX173" s="3">
        <v>-32</v>
      </c>
      <c r="BY173" s="1">
        <v>-32</v>
      </c>
      <c r="BZ173" s="1">
        <v>-34</v>
      </c>
      <c r="CA173" s="1">
        <v>-37</v>
      </c>
      <c r="CB173" s="1">
        <v>-37</v>
      </c>
      <c r="CC173" s="1">
        <v>-38</v>
      </c>
      <c r="CD173" s="1">
        <v>-36</v>
      </c>
      <c r="CE173" s="4">
        <v>-34</v>
      </c>
      <c r="CG173" s="3">
        <v>-3</v>
      </c>
      <c r="CH173" s="1">
        <v>-3</v>
      </c>
      <c r="CI173" s="1">
        <v>-4</v>
      </c>
      <c r="CJ173" s="1">
        <v>-3</v>
      </c>
      <c r="CK173" s="1">
        <v>-4</v>
      </c>
      <c r="CL173" s="1">
        <v>-3</v>
      </c>
      <c r="CM173" s="1">
        <v>-4</v>
      </c>
      <c r="CN173" s="4">
        <v>-4</v>
      </c>
      <c r="CP173" s="3">
        <v>-5</v>
      </c>
      <c r="CQ173" s="1">
        <v>-5</v>
      </c>
      <c r="CR173" s="1">
        <v>-8</v>
      </c>
      <c r="CS173" s="1">
        <v>-5</v>
      </c>
      <c r="CT173" s="1">
        <v>-6</v>
      </c>
      <c r="CU173" s="1">
        <v>-5</v>
      </c>
      <c r="CV173" s="1">
        <v>-7</v>
      </c>
      <c r="CW173" s="4">
        <v>-7</v>
      </c>
    </row>
    <row r="174" spans="1:101">
      <c r="A174" s="8" t="str">
        <f>VLOOKUP(B174,List!W:X,2,1)</f>
        <v>1.40 - 1.49</v>
      </c>
      <c r="B174" s="8">
        <v>1.4</v>
      </c>
      <c r="C174" s="8" t="s">
        <v>11</v>
      </c>
      <c r="D174" s="3">
        <v>-21</v>
      </c>
      <c r="E174" s="1">
        <v>-21</v>
      </c>
      <c r="F174" s="1">
        <v>-20</v>
      </c>
      <c r="G174" s="1">
        <v>-20</v>
      </c>
      <c r="H174" s="1">
        <v>-18</v>
      </c>
      <c r="I174" s="1">
        <v>-18</v>
      </c>
      <c r="J174" s="1">
        <v>-17</v>
      </c>
      <c r="K174" s="4">
        <v>-16</v>
      </c>
      <c r="M174" s="3">
        <f t="shared" si="200"/>
        <v>-32</v>
      </c>
      <c r="N174" s="1">
        <f t="shared" si="201"/>
        <v>-32</v>
      </c>
      <c r="O174" s="1">
        <f t="shared" si="202"/>
        <v>-32</v>
      </c>
      <c r="P174" s="1">
        <f t="shared" si="203"/>
        <v>-32</v>
      </c>
      <c r="Q174" s="1">
        <f t="shared" si="204"/>
        <v>-27</v>
      </c>
      <c r="R174" s="1">
        <f t="shared" si="205"/>
        <v>-27</v>
      </c>
      <c r="S174" s="1">
        <f t="shared" si="206"/>
        <v>-26</v>
      </c>
      <c r="T174" s="4">
        <f t="shared" si="207"/>
        <v>-25</v>
      </c>
      <c r="V174" s="3">
        <f t="shared" si="208"/>
        <v>-49</v>
      </c>
      <c r="W174" s="1">
        <f t="shared" si="209"/>
        <v>-49</v>
      </c>
      <c r="X174" s="1">
        <f t="shared" si="210"/>
        <v>-50</v>
      </c>
      <c r="Y174" s="1">
        <f t="shared" si="211"/>
        <v>-50</v>
      </c>
      <c r="Z174" s="1">
        <f t="shared" si="212"/>
        <v>-44</v>
      </c>
      <c r="AA174" s="1">
        <f t="shared" si="213"/>
        <v>-43</v>
      </c>
      <c r="AB174" s="1">
        <f t="shared" si="214"/>
        <v>-42</v>
      </c>
      <c r="AC174" s="4">
        <f t="shared" si="215"/>
        <v>-41</v>
      </c>
      <c r="AE174" s="3">
        <f t="shared" si="216"/>
        <v>-54</v>
      </c>
      <c r="AF174" s="1">
        <f t="shared" si="217"/>
        <v>-54</v>
      </c>
      <c r="AG174" s="1">
        <f t="shared" si="218"/>
        <v>-54</v>
      </c>
      <c r="AH174" s="1">
        <f t="shared" si="219"/>
        <v>-54</v>
      </c>
      <c r="AI174" s="1">
        <f t="shared" si="220"/>
        <v>-53</v>
      </c>
      <c r="AJ174" s="1">
        <f t="shared" si="221"/>
        <v>-52</v>
      </c>
      <c r="AK174" s="1">
        <f t="shared" si="222"/>
        <v>-50</v>
      </c>
      <c r="AL174" s="4">
        <f t="shared" si="223"/>
        <v>-48</v>
      </c>
      <c r="AN174" s="3">
        <f t="shared" si="224"/>
        <v>-58</v>
      </c>
      <c r="AO174" s="1">
        <f t="shared" si="225"/>
        <v>-58</v>
      </c>
      <c r="AP174" s="1">
        <f t="shared" si="226"/>
        <v>-57</v>
      </c>
      <c r="AQ174" s="1">
        <f t="shared" si="227"/>
        <v>-58</v>
      </c>
      <c r="AR174" s="1">
        <f t="shared" si="228"/>
        <v>-56</v>
      </c>
      <c r="AS174" s="1">
        <f t="shared" si="229"/>
        <v>-55</v>
      </c>
      <c r="AT174" s="1">
        <f t="shared" si="230"/>
        <v>-54</v>
      </c>
      <c r="AU174" s="4">
        <f t="shared" si="231"/>
        <v>-52</v>
      </c>
      <c r="AW174" s="3">
        <f t="shared" si="232"/>
        <v>-60</v>
      </c>
      <c r="AX174" s="1">
        <f t="shared" si="233"/>
        <v>-60</v>
      </c>
      <c r="AY174" s="1">
        <f t="shared" si="234"/>
        <v>-59</v>
      </c>
      <c r="AZ174" s="1">
        <f t="shared" si="235"/>
        <v>-60</v>
      </c>
      <c r="BA174" s="1">
        <f t="shared" si="236"/>
        <v>-59</v>
      </c>
      <c r="BB174" s="1">
        <f t="shared" si="237"/>
        <v>-57</v>
      </c>
      <c r="BC174" s="1">
        <f t="shared" si="238"/>
        <v>-57</v>
      </c>
      <c r="BD174" s="4">
        <f t="shared" si="239"/>
        <v>-54</v>
      </c>
      <c r="BF174" s="3">
        <v>-11</v>
      </c>
      <c r="BG174" s="1">
        <v>-11</v>
      </c>
      <c r="BH174" s="1">
        <v>-12</v>
      </c>
      <c r="BI174" s="1">
        <v>-12</v>
      </c>
      <c r="BJ174" s="1">
        <v>-9</v>
      </c>
      <c r="BK174" s="1">
        <v>-9</v>
      </c>
      <c r="BL174" s="1">
        <v>-9</v>
      </c>
      <c r="BM174" s="4">
        <v>-9</v>
      </c>
      <c r="BO174" s="3">
        <v>-17</v>
      </c>
      <c r="BP174" s="1">
        <v>-17</v>
      </c>
      <c r="BQ174" s="1">
        <v>-18</v>
      </c>
      <c r="BR174" s="1">
        <v>-18</v>
      </c>
      <c r="BS174" s="1">
        <v>-17</v>
      </c>
      <c r="BT174" s="1">
        <v>-16</v>
      </c>
      <c r="BU174" s="1">
        <v>-16</v>
      </c>
      <c r="BV174" s="4">
        <v>-16</v>
      </c>
      <c r="BX174" s="3">
        <v>-33</v>
      </c>
      <c r="BY174" s="1">
        <v>-33</v>
      </c>
      <c r="BZ174" s="1">
        <v>-34</v>
      </c>
      <c r="CA174" s="1">
        <v>-34</v>
      </c>
      <c r="CB174" s="1">
        <v>-35</v>
      </c>
      <c r="CC174" s="1">
        <v>-34</v>
      </c>
      <c r="CD174" s="1">
        <v>-33</v>
      </c>
      <c r="CE174" s="4">
        <v>-32</v>
      </c>
      <c r="CG174" s="3">
        <v>-4</v>
      </c>
      <c r="CH174" s="1">
        <v>-4</v>
      </c>
      <c r="CI174" s="1">
        <v>-3</v>
      </c>
      <c r="CJ174" s="1">
        <v>-4</v>
      </c>
      <c r="CK174" s="1">
        <v>-3</v>
      </c>
      <c r="CL174" s="1">
        <v>-3</v>
      </c>
      <c r="CM174" s="1">
        <v>-4</v>
      </c>
      <c r="CN174" s="4">
        <v>-4</v>
      </c>
      <c r="CP174" s="3">
        <v>-6</v>
      </c>
      <c r="CQ174" s="1">
        <v>-6</v>
      </c>
      <c r="CR174" s="1">
        <v>-5</v>
      </c>
      <c r="CS174" s="1">
        <v>-6</v>
      </c>
      <c r="CT174" s="1">
        <v>-6</v>
      </c>
      <c r="CU174" s="1">
        <v>-5</v>
      </c>
      <c r="CV174" s="1">
        <v>-7</v>
      </c>
      <c r="CW174" s="4">
        <v>-6</v>
      </c>
    </row>
    <row r="175" spans="1:101">
      <c r="A175" s="8" t="str">
        <f>VLOOKUP(B175,List!W:X,2,1)</f>
        <v>1.40 - 1.49</v>
      </c>
      <c r="B175" s="8">
        <v>1.4</v>
      </c>
      <c r="C175" s="8" t="s">
        <v>12</v>
      </c>
      <c r="D175" s="3">
        <v>-22</v>
      </c>
      <c r="E175" s="1">
        <v>-22</v>
      </c>
      <c r="F175" s="1">
        <v>-21</v>
      </c>
      <c r="G175" s="1">
        <v>-19</v>
      </c>
      <c r="H175" s="1">
        <v>-19</v>
      </c>
      <c r="I175" s="1">
        <v>-18</v>
      </c>
      <c r="J175" s="1">
        <v>-19</v>
      </c>
      <c r="K175" s="4">
        <v>-18</v>
      </c>
      <c r="M175" s="3">
        <f t="shared" si="200"/>
        <v>-32</v>
      </c>
      <c r="N175" s="1">
        <f t="shared" si="201"/>
        <v>-32</v>
      </c>
      <c r="O175" s="1">
        <f t="shared" si="202"/>
        <v>-32</v>
      </c>
      <c r="P175" s="1">
        <f t="shared" si="203"/>
        <v>-31</v>
      </c>
      <c r="Q175" s="1">
        <f t="shared" si="204"/>
        <v>-29</v>
      </c>
      <c r="R175" s="1">
        <f t="shared" si="205"/>
        <v>-28</v>
      </c>
      <c r="S175" s="1">
        <f t="shared" si="206"/>
        <v>-27</v>
      </c>
      <c r="T175" s="4">
        <f t="shared" si="207"/>
        <v>-26</v>
      </c>
      <c r="V175" s="3">
        <f t="shared" si="208"/>
        <v>-47</v>
      </c>
      <c r="W175" s="1">
        <f t="shared" si="209"/>
        <v>-47</v>
      </c>
      <c r="X175" s="1">
        <f t="shared" si="210"/>
        <v>-48</v>
      </c>
      <c r="Y175" s="1">
        <f t="shared" si="211"/>
        <v>-48</v>
      </c>
      <c r="Z175" s="1">
        <f t="shared" si="212"/>
        <v>-46</v>
      </c>
      <c r="AA175" s="1">
        <f t="shared" si="213"/>
        <v>-46</v>
      </c>
      <c r="AB175" s="1">
        <f t="shared" si="214"/>
        <v>-43</v>
      </c>
      <c r="AC175" s="4">
        <f t="shared" si="215"/>
        <v>-42</v>
      </c>
      <c r="AE175" s="3">
        <f t="shared" si="216"/>
        <v>-53</v>
      </c>
      <c r="AF175" s="1">
        <f t="shared" si="217"/>
        <v>-53</v>
      </c>
      <c r="AG175" s="1">
        <f t="shared" si="218"/>
        <v>-54</v>
      </c>
      <c r="AH175" s="1">
        <f t="shared" si="219"/>
        <v>-51</v>
      </c>
      <c r="AI175" s="1">
        <f t="shared" si="220"/>
        <v>-53</v>
      </c>
      <c r="AJ175" s="1">
        <f t="shared" si="221"/>
        <v>-51</v>
      </c>
      <c r="AK175" s="1">
        <f t="shared" si="222"/>
        <v>-52</v>
      </c>
      <c r="AL175" s="4">
        <f t="shared" si="223"/>
        <v>-51</v>
      </c>
      <c r="AN175" s="3">
        <f t="shared" si="224"/>
        <v>-56</v>
      </c>
      <c r="AO175" s="1">
        <f t="shared" si="225"/>
        <v>-56</v>
      </c>
      <c r="AP175" s="1">
        <f t="shared" si="226"/>
        <v>-57</v>
      </c>
      <c r="AQ175" s="1">
        <f t="shared" si="227"/>
        <v>-54</v>
      </c>
      <c r="AR175" s="1">
        <f t="shared" si="228"/>
        <v>-56</v>
      </c>
      <c r="AS175" s="1">
        <f t="shared" si="229"/>
        <v>-54</v>
      </c>
      <c r="AT175" s="1">
        <f t="shared" si="230"/>
        <v>-55</v>
      </c>
      <c r="AU175" s="4">
        <f t="shared" si="231"/>
        <v>-53</v>
      </c>
      <c r="AW175" s="3">
        <f t="shared" si="232"/>
        <v>-58</v>
      </c>
      <c r="AX175" s="1">
        <f t="shared" si="233"/>
        <v>-58</v>
      </c>
      <c r="AY175" s="1">
        <f t="shared" si="234"/>
        <v>-59</v>
      </c>
      <c r="AZ175" s="1">
        <f t="shared" si="235"/>
        <v>-56</v>
      </c>
      <c r="BA175" s="1">
        <f t="shared" si="236"/>
        <v>-58</v>
      </c>
      <c r="BB175" s="1">
        <f t="shared" si="237"/>
        <v>-56</v>
      </c>
      <c r="BC175" s="1">
        <f t="shared" si="238"/>
        <v>-57</v>
      </c>
      <c r="BD175" s="4">
        <f t="shared" si="239"/>
        <v>-55</v>
      </c>
      <c r="BF175" s="3">
        <v>-10</v>
      </c>
      <c r="BG175" s="1">
        <v>-10</v>
      </c>
      <c r="BH175" s="1">
        <v>-11</v>
      </c>
      <c r="BI175" s="1">
        <v>-12</v>
      </c>
      <c r="BJ175" s="1">
        <v>-10</v>
      </c>
      <c r="BK175" s="1">
        <v>-10</v>
      </c>
      <c r="BL175" s="1">
        <v>-8</v>
      </c>
      <c r="BM175" s="4">
        <v>-8</v>
      </c>
      <c r="BO175" s="3">
        <v>-15</v>
      </c>
      <c r="BP175" s="1">
        <v>-15</v>
      </c>
      <c r="BQ175" s="1">
        <v>-16</v>
      </c>
      <c r="BR175" s="1">
        <v>-17</v>
      </c>
      <c r="BS175" s="1">
        <v>-17</v>
      </c>
      <c r="BT175" s="1">
        <v>-18</v>
      </c>
      <c r="BU175" s="1">
        <v>-16</v>
      </c>
      <c r="BV175" s="4">
        <v>-16</v>
      </c>
      <c r="BX175" s="3">
        <v>-31</v>
      </c>
      <c r="BY175" s="1">
        <v>-31</v>
      </c>
      <c r="BZ175" s="1">
        <v>-33</v>
      </c>
      <c r="CA175" s="1">
        <v>-32</v>
      </c>
      <c r="CB175" s="1">
        <v>-34</v>
      </c>
      <c r="CC175" s="1">
        <v>-33</v>
      </c>
      <c r="CD175" s="1">
        <v>-33</v>
      </c>
      <c r="CE175" s="4">
        <v>-33</v>
      </c>
      <c r="CG175" s="3">
        <v>-3</v>
      </c>
      <c r="CH175" s="1">
        <v>-3</v>
      </c>
      <c r="CI175" s="1">
        <v>-3</v>
      </c>
      <c r="CJ175" s="1">
        <v>-3</v>
      </c>
      <c r="CK175" s="1">
        <v>-3</v>
      </c>
      <c r="CL175" s="1">
        <v>-3</v>
      </c>
      <c r="CM175" s="1">
        <v>-3</v>
      </c>
      <c r="CN175" s="4">
        <v>-2</v>
      </c>
      <c r="CP175" s="3">
        <v>-5</v>
      </c>
      <c r="CQ175" s="1">
        <v>-5</v>
      </c>
      <c r="CR175" s="1">
        <v>-5</v>
      </c>
      <c r="CS175" s="1">
        <v>-5</v>
      </c>
      <c r="CT175" s="1">
        <v>-5</v>
      </c>
      <c r="CU175" s="1">
        <v>-5</v>
      </c>
      <c r="CV175" s="1">
        <v>-5</v>
      </c>
      <c r="CW175" s="4">
        <v>-4</v>
      </c>
    </row>
    <row r="176" spans="1:101">
      <c r="A176" s="8" t="str">
        <f>VLOOKUP(B176,List!W:X,2,1)</f>
        <v>1.40 - 1.49</v>
      </c>
      <c r="B176" s="8">
        <v>1.4</v>
      </c>
      <c r="C176" s="8" t="s">
        <v>13</v>
      </c>
      <c r="D176" s="3">
        <v>-17</v>
      </c>
      <c r="E176" s="1">
        <v>-17</v>
      </c>
      <c r="F176" s="1">
        <v>-17</v>
      </c>
      <c r="G176" s="1">
        <v>-18</v>
      </c>
      <c r="H176" s="1">
        <v>-20</v>
      </c>
      <c r="I176" s="1">
        <v>-19</v>
      </c>
      <c r="J176" s="1">
        <v>-18</v>
      </c>
      <c r="K176" s="4">
        <v>-18</v>
      </c>
      <c r="M176" s="3">
        <f t="shared" si="200"/>
        <v>-28</v>
      </c>
      <c r="N176" s="1">
        <f t="shared" si="201"/>
        <v>-28</v>
      </c>
      <c r="O176" s="1">
        <f t="shared" si="202"/>
        <v>-28</v>
      </c>
      <c r="P176" s="1">
        <f t="shared" si="203"/>
        <v>-28</v>
      </c>
      <c r="Q176" s="1">
        <f t="shared" si="204"/>
        <v>-28</v>
      </c>
      <c r="R176" s="1">
        <f t="shared" si="205"/>
        <v>-26</v>
      </c>
      <c r="S176" s="1">
        <f t="shared" si="206"/>
        <v>-27</v>
      </c>
      <c r="T176" s="4">
        <f t="shared" si="207"/>
        <v>-27</v>
      </c>
      <c r="V176" s="3">
        <f t="shared" si="208"/>
        <v>-48</v>
      </c>
      <c r="W176" s="1">
        <f t="shared" si="209"/>
        <v>-48</v>
      </c>
      <c r="X176" s="1">
        <f t="shared" si="210"/>
        <v>-47</v>
      </c>
      <c r="Y176" s="1">
        <f t="shared" si="211"/>
        <v>-44</v>
      </c>
      <c r="Z176" s="1">
        <f t="shared" si="212"/>
        <v>-43</v>
      </c>
      <c r="AA176" s="1">
        <f t="shared" si="213"/>
        <v>-41</v>
      </c>
      <c r="AB176" s="1">
        <f t="shared" si="214"/>
        <v>-41</v>
      </c>
      <c r="AC176" s="4">
        <f t="shared" si="215"/>
        <v>-41</v>
      </c>
      <c r="AE176" s="3">
        <f t="shared" si="216"/>
        <v>-48</v>
      </c>
      <c r="AF176" s="1">
        <f t="shared" si="217"/>
        <v>-48</v>
      </c>
      <c r="AG176" s="1">
        <f t="shared" si="218"/>
        <v>-48</v>
      </c>
      <c r="AH176" s="1">
        <f t="shared" si="219"/>
        <v>-50</v>
      </c>
      <c r="AI176" s="1">
        <f t="shared" si="220"/>
        <v>-55</v>
      </c>
      <c r="AJ176" s="1">
        <f t="shared" si="221"/>
        <v>-52</v>
      </c>
      <c r="AK176" s="1">
        <f t="shared" si="222"/>
        <v>-50</v>
      </c>
      <c r="AL176" s="4">
        <f t="shared" si="223"/>
        <v>-50</v>
      </c>
      <c r="AN176" s="3">
        <f t="shared" si="224"/>
        <v>-51</v>
      </c>
      <c r="AO176" s="1">
        <f t="shared" si="225"/>
        <v>-51</v>
      </c>
      <c r="AP176" s="1">
        <f t="shared" si="226"/>
        <v>-51</v>
      </c>
      <c r="AQ176" s="1">
        <f t="shared" si="227"/>
        <v>-53</v>
      </c>
      <c r="AR176" s="1">
        <f t="shared" si="228"/>
        <v>-58</v>
      </c>
      <c r="AS176" s="1">
        <f t="shared" si="229"/>
        <v>-55</v>
      </c>
      <c r="AT176" s="1">
        <f t="shared" si="230"/>
        <v>-53</v>
      </c>
      <c r="AU176" s="4">
        <f t="shared" si="231"/>
        <v>-53</v>
      </c>
      <c r="AW176" s="3">
        <f t="shared" si="232"/>
        <v>-53</v>
      </c>
      <c r="AX176" s="1">
        <f t="shared" si="233"/>
        <v>-53</v>
      </c>
      <c r="AY176" s="1">
        <f t="shared" si="234"/>
        <v>-54</v>
      </c>
      <c r="AZ176" s="1">
        <f t="shared" si="235"/>
        <v>-55</v>
      </c>
      <c r="BA176" s="1">
        <f t="shared" si="236"/>
        <v>-60</v>
      </c>
      <c r="BB176" s="1">
        <f t="shared" si="237"/>
        <v>-57</v>
      </c>
      <c r="BC176" s="1">
        <f t="shared" si="238"/>
        <v>-55</v>
      </c>
      <c r="BD176" s="4">
        <f t="shared" si="239"/>
        <v>-55</v>
      </c>
      <c r="BF176" s="3">
        <v>-11</v>
      </c>
      <c r="BG176" s="1">
        <v>-11</v>
      </c>
      <c r="BH176" s="1">
        <v>-11</v>
      </c>
      <c r="BI176" s="1">
        <v>-10</v>
      </c>
      <c r="BJ176" s="1">
        <v>-8</v>
      </c>
      <c r="BK176" s="1">
        <v>-7</v>
      </c>
      <c r="BL176" s="1">
        <v>-9</v>
      </c>
      <c r="BM176" s="4">
        <v>-9</v>
      </c>
      <c r="BO176" s="3">
        <v>-20</v>
      </c>
      <c r="BP176" s="1">
        <v>-20</v>
      </c>
      <c r="BQ176" s="1">
        <v>-19</v>
      </c>
      <c r="BR176" s="1">
        <v>-16</v>
      </c>
      <c r="BS176" s="1">
        <v>-15</v>
      </c>
      <c r="BT176" s="1">
        <v>-15</v>
      </c>
      <c r="BU176" s="1">
        <v>-14</v>
      </c>
      <c r="BV176" s="4">
        <v>-14</v>
      </c>
      <c r="BX176" s="3">
        <v>-31</v>
      </c>
      <c r="BY176" s="1">
        <v>-31</v>
      </c>
      <c r="BZ176" s="1">
        <v>-31</v>
      </c>
      <c r="CA176" s="1">
        <v>-32</v>
      </c>
      <c r="CB176" s="1">
        <v>-35</v>
      </c>
      <c r="CC176" s="1">
        <v>-33</v>
      </c>
      <c r="CD176" s="1">
        <v>-32</v>
      </c>
      <c r="CE176" s="4">
        <v>-32</v>
      </c>
      <c r="CG176" s="3">
        <v>-3</v>
      </c>
      <c r="CH176" s="1">
        <v>-3</v>
      </c>
      <c r="CI176" s="1">
        <v>-3</v>
      </c>
      <c r="CJ176" s="1">
        <v>-3</v>
      </c>
      <c r="CK176" s="1">
        <v>-3</v>
      </c>
      <c r="CL176" s="1">
        <v>-3</v>
      </c>
      <c r="CM176" s="1">
        <v>-3</v>
      </c>
      <c r="CN176" s="4">
        <v>-3</v>
      </c>
      <c r="CP176" s="3">
        <v>-5</v>
      </c>
      <c r="CQ176" s="1">
        <v>-5</v>
      </c>
      <c r="CR176" s="1">
        <v>-6</v>
      </c>
      <c r="CS176" s="1">
        <v>-5</v>
      </c>
      <c r="CT176" s="1">
        <v>-5</v>
      </c>
      <c r="CU176" s="1">
        <v>-5</v>
      </c>
      <c r="CV176" s="1">
        <v>-5</v>
      </c>
      <c r="CW176" s="4">
        <v>-5</v>
      </c>
    </row>
    <row r="177" spans="1:101">
      <c r="A177" s="8" t="str">
        <f>VLOOKUP(B177,List!W:X,2,1)</f>
        <v>1.40 - 1.49</v>
      </c>
      <c r="B177" s="8">
        <v>1.4</v>
      </c>
      <c r="C177" s="8" t="s">
        <v>14</v>
      </c>
      <c r="D177" s="3">
        <v>-17</v>
      </c>
      <c r="E177" s="1">
        <v>-17</v>
      </c>
      <c r="F177" s="1">
        <v>-17</v>
      </c>
      <c r="G177" s="1">
        <v>-17</v>
      </c>
      <c r="H177" s="1">
        <v>-20</v>
      </c>
      <c r="I177" s="1">
        <v>-21</v>
      </c>
      <c r="J177" s="1">
        <v>-19</v>
      </c>
      <c r="K177" s="4">
        <v>-19</v>
      </c>
      <c r="M177" s="3">
        <f t="shared" si="200"/>
        <v>-29</v>
      </c>
      <c r="N177" s="1">
        <f t="shared" si="201"/>
        <v>-29</v>
      </c>
      <c r="O177" s="1">
        <f t="shared" si="202"/>
        <v>-28</v>
      </c>
      <c r="P177" s="1">
        <f t="shared" si="203"/>
        <v>-26</v>
      </c>
      <c r="Q177" s="1">
        <f t="shared" si="204"/>
        <v>-26</v>
      </c>
      <c r="R177" s="1">
        <f t="shared" si="205"/>
        <v>-27</v>
      </c>
      <c r="S177" s="1">
        <f t="shared" si="206"/>
        <v>-27</v>
      </c>
      <c r="T177" s="4">
        <f t="shared" si="207"/>
        <v>-27</v>
      </c>
      <c r="V177" s="3">
        <f t="shared" si="208"/>
        <v>-49</v>
      </c>
      <c r="W177" s="1">
        <f t="shared" si="209"/>
        <v>-49</v>
      </c>
      <c r="X177" s="1">
        <f t="shared" si="210"/>
        <v>-46</v>
      </c>
      <c r="Y177" s="1">
        <f t="shared" si="211"/>
        <v>-41</v>
      </c>
      <c r="Z177" s="1">
        <f t="shared" si="212"/>
        <v>-38</v>
      </c>
      <c r="AA177" s="1">
        <f t="shared" si="213"/>
        <v>-40</v>
      </c>
      <c r="AB177" s="1">
        <f t="shared" si="214"/>
        <v>-40</v>
      </c>
      <c r="AC177" s="4">
        <f t="shared" si="215"/>
        <v>-40</v>
      </c>
      <c r="AE177" s="3">
        <f t="shared" si="216"/>
        <v>-47</v>
      </c>
      <c r="AF177" s="1">
        <f t="shared" si="217"/>
        <v>-49</v>
      </c>
      <c r="AG177" s="1">
        <f t="shared" si="218"/>
        <v>-50</v>
      </c>
      <c r="AH177" s="1">
        <f t="shared" si="219"/>
        <v>-49</v>
      </c>
      <c r="AI177" s="1">
        <f t="shared" si="220"/>
        <v>-52</v>
      </c>
      <c r="AJ177" s="1">
        <f t="shared" si="221"/>
        <v>-55</v>
      </c>
      <c r="AK177" s="1">
        <f t="shared" si="222"/>
        <v>-52</v>
      </c>
      <c r="AL177" s="4">
        <f t="shared" si="223"/>
        <v>-54</v>
      </c>
      <c r="AN177" s="3">
        <f t="shared" si="224"/>
        <v>-50</v>
      </c>
      <c r="AO177" s="1">
        <f t="shared" si="225"/>
        <v>-52</v>
      </c>
      <c r="AP177" s="1">
        <f t="shared" si="226"/>
        <v>-53</v>
      </c>
      <c r="AQ177" s="1">
        <f t="shared" si="227"/>
        <v>-53</v>
      </c>
      <c r="AR177" s="1">
        <f t="shared" si="228"/>
        <v>-55</v>
      </c>
      <c r="AS177" s="1">
        <f t="shared" si="229"/>
        <v>-58</v>
      </c>
      <c r="AT177" s="1">
        <f t="shared" si="230"/>
        <v>-55</v>
      </c>
      <c r="AU177" s="4">
        <f t="shared" si="231"/>
        <v>-56</v>
      </c>
      <c r="AW177" s="3">
        <f t="shared" si="232"/>
        <v>-52</v>
      </c>
      <c r="AX177" s="1">
        <f t="shared" si="233"/>
        <v>-54</v>
      </c>
      <c r="AY177" s="1">
        <f t="shared" si="234"/>
        <v>-55</v>
      </c>
      <c r="AZ177" s="1">
        <f t="shared" si="235"/>
        <v>-55</v>
      </c>
      <c r="BA177" s="1">
        <f t="shared" si="236"/>
        <v>-58</v>
      </c>
      <c r="BB177" s="1">
        <f t="shared" si="237"/>
        <v>-60</v>
      </c>
      <c r="BC177" s="1">
        <f t="shared" si="238"/>
        <v>-57</v>
      </c>
      <c r="BD177" s="4">
        <f t="shared" si="239"/>
        <v>-58</v>
      </c>
      <c r="BF177" s="3">
        <v>-12</v>
      </c>
      <c r="BG177" s="1">
        <v>-12</v>
      </c>
      <c r="BH177" s="1">
        <v>-11</v>
      </c>
      <c r="BI177" s="1">
        <v>-9</v>
      </c>
      <c r="BJ177" s="1">
        <v>-6</v>
      </c>
      <c r="BK177" s="1">
        <v>-6</v>
      </c>
      <c r="BL177" s="1">
        <v>-8</v>
      </c>
      <c r="BM177" s="4">
        <v>-8</v>
      </c>
      <c r="BO177" s="3">
        <v>-20</v>
      </c>
      <c r="BP177" s="1">
        <v>-20</v>
      </c>
      <c r="BQ177" s="1">
        <v>-18</v>
      </c>
      <c r="BR177" s="1">
        <v>-15</v>
      </c>
      <c r="BS177" s="1">
        <v>-12</v>
      </c>
      <c r="BT177" s="1">
        <v>-13</v>
      </c>
      <c r="BU177" s="1">
        <v>-13</v>
      </c>
      <c r="BV177" s="4">
        <v>-13</v>
      </c>
      <c r="BX177" s="3">
        <v>-30</v>
      </c>
      <c r="BY177" s="1">
        <v>-32</v>
      </c>
      <c r="BZ177" s="1">
        <v>-33</v>
      </c>
      <c r="CA177" s="1">
        <v>-32</v>
      </c>
      <c r="CB177" s="1">
        <v>-32</v>
      </c>
      <c r="CC177" s="1">
        <v>-34</v>
      </c>
      <c r="CD177" s="1">
        <v>-33</v>
      </c>
      <c r="CE177" s="4">
        <v>-35</v>
      </c>
      <c r="CG177" s="3">
        <v>-3</v>
      </c>
      <c r="CH177" s="1">
        <v>-3</v>
      </c>
      <c r="CI177" s="1">
        <v>-3</v>
      </c>
      <c r="CJ177" s="1">
        <v>-4</v>
      </c>
      <c r="CK177" s="1">
        <v>-3</v>
      </c>
      <c r="CL177" s="1">
        <v>-3</v>
      </c>
      <c r="CM177" s="1">
        <v>-3</v>
      </c>
      <c r="CN177" s="4">
        <v>-2</v>
      </c>
      <c r="CP177" s="3">
        <v>-5</v>
      </c>
      <c r="CQ177" s="1">
        <v>-5</v>
      </c>
      <c r="CR177" s="1">
        <v>-5</v>
      </c>
      <c r="CS177" s="1">
        <v>-6</v>
      </c>
      <c r="CT177" s="1">
        <v>-6</v>
      </c>
      <c r="CU177" s="1">
        <v>-5</v>
      </c>
      <c r="CV177" s="1">
        <v>-5</v>
      </c>
      <c r="CW177" s="4">
        <v>-4</v>
      </c>
    </row>
    <row r="178" spans="1:101">
      <c r="A178" s="9" t="str">
        <f>VLOOKUP(B178,List!W:X,2,1)</f>
        <v>1.40 - 1.49</v>
      </c>
      <c r="B178" s="9">
        <v>1.4</v>
      </c>
      <c r="C178" s="9" t="s">
        <v>15</v>
      </c>
      <c r="D178" s="5">
        <v>-17</v>
      </c>
      <c r="E178" s="6">
        <v>-17</v>
      </c>
      <c r="F178" s="6">
        <v>-17</v>
      </c>
      <c r="G178" s="6">
        <v>-17</v>
      </c>
      <c r="H178" s="6">
        <v>-19</v>
      </c>
      <c r="I178" s="6">
        <v>-20</v>
      </c>
      <c r="J178" s="6">
        <v>-19</v>
      </c>
      <c r="K178" s="7">
        <v>-19</v>
      </c>
      <c r="M178" s="5">
        <f t="shared" si="200"/>
        <v>-27</v>
      </c>
      <c r="N178" s="6">
        <f t="shared" si="201"/>
        <v>-27</v>
      </c>
      <c r="O178" s="6">
        <f t="shared" si="202"/>
        <v>-26</v>
      </c>
      <c r="P178" s="6">
        <f t="shared" si="203"/>
        <v>-26</v>
      </c>
      <c r="Q178" s="6">
        <f t="shared" si="204"/>
        <v>-27</v>
      </c>
      <c r="R178" s="6">
        <f t="shared" si="205"/>
        <v>-27</v>
      </c>
      <c r="S178" s="6">
        <f t="shared" si="206"/>
        <v>-27</v>
      </c>
      <c r="T178" s="7">
        <f t="shared" si="207"/>
        <v>-27</v>
      </c>
      <c r="V178" s="5">
        <f t="shared" si="208"/>
        <v>-42</v>
      </c>
      <c r="W178" s="6">
        <f t="shared" si="209"/>
        <v>-42</v>
      </c>
      <c r="X178" s="6">
        <f t="shared" si="210"/>
        <v>-40</v>
      </c>
      <c r="Y178" s="6">
        <f t="shared" si="211"/>
        <v>-40</v>
      </c>
      <c r="Z178" s="6">
        <f t="shared" si="212"/>
        <v>-40</v>
      </c>
      <c r="AA178" s="6">
        <f t="shared" si="213"/>
        <v>-41</v>
      </c>
      <c r="AB178" s="6">
        <f t="shared" si="214"/>
        <v>-40</v>
      </c>
      <c r="AC178" s="7">
        <f t="shared" si="215"/>
        <v>-40</v>
      </c>
      <c r="AE178" s="5">
        <f t="shared" si="216"/>
        <v>-47</v>
      </c>
      <c r="AF178" s="6">
        <f t="shared" si="217"/>
        <v>-49</v>
      </c>
      <c r="AG178" s="6">
        <f t="shared" si="218"/>
        <v>-50</v>
      </c>
      <c r="AH178" s="6">
        <f t="shared" si="219"/>
        <v>-50</v>
      </c>
      <c r="AI178" s="6">
        <f t="shared" si="220"/>
        <v>-53</v>
      </c>
      <c r="AJ178" s="6">
        <f t="shared" si="221"/>
        <v>-55</v>
      </c>
      <c r="AK178" s="6">
        <f t="shared" si="222"/>
        <v>-52</v>
      </c>
      <c r="AL178" s="7">
        <f t="shared" si="223"/>
        <v>-52</v>
      </c>
      <c r="AN178" s="5">
        <f t="shared" si="224"/>
        <v>-49</v>
      </c>
      <c r="AO178" s="6">
        <f t="shared" si="225"/>
        <v>-51</v>
      </c>
      <c r="AP178" s="6">
        <f t="shared" si="226"/>
        <v>-52</v>
      </c>
      <c r="AQ178" s="6">
        <f t="shared" si="227"/>
        <v>-52</v>
      </c>
      <c r="AR178" s="6">
        <f t="shared" si="228"/>
        <v>-55</v>
      </c>
      <c r="AS178" s="6">
        <f t="shared" si="229"/>
        <v>-57</v>
      </c>
      <c r="AT178" s="6">
        <f t="shared" si="230"/>
        <v>-54</v>
      </c>
      <c r="AU178" s="7">
        <f t="shared" si="231"/>
        <v>-54</v>
      </c>
      <c r="AW178" s="5">
        <f t="shared" si="232"/>
        <v>-51</v>
      </c>
      <c r="AX178" s="6">
        <f t="shared" si="233"/>
        <v>-53</v>
      </c>
      <c r="AY178" s="6">
        <f t="shared" si="234"/>
        <v>-54</v>
      </c>
      <c r="AZ178" s="6">
        <f t="shared" si="235"/>
        <v>-54</v>
      </c>
      <c r="BA178" s="6">
        <f t="shared" si="236"/>
        <v>-57</v>
      </c>
      <c r="BB178" s="6">
        <f t="shared" si="237"/>
        <v>-59</v>
      </c>
      <c r="BC178" s="6">
        <f t="shared" si="238"/>
        <v>-56</v>
      </c>
      <c r="BD178" s="7">
        <f t="shared" si="239"/>
        <v>-56</v>
      </c>
      <c r="BF178" s="5">
        <v>-10</v>
      </c>
      <c r="BG178" s="6">
        <v>-10</v>
      </c>
      <c r="BH178" s="6">
        <v>-9</v>
      </c>
      <c r="BI178" s="6">
        <v>-9</v>
      </c>
      <c r="BJ178" s="6">
        <v>-8</v>
      </c>
      <c r="BK178" s="6">
        <v>-7</v>
      </c>
      <c r="BL178" s="6">
        <v>-8</v>
      </c>
      <c r="BM178" s="7">
        <v>-8</v>
      </c>
      <c r="BO178" s="5">
        <v>-15</v>
      </c>
      <c r="BP178" s="6">
        <v>-15</v>
      </c>
      <c r="BQ178" s="6">
        <v>-14</v>
      </c>
      <c r="BR178" s="6">
        <v>-14</v>
      </c>
      <c r="BS178" s="6">
        <v>-13</v>
      </c>
      <c r="BT178" s="6">
        <v>-14</v>
      </c>
      <c r="BU178" s="6">
        <v>-13</v>
      </c>
      <c r="BV178" s="7">
        <v>-13</v>
      </c>
      <c r="BX178" s="5">
        <v>-30</v>
      </c>
      <c r="BY178" s="6">
        <v>-32</v>
      </c>
      <c r="BZ178" s="6">
        <v>-33</v>
      </c>
      <c r="CA178" s="6">
        <v>-33</v>
      </c>
      <c r="CB178" s="6">
        <v>-34</v>
      </c>
      <c r="CC178" s="6">
        <v>-35</v>
      </c>
      <c r="CD178" s="6">
        <v>-33</v>
      </c>
      <c r="CE178" s="7">
        <v>-33</v>
      </c>
      <c r="CG178" s="5">
        <v>-2</v>
      </c>
      <c r="CH178" s="6">
        <v>-2</v>
      </c>
      <c r="CI178" s="6">
        <v>-2</v>
      </c>
      <c r="CJ178" s="6">
        <v>-2</v>
      </c>
      <c r="CK178" s="6">
        <v>-2</v>
      </c>
      <c r="CL178" s="6">
        <v>-2</v>
      </c>
      <c r="CM178" s="6">
        <v>-2</v>
      </c>
      <c r="CN178" s="7">
        <v>-2</v>
      </c>
      <c r="CP178" s="5">
        <v>-4</v>
      </c>
      <c r="CQ178" s="6">
        <v>-4</v>
      </c>
      <c r="CR178" s="6">
        <v>-4</v>
      </c>
      <c r="CS178" s="6">
        <v>-4</v>
      </c>
      <c r="CT178" s="6">
        <v>-4</v>
      </c>
      <c r="CU178" s="6">
        <v>-4</v>
      </c>
      <c r="CV178" s="6">
        <v>-4</v>
      </c>
      <c r="CW178" s="7">
        <v>-4</v>
      </c>
    </row>
  </sheetData>
  <autoFilter ref="B1:CW178" xr:uid="{00000000-0001-0000-0000-000000000000}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</autoFilter>
  <mergeCells count="14">
    <mergeCell ref="C1:C2"/>
    <mergeCell ref="B1:B2"/>
    <mergeCell ref="A1:A2"/>
    <mergeCell ref="CG1:CN1"/>
    <mergeCell ref="CP1:CW1"/>
    <mergeCell ref="D1:K1"/>
    <mergeCell ref="M1:T1"/>
    <mergeCell ref="V1:AC1"/>
    <mergeCell ref="AE1:AL1"/>
    <mergeCell ref="BF1:BM1"/>
    <mergeCell ref="BO1:BV1"/>
    <mergeCell ref="BX1:CE1"/>
    <mergeCell ref="AN1:AU1"/>
    <mergeCell ref="AW1:B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B9C3D-4A0B-463E-B7A4-DE8990DD672C}">
  <sheetPr codeName="Sheet2"/>
  <dimension ref="A1:X2047"/>
  <sheetViews>
    <sheetView workbookViewId="0">
      <selection activeCell="T9" sqref="T9"/>
    </sheetView>
  </sheetViews>
  <sheetFormatPr defaultRowHeight="15"/>
  <cols>
    <col min="1" max="1" width="2.28515625" style="1" customWidth="1"/>
    <col min="2" max="2" width="2.85546875" style="1" customWidth="1"/>
    <col min="3" max="3" width="5.7109375" style="1" customWidth="1"/>
    <col min="4" max="4" width="7.140625" style="1" customWidth="1"/>
    <col min="5" max="5" width="4.42578125" style="1" customWidth="1"/>
    <col min="6" max="6" width="5.140625" style="1" customWidth="1"/>
    <col min="7" max="7" width="2.28515625" style="1" customWidth="1"/>
    <col min="8" max="8" width="2.7109375" style="1" customWidth="1"/>
    <col min="9" max="9" width="7.42578125" style="1" customWidth="1"/>
    <col min="10" max="10" width="7.140625" style="1" customWidth="1"/>
    <col min="11" max="11" width="5.85546875" style="1" customWidth="1"/>
    <col min="12" max="12" width="8.5703125" style="1" customWidth="1"/>
    <col min="13" max="13" width="8.85546875" style="1" customWidth="1"/>
    <col min="14" max="14" width="12" style="1" customWidth="1"/>
    <col min="15" max="15" width="24.85546875" style="1" customWidth="1"/>
    <col min="16" max="16" width="14.28515625" style="1" customWidth="1"/>
    <col min="17" max="18" width="2.7109375" style="1" customWidth="1"/>
    <col min="20" max="20" width="12" style="1" customWidth="1"/>
    <col min="21" max="21" width="8.42578125" bestFit="1" customWidth="1"/>
    <col min="24" max="24" width="9.7109375" bestFit="1" customWidth="1"/>
  </cols>
  <sheetData>
    <row r="1" spans="2:24" ht="18.75" customHeight="1">
      <c r="H1" s="11"/>
      <c r="I1" s="12" t="s">
        <v>44</v>
      </c>
      <c r="J1" s="12" t="s">
        <v>45</v>
      </c>
      <c r="K1" s="12" t="s">
        <v>25</v>
      </c>
      <c r="L1" s="12" t="s">
        <v>46</v>
      </c>
      <c r="M1" s="12" t="s">
        <v>47</v>
      </c>
      <c r="N1" s="12" t="s">
        <v>48</v>
      </c>
      <c r="O1" s="12" t="s">
        <v>49</v>
      </c>
      <c r="P1" s="13">
        <v>46101</v>
      </c>
      <c r="Q1" s="11"/>
      <c r="R1" s="11"/>
      <c r="T1" s="12" t="s">
        <v>48</v>
      </c>
      <c r="U1" s="12" t="s">
        <v>2145</v>
      </c>
      <c r="W1" s="14" t="s">
        <v>24</v>
      </c>
    </row>
    <row r="2" spans="2:24">
      <c r="B2" s="1" t="s">
        <v>8</v>
      </c>
      <c r="C2" s="1" t="s">
        <v>0</v>
      </c>
      <c r="D2" s="1" t="s">
        <v>51</v>
      </c>
      <c r="E2" s="1" t="s">
        <v>23</v>
      </c>
      <c r="F2" s="1" t="s">
        <v>52</v>
      </c>
      <c r="H2" s="11"/>
      <c r="I2" s="1" t="s">
        <v>50</v>
      </c>
      <c r="J2" s="1" t="s">
        <v>1</v>
      </c>
      <c r="K2" s="1" t="s">
        <v>8</v>
      </c>
      <c r="L2" s="1">
        <v>0.01</v>
      </c>
      <c r="M2" s="1">
        <v>0.03</v>
      </c>
      <c r="N2" s="1" t="s">
        <v>53</v>
      </c>
      <c r="O2" s="1" t="s">
        <v>54</v>
      </c>
      <c r="P2" s="1">
        <v>760</v>
      </c>
      <c r="Q2" s="11"/>
      <c r="R2" s="11"/>
      <c r="T2" s="1">
        <v>0.15</v>
      </c>
      <c r="U2" s="1">
        <v>26.36</v>
      </c>
      <c r="W2" s="15">
        <v>0.18</v>
      </c>
      <c r="X2" t="s">
        <v>30</v>
      </c>
    </row>
    <row r="3" spans="2:24">
      <c r="B3" s="1" t="s">
        <v>9</v>
      </c>
      <c r="C3" s="1" t="s">
        <v>1</v>
      </c>
      <c r="D3" s="1" t="s">
        <v>51</v>
      </c>
      <c r="E3" s="1" t="s">
        <v>55</v>
      </c>
      <c r="F3" s="1" t="s">
        <v>26</v>
      </c>
      <c r="H3" s="11"/>
      <c r="I3" s="1" t="s">
        <v>50</v>
      </c>
      <c r="J3" s="1" t="s">
        <v>2</v>
      </c>
      <c r="K3" s="1" t="s">
        <v>8</v>
      </c>
      <c r="L3" s="1">
        <v>0.01</v>
      </c>
      <c r="M3" s="1">
        <v>0.03</v>
      </c>
      <c r="N3" s="1" t="s">
        <v>53</v>
      </c>
      <c r="O3" s="1" t="s">
        <v>57</v>
      </c>
      <c r="P3" s="1">
        <v>760</v>
      </c>
      <c r="Q3" s="11"/>
      <c r="R3" s="11"/>
      <c r="T3" s="1">
        <v>0.23</v>
      </c>
      <c r="U3" s="1">
        <v>28.48</v>
      </c>
      <c r="W3" s="15">
        <v>0.2</v>
      </c>
      <c r="X3" s="16" t="s">
        <v>31</v>
      </c>
    </row>
    <row r="4" spans="2:24">
      <c r="B4" s="1" t="s">
        <v>10</v>
      </c>
      <c r="C4" s="1" t="s">
        <v>2</v>
      </c>
      <c r="D4" s="1" t="s">
        <v>51</v>
      </c>
      <c r="E4" s="1" t="s">
        <v>58</v>
      </c>
      <c r="F4" s="1" t="s">
        <v>59</v>
      </c>
      <c r="H4" s="11"/>
      <c r="I4" s="1" t="s">
        <v>50</v>
      </c>
      <c r="J4" s="1" t="s">
        <v>3</v>
      </c>
      <c r="K4" s="1" t="s">
        <v>8</v>
      </c>
      <c r="L4" s="1">
        <v>0.01</v>
      </c>
      <c r="M4" s="1">
        <v>0.03</v>
      </c>
      <c r="N4" s="1" t="s">
        <v>53</v>
      </c>
      <c r="O4" s="1" t="s">
        <v>61</v>
      </c>
      <c r="P4" s="1">
        <v>760</v>
      </c>
      <c r="Q4" s="11"/>
      <c r="R4" s="11"/>
      <c r="T4" s="1">
        <v>0.3</v>
      </c>
      <c r="U4" s="1">
        <v>34.79</v>
      </c>
      <c r="W4" s="15">
        <v>0.23</v>
      </c>
      <c r="X4" t="s">
        <v>32</v>
      </c>
    </row>
    <row r="5" spans="2:24">
      <c r="B5" s="1" t="s">
        <v>11</v>
      </c>
      <c r="C5" s="1" t="s">
        <v>3</v>
      </c>
      <c r="D5" s="1" t="s">
        <v>51</v>
      </c>
      <c r="F5" s="1" t="s">
        <v>62</v>
      </c>
      <c r="H5" s="11"/>
      <c r="I5" s="1" t="s">
        <v>50</v>
      </c>
      <c r="J5" s="1" t="s">
        <v>4</v>
      </c>
      <c r="K5" s="1" t="s">
        <v>8</v>
      </c>
      <c r="L5" s="1">
        <v>0.01</v>
      </c>
      <c r="M5" s="1">
        <v>0.03</v>
      </c>
      <c r="N5" s="1" t="s">
        <v>53</v>
      </c>
      <c r="O5" s="1" t="s">
        <v>64</v>
      </c>
      <c r="P5" s="1">
        <v>670</v>
      </c>
      <c r="Q5" s="11"/>
      <c r="R5" s="11"/>
      <c r="T5" s="1">
        <v>0.4</v>
      </c>
      <c r="U5" s="1">
        <v>35.85</v>
      </c>
      <c r="W5" s="15">
        <v>0.25</v>
      </c>
      <c r="X5" t="s">
        <v>2146</v>
      </c>
    </row>
    <row r="6" spans="2:24">
      <c r="B6" s="1" t="s">
        <v>12</v>
      </c>
      <c r="C6" s="1" t="s">
        <v>4</v>
      </c>
      <c r="D6" s="1" t="s">
        <v>65</v>
      </c>
      <c r="F6" s="1" t="s">
        <v>66</v>
      </c>
      <c r="H6" s="11"/>
      <c r="I6" s="1" t="s">
        <v>50</v>
      </c>
      <c r="J6" s="1" t="s">
        <v>5</v>
      </c>
      <c r="K6" s="1" t="s">
        <v>8</v>
      </c>
      <c r="L6" s="1">
        <v>0.01</v>
      </c>
      <c r="M6" s="1">
        <v>0.03</v>
      </c>
      <c r="N6" s="1" t="s">
        <v>53</v>
      </c>
      <c r="O6" s="1" t="s">
        <v>68</v>
      </c>
      <c r="P6" s="1">
        <v>670</v>
      </c>
      <c r="Q6" s="11"/>
      <c r="R6" s="11"/>
      <c r="T6" s="1">
        <v>0.5</v>
      </c>
      <c r="U6" s="1">
        <v>44.29</v>
      </c>
      <c r="W6" s="15">
        <v>0.28000000000000003</v>
      </c>
      <c r="X6" t="s">
        <v>2147</v>
      </c>
    </row>
    <row r="7" spans="2:24">
      <c r="B7" s="1" t="s">
        <v>13</v>
      </c>
      <c r="C7" s="1" t="s">
        <v>5</v>
      </c>
      <c r="D7" s="1" t="s">
        <v>65</v>
      </c>
      <c r="H7" s="11"/>
      <c r="I7" s="1" t="s">
        <v>50</v>
      </c>
      <c r="J7" s="1" t="s">
        <v>6</v>
      </c>
      <c r="K7" s="1" t="s">
        <v>8</v>
      </c>
      <c r="L7" s="1">
        <v>0.01</v>
      </c>
      <c r="M7" s="1">
        <v>0.03</v>
      </c>
      <c r="N7" s="1" t="s">
        <v>53</v>
      </c>
      <c r="O7" s="1" t="s">
        <v>70</v>
      </c>
      <c r="P7" s="1">
        <v>560</v>
      </c>
      <c r="Q7" s="11"/>
      <c r="R7" s="11"/>
      <c r="T7" s="1">
        <v>0.7</v>
      </c>
      <c r="U7" s="1">
        <v>53.79</v>
      </c>
      <c r="W7" s="15">
        <v>0.3</v>
      </c>
      <c r="X7" s="16" t="s">
        <v>33</v>
      </c>
    </row>
    <row r="8" spans="2:24">
      <c r="B8" s="1" t="s">
        <v>14</v>
      </c>
      <c r="C8" s="1" t="s">
        <v>6</v>
      </c>
      <c r="D8" s="1" t="s">
        <v>71</v>
      </c>
      <c r="H8" s="11"/>
      <c r="I8" s="1" t="s">
        <v>50</v>
      </c>
      <c r="J8" s="1" t="s">
        <v>7</v>
      </c>
      <c r="K8" s="1" t="s">
        <v>8</v>
      </c>
      <c r="L8" s="1">
        <v>0.01</v>
      </c>
      <c r="M8" s="1">
        <v>0.03</v>
      </c>
      <c r="N8" s="1" t="s">
        <v>53</v>
      </c>
      <c r="O8" s="1" t="s">
        <v>73</v>
      </c>
      <c r="P8" s="1">
        <v>490</v>
      </c>
      <c r="Q8" s="11"/>
      <c r="R8" s="11"/>
      <c r="T8" s="1">
        <v>1</v>
      </c>
      <c r="U8" s="1">
        <v>126.58</v>
      </c>
      <c r="W8" s="15">
        <v>0.35</v>
      </c>
      <c r="X8" t="s">
        <v>34</v>
      </c>
    </row>
    <row r="9" spans="2:24">
      <c r="B9" s="1" t="s">
        <v>15</v>
      </c>
      <c r="C9" s="1" t="s">
        <v>7</v>
      </c>
      <c r="D9" s="1" t="s">
        <v>71</v>
      </c>
      <c r="H9" s="11"/>
      <c r="I9" s="1" t="s">
        <v>50</v>
      </c>
      <c r="J9" s="1" t="s">
        <v>75</v>
      </c>
      <c r="K9" s="1" t="s">
        <v>8</v>
      </c>
      <c r="L9" s="1">
        <v>0.01</v>
      </c>
      <c r="M9" s="1">
        <v>0.03</v>
      </c>
      <c r="N9" s="1" t="s">
        <v>53</v>
      </c>
      <c r="O9" s="1" t="s">
        <v>76</v>
      </c>
      <c r="P9" s="1">
        <v>430</v>
      </c>
      <c r="Q9" s="11"/>
      <c r="R9" s="11"/>
      <c r="T9" s="1">
        <v>1.2</v>
      </c>
      <c r="U9" s="1">
        <v>131.83000000000001</v>
      </c>
      <c r="W9" s="15">
        <v>0.38</v>
      </c>
      <c r="X9" t="s">
        <v>35</v>
      </c>
    </row>
    <row r="10" spans="2:24">
      <c r="B10" s="1" t="s">
        <v>16</v>
      </c>
      <c r="C10" s="1" t="s">
        <v>75</v>
      </c>
      <c r="D10" s="1" t="s">
        <v>71</v>
      </c>
      <c r="H10" s="11"/>
      <c r="I10" s="1" t="s">
        <v>50</v>
      </c>
      <c r="J10" s="1" t="s">
        <v>78</v>
      </c>
      <c r="K10" s="1" t="s">
        <v>8</v>
      </c>
      <c r="L10" s="1">
        <v>0.01</v>
      </c>
      <c r="M10" s="1">
        <v>0.03</v>
      </c>
      <c r="N10" s="1" t="s">
        <v>53</v>
      </c>
      <c r="O10" s="1" t="s">
        <v>79</v>
      </c>
      <c r="P10" s="1">
        <v>380</v>
      </c>
      <c r="Q10" s="11"/>
      <c r="R10" s="11"/>
      <c r="U10" s="1"/>
      <c r="W10" s="15">
        <v>0.4</v>
      </c>
      <c r="X10" s="16" t="s">
        <v>36</v>
      </c>
    </row>
    <row r="11" spans="2:24">
      <c r="B11" s="1" t="s">
        <v>17</v>
      </c>
      <c r="C11" s="1" t="s">
        <v>78</v>
      </c>
      <c r="D11" s="1" t="s">
        <v>13</v>
      </c>
      <c r="H11" s="11"/>
      <c r="I11" s="1" t="s">
        <v>50</v>
      </c>
      <c r="J11" s="1" t="s">
        <v>81</v>
      </c>
      <c r="K11" s="1" t="s">
        <v>8</v>
      </c>
      <c r="L11" s="1">
        <v>0.01</v>
      </c>
      <c r="M11" s="1">
        <v>0.03</v>
      </c>
      <c r="N11" s="1" t="s">
        <v>53</v>
      </c>
      <c r="O11" s="1" t="s">
        <v>82</v>
      </c>
      <c r="P11" s="1">
        <v>320</v>
      </c>
      <c r="Q11" s="11"/>
      <c r="R11" s="11"/>
      <c r="U11" s="1"/>
      <c r="W11" s="15">
        <v>0.45</v>
      </c>
      <c r="X11" t="s">
        <v>2148</v>
      </c>
    </row>
    <row r="12" spans="2:24">
      <c r="C12" s="1" t="s">
        <v>81</v>
      </c>
      <c r="D12" s="1" t="s">
        <v>13</v>
      </c>
      <c r="H12" s="11"/>
      <c r="I12" s="1" t="s">
        <v>50</v>
      </c>
      <c r="J12" s="1" t="s">
        <v>84</v>
      </c>
      <c r="K12" s="1" t="s">
        <v>8</v>
      </c>
      <c r="L12" s="1">
        <v>0.01</v>
      </c>
      <c r="M12" s="1">
        <v>0.03</v>
      </c>
      <c r="N12" s="1" t="s">
        <v>53</v>
      </c>
      <c r="O12" s="1" t="s">
        <v>85</v>
      </c>
      <c r="P12" s="1">
        <v>260</v>
      </c>
      <c r="Q12" s="11"/>
      <c r="R12" s="11"/>
      <c r="U12" s="1"/>
      <c r="W12" s="15">
        <v>0.48</v>
      </c>
      <c r="X12" t="s">
        <v>2149</v>
      </c>
    </row>
    <row r="13" spans="2:24">
      <c r="C13" s="1" t="s">
        <v>84</v>
      </c>
      <c r="D13" s="1" t="s">
        <v>13</v>
      </c>
      <c r="H13" s="11"/>
      <c r="I13" s="1" t="s">
        <v>50</v>
      </c>
      <c r="J13" s="1" t="s">
        <v>1</v>
      </c>
      <c r="K13" s="1" t="s">
        <v>9</v>
      </c>
      <c r="L13" s="1">
        <v>0.01</v>
      </c>
      <c r="M13" s="1">
        <v>0.03</v>
      </c>
      <c r="N13" s="1" t="s">
        <v>53</v>
      </c>
      <c r="O13" s="1" t="s">
        <v>87</v>
      </c>
      <c r="P13" s="1">
        <v>760</v>
      </c>
      <c r="Q13" s="11"/>
      <c r="R13" s="11"/>
      <c r="U13" s="1"/>
      <c r="W13" s="15">
        <v>0.5</v>
      </c>
      <c r="X13" s="16" t="s">
        <v>2137</v>
      </c>
    </row>
    <row r="14" spans="2:24">
      <c r="C14" s="1" t="s">
        <v>88</v>
      </c>
      <c r="D14" s="1" t="s">
        <v>88</v>
      </c>
      <c r="H14" s="11"/>
      <c r="I14" s="1" t="s">
        <v>50</v>
      </c>
      <c r="J14" s="1" t="s">
        <v>2</v>
      </c>
      <c r="K14" s="1" t="s">
        <v>9</v>
      </c>
      <c r="L14" s="1">
        <v>0.01</v>
      </c>
      <c r="M14" s="1">
        <v>0.03</v>
      </c>
      <c r="N14" s="1" t="s">
        <v>53</v>
      </c>
      <c r="O14" s="1" t="s">
        <v>90</v>
      </c>
      <c r="P14" s="1">
        <v>760</v>
      </c>
      <c r="Q14" s="11"/>
      <c r="R14" s="11"/>
      <c r="U14" s="1"/>
      <c r="W14" s="15">
        <v>0.6</v>
      </c>
      <c r="X14" s="16" t="s">
        <v>2138</v>
      </c>
    </row>
    <row r="15" spans="2:24">
      <c r="H15" s="11"/>
      <c r="I15" s="1" t="s">
        <v>50</v>
      </c>
      <c r="J15" s="1" t="s">
        <v>3</v>
      </c>
      <c r="K15" s="1" t="s">
        <v>9</v>
      </c>
      <c r="L15" s="1">
        <v>0.01</v>
      </c>
      <c r="M15" s="1">
        <v>0.03</v>
      </c>
      <c r="N15" s="1" t="s">
        <v>53</v>
      </c>
      <c r="O15" s="1" t="s">
        <v>92</v>
      </c>
      <c r="P15" s="1">
        <v>760</v>
      </c>
      <c r="Q15" s="11"/>
      <c r="R15" s="11"/>
      <c r="U15" s="1"/>
      <c r="W15" s="15">
        <v>0.7</v>
      </c>
      <c r="X15" s="16" t="s">
        <v>2139</v>
      </c>
    </row>
    <row r="16" spans="2:24">
      <c r="H16" s="11"/>
      <c r="I16" s="1" t="s">
        <v>50</v>
      </c>
      <c r="J16" s="1" t="s">
        <v>4</v>
      </c>
      <c r="K16" s="1" t="s">
        <v>9</v>
      </c>
      <c r="L16" s="1">
        <v>0.01</v>
      </c>
      <c r="M16" s="1">
        <v>0.03</v>
      </c>
      <c r="N16" s="1" t="s">
        <v>53</v>
      </c>
      <c r="O16" s="1" t="s">
        <v>94</v>
      </c>
      <c r="P16" s="1">
        <v>670</v>
      </c>
      <c r="Q16" s="11"/>
      <c r="R16" s="11"/>
      <c r="T16"/>
      <c r="U16" s="1"/>
      <c r="W16" s="15">
        <v>0.8</v>
      </c>
      <c r="X16" s="16" t="s">
        <v>2140</v>
      </c>
    </row>
    <row r="17" spans="8:24">
      <c r="H17" s="11"/>
      <c r="I17" s="1" t="s">
        <v>50</v>
      </c>
      <c r="J17" s="1" t="s">
        <v>5</v>
      </c>
      <c r="K17" s="1" t="s">
        <v>9</v>
      </c>
      <c r="L17" s="1">
        <v>0.01</v>
      </c>
      <c r="M17" s="1">
        <v>0.03</v>
      </c>
      <c r="N17" s="1" t="s">
        <v>53</v>
      </c>
      <c r="O17" s="1" t="s">
        <v>96</v>
      </c>
      <c r="P17" s="1">
        <v>670</v>
      </c>
      <c r="Q17" s="11"/>
      <c r="R17" s="11"/>
      <c r="T17"/>
      <c r="U17" s="1"/>
      <c r="W17" s="15">
        <v>0.9</v>
      </c>
      <c r="X17" s="16" t="s">
        <v>2141</v>
      </c>
    </row>
    <row r="18" spans="8:24">
      <c r="H18" s="11"/>
      <c r="I18" s="1" t="s">
        <v>50</v>
      </c>
      <c r="J18" s="1" t="s">
        <v>6</v>
      </c>
      <c r="K18" s="1" t="s">
        <v>9</v>
      </c>
      <c r="L18" s="1">
        <v>0.01</v>
      </c>
      <c r="M18" s="1">
        <v>0.03</v>
      </c>
      <c r="N18" s="1" t="s">
        <v>53</v>
      </c>
      <c r="O18" s="1" t="s">
        <v>98</v>
      </c>
      <c r="P18" s="1">
        <v>560</v>
      </c>
      <c r="Q18" s="11"/>
      <c r="R18" s="11"/>
      <c r="T18"/>
      <c r="U18" s="1"/>
      <c r="W18" s="15">
        <v>0.95</v>
      </c>
      <c r="X18" t="s">
        <v>2142</v>
      </c>
    </row>
    <row r="19" spans="8:24">
      <c r="H19" s="11"/>
      <c r="I19" s="1" t="s">
        <v>50</v>
      </c>
      <c r="J19" s="1" t="s">
        <v>7</v>
      </c>
      <c r="K19" s="1" t="s">
        <v>9</v>
      </c>
      <c r="L19" s="1">
        <v>0.01</v>
      </c>
      <c r="M19" s="1">
        <v>0.03</v>
      </c>
      <c r="N19" s="1" t="s">
        <v>53</v>
      </c>
      <c r="O19" s="1" t="s">
        <v>100</v>
      </c>
      <c r="P19" s="1">
        <v>490</v>
      </c>
      <c r="Q19" s="11"/>
      <c r="R19" s="11"/>
      <c r="T19"/>
      <c r="U19" s="1"/>
      <c r="W19" s="15">
        <v>1</v>
      </c>
      <c r="X19" s="16" t="s">
        <v>2143</v>
      </c>
    </row>
    <row r="20" spans="8:24">
      <c r="H20" s="11"/>
      <c r="I20" s="1" t="s">
        <v>50</v>
      </c>
      <c r="J20" s="1" t="s">
        <v>75</v>
      </c>
      <c r="K20" s="1" t="s">
        <v>9</v>
      </c>
      <c r="L20" s="1">
        <v>0.01</v>
      </c>
      <c r="M20" s="1">
        <v>0.03</v>
      </c>
      <c r="N20" s="1" t="s">
        <v>53</v>
      </c>
      <c r="O20" s="1" t="s">
        <v>101</v>
      </c>
      <c r="P20" s="1">
        <v>430</v>
      </c>
      <c r="Q20" s="11"/>
      <c r="R20" s="11"/>
      <c r="T20"/>
      <c r="U20" s="1"/>
      <c r="W20" s="15">
        <v>1.1000000000000001</v>
      </c>
      <c r="X20" s="16" t="s">
        <v>18</v>
      </c>
    </row>
    <row r="21" spans="8:24">
      <c r="H21" s="11"/>
      <c r="I21" s="1" t="s">
        <v>50</v>
      </c>
      <c r="J21" s="1" t="s">
        <v>78</v>
      </c>
      <c r="K21" s="1" t="s">
        <v>9</v>
      </c>
      <c r="L21" s="1">
        <v>0.01</v>
      </c>
      <c r="M21" s="1">
        <v>0.03</v>
      </c>
      <c r="N21" s="1" t="s">
        <v>53</v>
      </c>
      <c r="O21" s="1" t="s">
        <v>102</v>
      </c>
      <c r="P21" s="1">
        <v>380</v>
      </c>
      <c r="Q21" s="11"/>
      <c r="R21" s="11"/>
      <c r="T21"/>
      <c r="U21" s="1"/>
      <c r="W21" s="15">
        <v>1.2</v>
      </c>
      <c r="X21" s="16" t="s">
        <v>19</v>
      </c>
    </row>
    <row r="22" spans="8:24">
      <c r="H22" s="11"/>
      <c r="I22" s="1" t="s">
        <v>50</v>
      </c>
      <c r="J22" s="1" t="s">
        <v>81</v>
      </c>
      <c r="K22" s="1" t="s">
        <v>9</v>
      </c>
      <c r="L22" s="1">
        <v>0.01</v>
      </c>
      <c r="M22" s="1">
        <v>0.03</v>
      </c>
      <c r="N22" s="1" t="s">
        <v>53</v>
      </c>
      <c r="O22" s="1" t="s">
        <v>103</v>
      </c>
      <c r="P22" s="1">
        <v>320</v>
      </c>
      <c r="Q22" s="11"/>
      <c r="R22" s="11"/>
      <c r="T22"/>
      <c r="U22" s="1"/>
      <c r="W22" s="15">
        <v>1.3</v>
      </c>
      <c r="X22" s="16" t="s">
        <v>20</v>
      </c>
    </row>
    <row r="23" spans="8:24">
      <c r="H23" s="11"/>
      <c r="I23" s="1" t="s">
        <v>50</v>
      </c>
      <c r="J23" s="1" t="s">
        <v>84</v>
      </c>
      <c r="K23" s="1" t="s">
        <v>9</v>
      </c>
      <c r="L23" s="1">
        <v>0.01</v>
      </c>
      <c r="M23" s="1">
        <v>0.03</v>
      </c>
      <c r="N23" s="1" t="s">
        <v>53</v>
      </c>
      <c r="O23" s="1" t="s">
        <v>104</v>
      </c>
      <c r="P23" s="1">
        <v>260</v>
      </c>
      <c r="Q23" s="11"/>
      <c r="R23" s="11"/>
      <c r="T23"/>
      <c r="U23" s="1"/>
      <c r="W23" s="15">
        <v>1.4</v>
      </c>
      <c r="X23" s="16" t="s">
        <v>21</v>
      </c>
    </row>
    <row r="24" spans="8:24">
      <c r="H24" s="11"/>
      <c r="I24" s="1" t="s">
        <v>50</v>
      </c>
      <c r="J24" s="1" t="s">
        <v>1</v>
      </c>
      <c r="K24" s="1" t="s">
        <v>10</v>
      </c>
      <c r="L24" s="1">
        <v>0.01</v>
      </c>
      <c r="M24" s="1">
        <v>0.03</v>
      </c>
      <c r="N24" s="1" t="s">
        <v>53</v>
      </c>
      <c r="O24" s="1" t="s">
        <v>105</v>
      </c>
      <c r="P24" s="1">
        <v>760</v>
      </c>
      <c r="Q24" s="11"/>
      <c r="R24" s="11"/>
      <c r="T24"/>
      <c r="U24" s="1"/>
    </row>
    <row r="25" spans="8:24">
      <c r="H25" s="11"/>
      <c r="I25" s="1" t="s">
        <v>50</v>
      </c>
      <c r="J25" s="1" t="s">
        <v>2</v>
      </c>
      <c r="K25" s="1" t="s">
        <v>10</v>
      </c>
      <c r="L25" s="1">
        <v>0.01</v>
      </c>
      <c r="M25" s="1">
        <v>0.03</v>
      </c>
      <c r="N25" s="1" t="s">
        <v>53</v>
      </c>
      <c r="O25" s="1" t="s">
        <v>106</v>
      </c>
      <c r="P25" s="1">
        <v>760</v>
      </c>
      <c r="Q25" s="11"/>
      <c r="R25" s="11"/>
      <c r="T25"/>
      <c r="U25" s="1"/>
    </row>
    <row r="26" spans="8:24">
      <c r="H26" s="11"/>
      <c r="I26" s="1" t="s">
        <v>50</v>
      </c>
      <c r="J26" s="1" t="s">
        <v>3</v>
      </c>
      <c r="K26" s="1" t="s">
        <v>10</v>
      </c>
      <c r="L26" s="1">
        <v>0.01</v>
      </c>
      <c r="M26" s="1">
        <v>0.03</v>
      </c>
      <c r="N26" s="1" t="s">
        <v>53</v>
      </c>
      <c r="O26" s="1" t="s">
        <v>107</v>
      </c>
      <c r="P26" s="1">
        <v>760</v>
      </c>
      <c r="Q26" s="11"/>
      <c r="R26" s="11"/>
      <c r="T26"/>
      <c r="U26" s="1"/>
    </row>
    <row r="27" spans="8:24">
      <c r="H27" s="11"/>
      <c r="I27" s="1" t="s">
        <v>50</v>
      </c>
      <c r="J27" s="1" t="s">
        <v>4</v>
      </c>
      <c r="K27" s="1" t="s">
        <v>10</v>
      </c>
      <c r="L27" s="1">
        <v>0.01</v>
      </c>
      <c r="M27" s="1">
        <v>0.03</v>
      </c>
      <c r="N27" s="1" t="s">
        <v>53</v>
      </c>
      <c r="O27" s="1" t="s">
        <v>108</v>
      </c>
      <c r="P27" s="1">
        <v>670</v>
      </c>
      <c r="Q27" s="11"/>
      <c r="R27" s="11"/>
      <c r="T27"/>
      <c r="U27" s="1"/>
    </row>
    <row r="28" spans="8:24">
      <c r="H28" s="11"/>
      <c r="I28" s="1" t="s">
        <v>50</v>
      </c>
      <c r="J28" s="1" t="s">
        <v>5</v>
      </c>
      <c r="K28" s="1" t="s">
        <v>10</v>
      </c>
      <c r="L28" s="1">
        <v>0.01</v>
      </c>
      <c r="M28" s="1">
        <v>0.03</v>
      </c>
      <c r="N28" s="1" t="s">
        <v>53</v>
      </c>
      <c r="O28" s="1" t="s">
        <v>109</v>
      </c>
      <c r="P28" s="1">
        <v>670</v>
      </c>
      <c r="Q28" s="11"/>
      <c r="R28" s="11"/>
      <c r="T28"/>
      <c r="U28" s="1"/>
    </row>
    <row r="29" spans="8:24">
      <c r="H29" s="11"/>
      <c r="I29" s="1" t="s">
        <v>50</v>
      </c>
      <c r="J29" s="1" t="s">
        <v>6</v>
      </c>
      <c r="K29" s="1" t="s">
        <v>10</v>
      </c>
      <c r="L29" s="1">
        <v>0.01</v>
      </c>
      <c r="M29" s="1">
        <v>0.03</v>
      </c>
      <c r="N29" s="1" t="s">
        <v>53</v>
      </c>
      <c r="O29" s="1" t="s">
        <v>110</v>
      </c>
      <c r="P29" s="1">
        <v>560</v>
      </c>
      <c r="Q29" s="11"/>
      <c r="R29" s="11"/>
      <c r="T29"/>
      <c r="U29" s="1"/>
    </row>
    <row r="30" spans="8:24">
      <c r="H30" s="11"/>
      <c r="I30" s="1" t="s">
        <v>50</v>
      </c>
      <c r="J30" s="1" t="s">
        <v>7</v>
      </c>
      <c r="K30" s="1" t="s">
        <v>10</v>
      </c>
      <c r="L30" s="1">
        <v>0.01</v>
      </c>
      <c r="M30" s="1">
        <v>0.03</v>
      </c>
      <c r="N30" s="1" t="s">
        <v>53</v>
      </c>
      <c r="O30" s="1" t="s">
        <v>111</v>
      </c>
      <c r="P30" s="1">
        <v>490</v>
      </c>
      <c r="Q30" s="11"/>
      <c r="R30" s="11"/>
      <c r="T30"/>
      <c r="U30" s="1"/>
    </row>
    <row r="31" spans="8:24">
      <c r="H31" s="11"/>
      <c r="I31" s="1" t="s">
        <v>50</v>
      </c>
      <c r="J31" s="1" t="s">
        <v>75</v>
      </c>
      <c r="K31" s="1" t="s">
        <v>10</v>
      </c>
      <c r="L31" s="1">
        <v>0.01</v>
      </c>
      <c r="M31" s="1">
        <v>0.03</v>
      </c>
      <c r="N31" s="1" t="s">
        <v>53</v>
      </c>
      <c r="O31" s="1" t="s">
        <v>112</v>
      </c>
      <c r="P31" s="1">
        <v>430</v>
      </c>
      <c r="Q31" s="11"/>
      <c r="R31" s="11"/>
      <c r="T31"/>
      <c r="U31" s="1"/>
    </row>
    <row r="32" spans="8:24">
      <c r="H32" s="11"/>
      <c r="I32" s="1" t="s">
        <v>50</v>
      </c>
      <c r="J32" s="1" t="s">
        <v>78</v>
      </c>
      <c r="K32" s="1" t="s">
        <v>10</v>
      </c>
      <c r="L32" s="1">
        <v>0.01</v>
      </c>
      <c r="M32" s="1">
        <v>0.03</v>
      </c>
      <c r="N32" s="1" t="s">
        <v>53</v>
      </c>
      <c r="O32" s="1" t="s">
        <v>113</v>
      </c>
      <c r="P32" s="1">
        <v>380</v>
      </c>
      <c r="Q32" s="11"/>
      <c r="R32" s="11"/>
      <c r="T32"/>
      <c r="U32" s="1"/>
    </row>
    <row r="33" spans="8:20">
      <c r="H33" s="11"/>
      <c r="I33" s="1" t="s">
        <v>50</v>
      </c>
      <c r="J33" s="1" t="s">
        <v>81</v>
      </c>
      <c r="K33" s="1" t="s">
        <v>10</v>
      </c>
      <c r="L33" s="1">
        <v>0.01</v>
      </c>
      <c r="M33" s="1">
        <v>0.03</v>
      </c>
      <c r="N33" s="1" t="s">
        <v>53</v>
      </c>
      <c r="O33" s="1" t="s">
        <v>114</v>
      </c>
      <c r="P33" s="1">
        <v>320</v>
      </c>
      <c r="Q33" s="11"/>
      <c r="R33" s="11"/>
      <c r="T33"/>
    </row>
    <row r="34" spans="8:20">
      <c r="H34" s="11"/>
      <c r="I34" s="1" t="s">
        <v>50</v>
      </c>
      <c r="J34" s="1" t="s">
        <v>84</v>
      </c>
      <c r="K34" s="1" t="s">
        <v>10</v>
      </c>
      <c r="L34" s="1">
        <v>0.01</v>
      </c>
      <c r="M34" s="1">
        <v>0.03</v>
      </c>
      <c r="N34" s="1" t="s">
        <v>53</v>
      </c>
      <c r="O34" s="1" t="s">
        <v>115</v>
      </c>
      <c r="P34" s="1">
        <v>260</v>
      </c>
      <c r="Q34" s="11"/>
      <c r="R34" s="11"/>
      <c r="T34"/>
    </row>
    <row r="35" spans="8:20">
      <c r="H35" s="11"/>
      <c r="I35" s="1" t="s">
        <v>50</v>
      </c>
      <c r="J35" s="1" t="s">
        <v>1</v>
      </c>
      <c r="K35" s="1" t="s">
        <v>11</v>
      </c>
      <c r="L35" s="1">
        <v>0.01</v>
      </c>
      <c r="M35" s="1">
        <v>0.03</v>
      </c>
      <c r="N35" s="1" t="s">
        <v>53</v>
      </c>
      <c r="O35" s="1" t="s">
        <v>116</v>
      </c>
      <c r="P35" s="1">
        <v>660</v>
      </c>
      <c r="Q35" s="11"/>
      <c r="R35" s="11"/>
      <c r="T35"/>
    </row>
    <row r="36" spans="8:20">
      <c r="H36" s="11"/>
      <c r="I36" s="1" t="s">
        <v>50</v>
      </c>
      <c r="J36" s="1" t="s">
        <v>2</v>
      </c>
      <c r="K36" s="1" t="s">
        <v>11</v>
      </c>
      <c r="L36" s="1">
        <v>0.01</v>
      </c>
      <c r="M36" s="1">
        <v>0.03</v>
      </c>
      <c r="N36" s="1" t="s">
        <v>53</v>
      </c>
      <c r="O36" s="1" t="s">
        <v>117</v>
      </c>
      <c r="P36" s="1">
        <v>660</v>
      </c>
      <c r="Q36" s="11"/>
      <c r="R36" s="11"/>
      <c r="T36"/>
    </row>
    <row r="37" spans="8:20">
      <c r="H37" s="11"/>
      <c r="I37" s="1" t="s">
        <v>50</v>
      </c>
      <c r="J37" s="1" t="s">
        <v>3</v>
      </c>
      <c r="K37" s="1" t="s">
        <v>11</v>
      </c>
      <c r="L37" s="1">
        <v>0.01</v>
      </c>
      <c r="M37" s="1">
        <v>0.03</v>
      </c>
      <c r="N37" s="1" t="s">
        <v>53</v>
      </c>
      <c r="O37" s="1" t="s">
        <v>118</v>
      </c>
      <c r="P37" s="1">
        <v>660</v>
      </c>
      <c r="Q37" s="11"/>
      <c r="R37" s="11"/>
      <c r="T37"/>
    </row>
    <row r="38" spans="8:20">
      <c r="H38" s="11"/>
      <c r="I38" s="1" t="s">
        <v>50</v>
      </c>
      <c r="J38" s="1" t="s">
        <v>4</v>
      </c>
      <c r="K38" s="1" t="s">
        <v>11</v>
      </c>
      <c r="L38" s="1">
        <v>0.01</v>
      </c>
      <c r="M38" s="1">
        <v>0.03</v>
      </c>
      <c r="N38" s="1" t="s">
        <v>53</v>
      </c>
      <c r="O38" s="1" t="s">
        <v>119</v>
      </c>
      <c r="P38" s="1">
        <v>590</v>
      </c>
      <c r="Q38" s="11"/>
      <c r="R38" s="11"/>
      <c r="T38"/>
    </row>
    <row r="39" spans="8:20">
      <c r="H39" s="11"/>
      <c r="I39" s="1" t="s">
        <v>50</v>
      </c>
      <c r="J39" s="1" t="s">
        <v>5</v>
      </c>
      <c r="K39" s="1" t="s">
        <v>11</v>
      </c>
      <c r="L39" s="1">
        <v>0.01</v>
      </c>
      <c r="M39" s="1">
        <v>0.03</v>
      </c>
      <c r="N39" s="1" t="s">
        <v>53</v>
      </c>
      <c r="O39" s="1" t="s">
        <v>120</v>
      </c>
      <c r="P39" s="1">
        <v>590</v>
      </c>
      <c r="Q39" s="11"/>
      <c r="R39" s="11"/>
      <c r="T39"/>
    </row>
    <row r="40" spans="8:20">
      <c r="H40" s="11"/>
      <c r="I40" s="1" t="s">
        <v>50</v>
      </c>
      <c r="J40" s="1" t="s">
        <v>6</v>
      </c>
      <c r="K40" s="1" t="s">
        <v>11</v>
      </c>
      <c r="L40" s="1">
        <v>0.01</v>
      </c>
      <c r="M40" s="1">
        <v>0.03</v>
      </c>
      <c r="N40" s="1" t="s">
        <v>53</v>
      </c>
      <c r="O40" s="1" t="s">
        <v>121</v>
      </c>
      <c r="P40" s="1">
        <v>500</v>
      </c>
      <c r="Q40" s="11"/>
      <c r="R40" s="11"/>
      <c r="T40"/>
    </row>
    <row r="41" spans="8:20">
      <c r="H41" s="11"/>
      <c r="I41" s="1" t="s">
        <v>50</v>
      </c>
      <c r="J41" s="1" t="s">
        <v>7</v>
      </c>
      <c r="K41" s="1" t="s">
        <v>11</v>
      </c>
      <c r="L41" s="1">
        <v>0.01</v>
      </c>
      <c r="M41" s="1">
        <v>0.03</v>
      </c>
      <c r="N41" s="1" t="s">
        <v>53</v>
      </c>
      <c r="O41" s="1" t="s">
        <v>122</v>
      </c>
      <c r="P41" s="1">
        <v>440</v>
      </c>
      <c r="Q41" s="11"/>
      <c r="R41" s="11"/>
      <c r="T41"/>
    </row>
    <row r="42" spans="8:20">
      <c r="H42" s="11"/>
      <c r="I42" s="1" t="s">
        <v>50</v>
      </c>
      <c r="J42" s="1" t="s">
        <v>75</v>
      </c>
      <c r="K42" s="1" t="s">
        <v>11</v>
      </c>
      <c r="L42" s="1">
        <v>0.01</v>
      </c>
      <c r="M42" s="1">
        <v>0.03</v>
      </c>
      <c r="N42" s="1" t="s">
        <v>53</v>
      </c>
      <c r="O42" s="1" t="s">
        <v>123</v>
      </c>
      <c r="P42" s="1">
        <v>390</v>
      </c>
      <c r="Q42" s="11"/>
      <c r="R42" s="11"/>
      <c r="T42"/>
    </row>
    <row r="43" spans="8:20">
      <c r="H43" s="11"/>
      <c r="I43" s="1" t="s">
        <v>50</v>
      </c>
      <c r="J43" s="1" t="s">
        <v>78</v>
      </c>
      <c r="K43" s="1" t="s">
        <v>11</v>
      </c>
      <c r="L43" s="1">
        <v>0.01</v>
      </c>
      <c r="M43" s="1">
        <v>0.03</v>
      </c>
      <c r="N43" s="1" t="s">
        <v>53</v>
      </c>
      <c r="O43" s="1" t="s">
        <v>124</v>
      </c>
      <c r="P43" s="1">
        <v>340</v>
      </c>
      <c r="Q43" s="11"/>
      <c r="R43" s="11"/>
      <c r="T43"/>
    </row>
    <row r="44" spans="8:20">
      <c r="H44" s="11"/>
      <c r="I44" s="1" t="s">
        <v>50</v>
      </c>
      <c r="J44" s="1" t="s">
        <v>81</v>
      </c>
      <c r="K44" s="1" t="s">
        <v>11</v>
      </c>
      <c r="L44" s="1">
        <v>0.01</v>
      </c>
      <c r="M44" s="1">
        <v>0.03</v>
      </c>
      <c r="N44" s="1" t="s">
        <v>53</v>
      </c>
      <c r="O44" s="1" t="s">
        <v>125</v>
      </c>
      <c r="P44" s="1">
        <v>290</v>
      </c>
      <c r="Q44" s="11"/>
      <c r="R44" s="11"/>
      <c r="T44"/>
    </row>
    <row r="45" spans="8:20">
      <c r="H45" s="11"/>
      <c r="I45" s="1" t="s">
        <v>50</v>
      </c>
      <c r="J45" s="1" t="s">
        <v>84</v>
      </c>
      <c r="K45" s="1" t="s">
        <v>11</v>
      </c>
      <c r="L45" s="1">
        <v>0.01</v>
      </c>
      <c r="M45" s="1">
        <v>0.03</v>
      </c>
      <c r="N45" s="1" t="s">
        <v>53</v>
      </c>
      <c r="O45" s="1" t="s">
        <v>126</v>
      </c>
      <c r="P45" s="1">
        <v>240</v>
      </c>
      <c r="Q45" s="11"/>
      <c r="R45" s="11"/>
      <c r="T45"/>
    </row>
    <row r="46" spans="8:20">
      <c r="H46" s="11"/>
      <c r="I46" s="1" t="s">
        <v>50</v>
      </c>
      <c r="J46" s="1" t="s">
        <v>1</v>
      </c>
      <c r="K46" s="1" t="s">
        <v>12</v>
      </c>
      <c r="L46" s="1">
        <v>0.01</v>
      </c>
      <c r="M46" s="1">
        <v>0.03</v>
      </c>
      <c r="N46" s="1" t="s">
        <v>53</v>
      </c>
      <c r="O46" s="1" t="s">
        <v>127</v>
      </c>
      <c r="P46" s="1">
        <v>660</v>
      </c>
      <c r="Q46" s="11"/>
      <c r="R46" s="11"/>
      <c r="T46"/>
    </row>
    <row r="47" spans="8:20">
      <c r="H47" s="11"/>
      <c r="I47" s="1" t="s">
        <v>50</v>
      </c>
      <c r="J47" s="1" t="s">
        <v>2</v>
      </c>
      <c r="K47" s="1" t="s">
        <v>12</v>
      </c>
      <c r="L47" s="1">
        <v>0.01</v>
      </c>
      <c r="M47" s="1">
        <v>0.03</v>
      </c>
      <c r="N47" s="1" t="s">
        <v>53</v>
      </c>
      <c r="O47" s="1" t="s">
        <v>128</v>
      </c>
      <c r="P47" s="1">
        <v>660</v>
      </c>
      <c r="Q47" s="11"/>
      <c r="R47" s="11"/>
      <c r="T47"/>
    </row>
    <row r="48" spans="8:20">
      <c r="H48" s="11"/>
      <c r="I48" s="1" t="s">
        <v>50</v>
      </c>
      <c r="J48" s="1" t="s">
        <v>3</v>
      </c>
      <c r="K48" s="1" t="s">
        <v>12</v>
      </c>
      <c r="L48" s="1">
        <v>0.01</v>
      </c>
      <c r="M48" s="1">
        <v>0.03</v>
      </c>
      <c r="N48" s="1" t="s">
        <v>53</v>
      </c>
      <c r="O48" s="1" t="s">
        <v>129</v>
      </c>
      <c r="P48" s="1">
        <v>660</v>
      </c>
      <c r="Q48" s="11"/>
      <c r="R48" s="11"/>
      <c r="T48"/>
    </row>
    <row r="49" spans="8:20">
      <c r="H49" s="11"/>
      <c r="I49" s="1" t="s">
        <v>50</v>
      </c>
      <c r="J49" s="1" t="s">
        <v>4</v>
      </c>
      <c r="K49" s="1" t="s">
        <v>12</v>
      </c>
      <c r="L49" s="1">
        <v>0.01</v>
      </c>
      <c r="M49" s="1">
        <v>0.03</v>
      </c>
      <c r="N49" s="1" t="s">
        <v>53</v>
      </c>
      <c r="O49" s="1" t="s">
        <v>130</v>
      </c>
      <c r="P49" s="1">
        <v>590</v>
      </c>
      <c r="Q49" s="11"/>
      <c r="R49" s="11"/>
      <c r="T49"/>
    </row>
    <row r="50" spans="8:20">
      <c r="H50" s="11"/>
      <c r="I50" s="1" t="s">
        <v>50</v>
      </c>
      <c r="J50" s="1" t="s">
        <v>5</v>
      </c>
      <c r="K50" s="1" t="s">
        <v>12</v>
      </c>
      <c r="L50" s="1">
        <v>0.01</v>
      </c>
      <c r="M50" s="1">
        <v>0.03</v>
      </c>
      <c r="N50" s="1" t="s">
        <v>53</v>
      </c>
      <c r="O50" s="1" t="s">
        <v>131</v>
      </c>
      <c r="P50" s="1">
        <v>590</v>
      </c>
      <c r="Q50" s="11"/>
      <c r="R50" s="11"/>
      <c r="T50"/>
    </row>
    <row r="51" spans="8:20">
      <c r="H51" s="11"/>
      <c r="I51" s="1" t="s">
        <v>50</v>
      </c>
      <c r="J51" s="1" t="s">
        <v>6</v>
      </c>
      <c r="K51" s="1" t="s">
        <v>12</v>
      </c>
      <c r="L51" s="1">
        <v>0.01</v>
      </c>
      <c r="M51" s="1">
        <v>0.03</v>
      </c>
      <c r="N51" s="1" t="s">
        <v>53</v>
      </c>
      <c r="O51" s="1" t="s">
        <v>132</v>
      </c>
      <c r="P51" s="1">
        <v>500</v>
      </c>
      <c r="Q51" s="11"/>
      <c r="R51" s="11"/>
      <c r="T51"/>
    </row>
    <row r="52" spans="8:20">
      <c r="H52" s="11"/>
      <c r="I52" s="1" t="s">
        <v>50</v>
      </c>
      <c r="J52" s="1" t="s">
        <v>7</v>
      </c>
      <c r="K52" s="1" t="s">
        <v>12</v>
      </c>
      <c r="L52" s="1">
        <v>0.01</v>
      </c>
      <c r="M52" s="1">
        <v>0.03</v>
      </c>
      <c r="N52" s="1" t="s">
        <v>53</v>
      </c>
      <c r="O52" s="1" t="s">
        <v>133</v>
      </c>
      <c r="P52" s="1">
        <v>440</v>
      </c>
      <c r="Q52" s="11"/>
      <c r="R52" s="11"/>
      <c r="T52"/>
    </row>
    <row r="53" spans="8:20">
      <c r="H53" s="11"/>
      <c r="I53" s="1" t="s">
        <v>50</v>
      </c>
      <c r="J53" s="1" t="s">
        <v>75</v>
      </c>
      <c r="K53" s="1" t="s">
        <v>12</v>
      </c>
      <c r="L53" s="1">
        <v>0.01</v>
      </c>
      <c r="M53" s="1">
        <v>0.03</v>
      </c>
      <c r="N53" s="1" t="s">
        <v>53</v>
      </c>
      <c r="O53" s="1" t="s">
        <v>134</v>
      </c>
      <c r="P53" s="1">
        <v>390</v>
      </c>
      <c r="Q53" s="11"/>
      <c r="R53" s="11"/>
      <c r="T53"/>
    </row>
    <row r="54" spans="8:20">
      <c r="H54" s="11"/>
      <c r="I54" s="1" t="s">
        <v>50</v>
      </c>
      <c r="J54" s="1" t="s">
        <v>78</v>
      </c>
      <c r="K54" s="1" t="s">
        <v>12</v>
      </c>
      <c r="L54" s="1">
        <v>0.01</v>
      </c>
      <c r="M54" s="1">
        <v>0.03</v>
      </c>
      <c r="N54" s="1" t="s">
        <v>53</v>
      </c>
      <c r="O54" s="1" t="s">
        <v>135</v>
      </c>
      <c r="P54" s="1">
        <v>340</v>
      </c>
      <c r="Q54" s="11"/>
      <c r="R54" s="11"/>
      <c r="T54"/>
    </row>
    <row r="55" spans="8:20">
      <c r="H55" s="11"/>
      <c r="I55" s="1" t="s">
        <v>50</v>
      </c>
      <c r="J55" s="1" t="s">
        <v>81</v>
      </c>
      <c r="K55" s="1" t="s">
        <v>12</v>
      </c>
      <c r="L55" s="1">
        <v>0.01</v>
      </c>
      <c r="M55" s="1">
        <v>0.03</v>
      </c>
      <c r="N55" s="1" t="s">
        <v>53</v>
      </c>
      <c r="O55" s="1" t="s">
        <v>136</v>
      </c>
      <c r="P55" s="1">
        <v>290</v>
      </c>
      <c r="Q55" s="11"/>
      <c r="R55" s="11"/>
      <c r="T55"/>
    </row>
    <row r="56" spans="8:20">
      <c r="H56" s="11"/>
      <c r="I56" s="1" t="s">
        <v>50</v>
      </c>
      <c r="J56" s="1" t="s">
        <v>84</v>
      </c>
      <c r="K56" s="1" t="s">
        <v>12</v>
      </c>
      <c r="L56" s="1">
        <v>0.01</v>
      </c>
      <c r="M56" s="1">
        <v>0.03</v>
      </c>
      <c r="N56" s="1" t="s">
        <v>53</v>
      </c>
      <c r="O56" s="1" t="s">
        <v>137</v>
      </c>
      <c r="P56" s="1">
        <v>240</v>
      </c>
      <c r="Q56" s="11"/>
      <c r="R56" s="11"/>
      <c r="T56"/>
    </row>
    <row r="57" spans="8:20">
      <c r="H57" s="11"/>
      <c r="I57" s="1" t="s">
        <v>50</v>
      </c>
      <c r="J57" s="1" t="s">
        <v>1</v>
      </c>
      <c r="K57" s="1" t="s">
        <v>13</v>
      </c>
      <c r="L57" s="1">
        <v>0.01</v>
      </c>
      <c r="M57" s="1">
        <v>0.03</v>
      </c>
      <c r="N57" s="1" t="s">
        <v>53</v>
      </c>
      <c r="O57" s="1" t="s">
        <v>138</v>
      </c>
      <c r="P57" s="1">
        <v>570</v>
      </c>
      <c r="Q57" s="11"/>
      <c r="R57" s="11"/>
      <c r="T57"/>
    </row>
    <row r="58" spans="8:20">
      <c r="H58" s="11"/>
      <c r="I58" s="1" t="s">
        <v>50</v>
      </c>
      <c r="J58" s="1" t="s">
        <v>2</v>
      </c>
      <c r="K58" s="1" t="s">
        <v>13</v>
      </c>
      <c r="L58" s="1">
        <v>0.01</v>
      </c>
      <c r="M58" s="1">
        <v>0.03</v>
      </c>
      <c r="N58" s="1" t="s">
        <v>53</v>
      </c>
      <c r="O58" s="1" t="s">
        <v>139</v>
      </c>
      <c r="P58" s="1">
        <v>570</v>
      </c>
      <c r="Q58" s="11"/>
      <c r="R58" s="11"/>
      <c r="T58"/>
    </row>
    <row r="59" spans="8:20">
      <c r="H59" s="11"/>
      <c r="I59" s="1" t="s">
        <v>50</v>
      </c>
      <c r="J59" s="1" t="s">
        <v>3</v>
      </c>
      <c r="K59" s="1" t="s">
        <v>13</v>
      </c>
      <c r="L59" s="1">
        <v>0.01</v>
      </c>
      <c r="M59" s="1">
        <v>0.03</v>
      </c>
      <c r="N59" s="1" t="s">
        <v>53</v>
      </c>
      <c r="O59" s="1" t="s">
        <v>140</v>
      </c>
      <c r="P59" s="1">
        <v>570</v>
      </c>
      <c r="Q59" s="11"/>
      <c r="R59" s="11"/>
      <c r="T59"/>
    </row>
    <row r="60" spans="8:20">
      <c r="H60" s="11"/>
      <c r="I60" s="1" t="s">
        <v>50</v>
      </c>
      <c r="J60" s="1" t="s">
        <v>4</v>
      </c>
      <c r="K60" s="1" t="s">
        <v>13</v>
      </c>
      <c r="L60" s="1">
        <v>0.01</v>
      </c>
      <c r="M60" s="1">
        <v>0.03</v>
      </c>
      <c r="N60" s="1" t="s">
        <v>53</v>
      </c>
      <c r="O60" s="1" t="s">
        <v>141</v>
      </c>
      <c r="P60" s="1">
        <v>510</v>
      </c>
      <c r="Q60" s="11"/>
      <c r="R60" s="11"/>
      <c r="T60"/>
    </row>
    <row r="61" spans="8:20">
      <c r="H61" s="11"/>
      <c r="I61" s="1" t="s">
        <v>50</v>
      </c>
      <c r="J61" s="1" t="s">
        <v>5</v>
      </c>
      <c r="K61" s="1" t="s">
        <v>13</v>
      </c>
      <c r="L61" s="1">
        <v>0.01</v>
      </c>
      <c r="M61" s="1">
        <v>0.03</v>
      </c>
      <c r="N61" s="1" t="s">
        <v>53</v>
      </c>
      <c r="O61" s="1" t="s">
        <v>142</v>
      </c>
      <c r="P61" s="1">
        <v>510</v>
      </c>
      <c r="Q61" s="11"/>
      <c r="R61" s="11"/>
      <c r="T61"/>
    </row>
    <row r="62" spans="8:20">
      <c r="H62" s="11"/>
      <c r="I62" s="1" t="s">
        <v>50</v>
      </c>
      <c r="J62" s="1" t="s">
        <v>6</v>
      </c>
      <c r="K62" s="1" t="s">
        <v>13</v>
      </c>
      <c r="L62" s="1">
        <v>0.01</v>
      </c>
      <c r="M62" s="1">
        <v>0.03</v>
      </c>
      <c r="N62" s="1" t="s">
        <v>53</v>
      </c>
      <c r="O62" s="1" t="s">
        <v>143</v>
      </c>
      <c r="P62" s="1">
        <v>430</v>
      </c>
      <c r="Q62" s="11"/>
      <c r="R62" s="11"/>
      <c r="T62"/>
    </row>
    <row r="63" spans="8:20">
      <c r="H63" s="11"/>
      <c r="I63" s="1" t="s">
        <v>50</v>
      </c>
      <c r="J63" s="1" t="s">
        <v>7</v>
      </c>
      <c r="K63" s="1" t="s">
        <v>13</v>
      </c>
      <c r="L63" s="1">
        <v>0.01</v>
      </c>
      <c r="M63" s="1">
        <v>0.03</v>
      </c>
      <c r="N63" s="1" t="s">
        <v>53</v>
      </c>
      <c r="O63" s="1" t="s">
        <v>144</v>
      </c>
      <c r="P63" s="1">
        <v>390</v>
      </c>
      <c r="Q63" s="11"/>
      <c r="R63" s="11"/>
      <c r="T63"/>
    </row>
    <row r="64" spans="8:20">
      <c r="H64" s="11"/>
      <c r="I64" s="1" t="s">
        <v>50</v>
      </c>
      <c r="J64" s="1" t="s">
        <v>75</v>
      </c>
      <c r="K64" s="1" t="s">
        <v>13</v>
      </c>
      <c r="L64" s="1">
        <v>0.01</v>
      </c>
      <c r="M64" s="1">
        <v>0.03</v>
      </c>
      <c r="N64" s="1" t="s">
        <v>53</v>
      </c>
      <c r="O64" s="1" t="s">
        <v>145</v>
      </c>
      <c r="P64" s="1">
        <v>350</v>
      </c>
      <c r="Q64" s="11"/>
      <c r="R64" s="11"/>
      <c r="T64"/>
    </row>
    <row r="65" spans="8:20">
      <c r="H65" s="11"/>
      <c r="I65" s="1" t="s">
        <v>50</v>
      </c>
      <c r="J65" s="1" t="s">
        <v>78</v>
      </c>
      <c r="K65" s="1" t="s">
        <v>13</v>
      </c>
      <c r="L65" s="1">
        <v>0.01</v>
      </c>
      <c r="M65" s="1">
        <v>0.03</v>
      </c>
      <c r="N65" s="1" t="s">
        <v>53</v>
      </c>
      <c r="O65" s="1" t="s">
        <v>146</v>
      </c>
      <c r="P65" s="1">
        <v>310</v>
      </c>
      <c r="Q65" s="11"/>
      <c r="R65" s="11"/>
      <c r="T65"/>
    </row>
    <row r="66" spans="8:20">
      <c r="H66" s="11"/>
      <c r="I66" s="1" t="s">
        <v>50</v>
      </c>
      <c r="J66" s="1" t="s">
        <v>81</v>
      </c>
      <c r="K66" s="1" t="s">
        <v>13</v>
      </c>
      <c r="L66" s="1">
        <v>0.01</v>
      </c>
      <c r="M66" s="1">
        <v>0.03</v>
      </c>
      <c r="N66" s="1" t="s">
        <v>53</v>
      </c>
      <c r="O66" s="1" t="s">
        <v>147</v>
      </c>
      <c r="P66" s="1">
        <v>260</v>
      </c>
      <c r="Q66" s="11"/>
      <c r="R66" s="11"/>
      <c r="T66"/>
    </row>
    <row r="67" spans="8:20">
      <c r="H67" s="11"/>
      <c r="I67" s="1" t="s">
        <v>50</v>
      </c>
      <c r="J67" s="1" t="s">
        <v>84</v>
      </c>
      <c r="K67" s="1" t="s">
        <v>13</v>
      </c>
      <c r="L67" s="1">
        <v>0.01</v>
      </c>
      <c r="M67" s="1">
        <v>0.03</v>
      </c>
      <c r="N67" s="1" t="s">
        <v>53</v>
      </c>
      <c r="O67" s="1" t="s">
        <v>148</v>
      </c>
      <c r="P67" s="1">
        <v>220</v>
      </c>
      <c r="Q67" s="11"/>
      <c r="R67" s="11"/>
      <c r="T67"/>
    </row>
    <row r="68" spans="8:20">
      <c r="H68" s="11"/>
      <c r="I68" s="1" t="s">
        <v>50</v>
      </c>
      <c r="J68" s="1" t="s">
        <v>1</v>
      </c>
      <c r="K68" s="1" t="s">
        <v>14</v>
      </c>
      <c r="L68" s="1">
        <v>0.01</v>
      </c>
      <c r="M68" s="1">
        <v>0.03</v>
      </c>
      <c r="N68" s="1" t="s">
        <v>53</v>
      </c>
      <c r="O68" s="1" t="s">
        <v>149</v>
      </c>
      <c r="P68" s="1">
        <v>570</v>
      </c>
      <c r="Q68" s="11"/>
      <c r="R68" s="11"/>
      <c r="T68"/>
    </row>
    <row r="69" spans="8:20">
      <c r="H69" s="11"/>
      <c r="I69" s="1" t="s">
        <v>50</v>
      </c>
      <c r="J69" s="1" t="s">
        <v>2</v>
      </c>
      <c r="K69" s="1" t="s">
        <v>14</v>
      </c>
      <c r="L69" s="1">
        <v>0.01</v>
      </c>
      <c r="M69" s="1">
        <v>0.03</v>
      </c>
      <c r="N69" s="1" t="s">
        <v>53</v>
      </c>
      <c r="O69" s="1" t="s">
        <v>150</v>
      </c>
      <c r="P69" s="1">
        <v>570</v>
      </c>
      <c r="Q69" s="11"/>
      <c r="R69" s="11"/>
      <c r="T69"/>
    </row>
    <row r="70" spans="8:20">
      <c r="H70" s="11"/>
      <c r="I70" s="1" t="s">
        <v>50</v>
      </c>
      <c r="J70" s="1" t="s">
        <v>3</v>
      </c>
      <c r="K70" s="1" t="s">
        <v>14</v>
      </c>
      <c r="L70" s="1">
        <v>0.01</v>
      </c>
      <c r="M70" s="1">
        <v>0.03</v>
      </c>
      <c r="N70" s="1" t="s">
        <v>53</v>
      </c>
      <c r="O70" s="1" t="s">
        <v>151</v>
      </c>
      <c r="P70" s="1">
        <v>570</v>
      </c>
      <c r="Q70" s="11"/>
      <c r="R70" s="11"/>
      <c r="T70"/>
    </row>
    <row r="71" spans="8:20">
      <c r="H71" s="11"/>
      <c r="I71" s="1" t="s">
        <v>50</v>
      </c>
      <c r="J71" s="1" t="s">
        <v>4</v>
      </c>
      <c r="K71" s="1" t="s">
        <v>14</v>
      </c>
      <c r="L71" s="1">
        <v>0.01</v>
      </c>
      <c r="M71" s="1">
        <v>0.03</v>
      </c>
      <c r="N71" s="1" t="s">
        <v>53</v>
      </c>
      <c r="O71" s="1" t="s">
        <v>152</v>
      </c>
      <c r="P71" s="1">
        <v>510</v>
      </c>
      <c r="Q71" s="11"/>
      <c r="R71" s="11"/>
      <c r="T71"/>
    </row>
    <row r="72" spans="8:20">
      <c r="H72" s="11"/>
      <c r="I72" s="1" t="s">
        <v>50</v>
      </c>
      <c r="J72" s="1" t="s">
        <v>5</v>
      </c>
      <c r="K72" s="1" t="s">
        <v>14</v>
      </c>
      <c r="L72" s="1">
        <v>0.01</v>
      </c>
      <c r="M72" s="1">
        <v>0.03</v>
      </c>
      <c r="N72" s="1" t="s">
        <v>53</v>
      </c>
      <c r="O72" s="1" t="s">
        <v>153</v>
      </c>
      <c r="P72" s="1">
        <v>510</v>
      </c>
      <c r="Q72" s="11"/>
      <c r="R72" s="11"/>
      <c r="T72"/>
    </row>
    <row r="73" spans="8:20">
      <c r="H73" s="11"/>
      <c r="I73" s="1" t="s">
        <v>50</v>
      </c>
      <c r="J73" s="1" t="s">
        <v>6</v>
      </c>
      <c r="K73" s="1" t="s">
        <v>14</v>
      </c>
      <c r="L73" s="1">
        <v>0.01</v>
      </c>
      <c r="M73" s="1">
        <v>0.03</v>
      </c>
      <c r="N73" s="1" t="s">
        <v>53</v>
      </c>
      <c r="O73" s="1" t="s">
        <v>154</v>
      </c>
      <c r="P73" s="1">
        <v>430</v>
      </c>
      <c r="Q73" s="11"/>
      <c r="R73" s="11"/>
      <c r="T73"/>
    </row>
    <row r="74" spans="8:20">
      <c r="H74" s="11"/>
      <c r="I74" s="1" t="s">
        <v>50</v>
      </c>
      <c r="J74" s="1" t="s">
        <v>7</v>
      </c>
      <c r="K74" s="1" t="s">
        <v>14</v>
      </c>
      <c r="L74" s="1">
        <v>0.01</v>
      </c>
      <c r="M74" s="1">
        <v>0.03</v>
      </c>
      <c r="N74" s="1" t="s">
        <v>53</v>
      </c>
      <c r="O74" s="1" t="s">
        <v>155</v>
      </c>
      <c r="P74" s="1">
        <v>390</v>
      </c>
      <c r="Q74" s="11"/>
      <c r="R74" s="11"/>
      <c r="T74"/>
    </row>
    <row r="75" spans="8:20">
      <c r="H75" s="11"/>
      <c r="I75" s="1" t="s">
        <v>50</v>
      </c>
      <c r="J75" s="1" t="s">
        <v>75</v>
      </c>
      <c r="K75" s="1" t="s">
        <v>14</v>
      </c>
      <c r="L75" s="1">
        <v>0.01</v>
      </c>
      <c r="M75" s="1">
        <v>0.03</v>
      </c>
      <c r="N75" s="1" t="s">
        <v>53</v>
      </c>
      <c r="O75" s="1" t="s">
        <v>156</v>
      </c>
      <c r="P75" s="1">
        <v>350</v>
      </c>
      <c r="Q75" s="11"/>
      <c r="R75" s="11"/>
      <c r="T75"/>
    </row>
    <row r="76" spans="8:20">
      <c r="H76" s="11"/>
      <c r="I76" s="1" t="s">
        <v>50</v>
      </c>
      <c r="J76" s="1" t="s">
        <v>78</v>
      </c>
      <c r="K76" s="1" t="s">
        <v>14</v>
      </c>
      <c r="L76" s="1">
        <v>0.01</v>
      </c>
      <c r="M76" s="1">
        <v>0.03</v>
      </c>
      <c r="N76" s="1" t="s">
        <v>53</v>
      </c>
      <c r="O76" s="1" t="s">
        <v>157</v>
      </c>
      <c r="P76" s="1">
        <v>310</v>
      </c>
      <c r="Q76" s="11"/>
      <c r="R76" s="11"/>
      <c r="T76"/>
    </row>
    <row r="77" spans="8:20">
      <c r="H77" s="11"/>
      <c r="I77" s="1" t="s">
        <v>50</v>
      </c>
      <c r="J77" s="1" t="s">
        <v>81</v>
      </c>
      <c r="K77" s="1" t="s">
        <v>14</v>
      </c>
      <c r="L77" s="1">
        <v>0.01</v>
      </c>
      <c r="M77" s="1">
        <v>0.03</v>
      </c>
      <c r="N77" s="1" t="s">
        <v>53</v>
      </c>
      <c r="O77" s="1" t="s">
        <v>158</v>
      </c>
      <c r="P77" s="1">
        <v>260</v>
      </c>
      <c r="Q77" s="11"/>
      <c r="R77" s="11"/>
      <c r="T77"/>
    </row>
    <row r="78" spans="8:20">
      <c r="H78" s="11"/>
      <c r="I78" s="1" t="s">
        <v>50</v>
      </c>
      <c r="J78" s="1" t="s">
        <v>84</v>
      </c>
      <c r="K78" s="1" t="s">
        <v>14</v>
      </c>
      <c r="L78" s="1">
        <v>0.01</v>
      </c>
      <c r="M78" s="1">
        <v>0.03</v>
      </c>
      <c r="N78" s="1" t="s">
        <v>53</v>
      </c>
      <c r="O78" s="1" t="s">
        <v>159</v>
      </c>
      <c r="P78" s="1">
        <v>220</v>
      </c>
      <c r="Q78" s="11"/>
      <c r="R78" s="11"/>
      <c r="T78"/>
    </row>
    <row r="79" spans="8:20">
      <c r="H79" s="11"/>
      <c r="I79" s="1" t="s">
        <v>50</v>
      </c>
      <c r="J79" s="1" t="s">
        <v>1</v>
      </c>
      <c r="K79" s="1" t="s">
        <v>15</v>
      </c>
      <c r="L79" s="1">
        <v>0.01</v>
      </c>
      <c r="M79" s="1">
        <v>0.03</v>
      </c>
      <c r="N79" s="1" t="s">
        <v>53</v>
      </c>
      <c r="O79" s="1" t="s">
        <v>160</v>
      </c>
      <c r="P79" s="1">
        <v>400</v>
      </c>
      <c r="Q79" s="11"/>
      <c r="R79" s="11"/>
      <c r="T79"/>
    </row>
    <row r="80" spans="8:20">
      <c r="H80" s="11"/>
      <c r="I80" s="1" t="s">
        <v>50</v>
      </c>
      <c r="J80" s="1" t="s">
        <v>2</v>
      </c>
      <c r="K80" s="1" t="s">
        <v>15</v>
      </c>
      <c r="L80" s="1">
        <v>0.01</v>
      </c>
      <c r="M80" s="1">
        <v>0.03</v>
      </c>
      <c r="N80" s="1" t="s">
        <v>53</v>
      </c>
      <c r="O80" s="1" t="s">
        <v>161</v>
      </c>
      <c r="P80" s="1">
        <v>400</v>
      </c>
      <c r="Q80" s="11"/>
      <c r="R80" s="11"/>
      <c r="T80"/>
    </row>
    <row r="81" spans="8:20">
      <c r="H81" s="11"/>
      <c r="I81" s="1" t="s">
        <v>50</v>
      </c>
      <c r="J81" s="1" t="s">
        <v>3</v>
      </c>
      <c r="K81" s="1" t="s">
        <v>15</v>
      </c>
      <c r="L81" s="1">
        <v>0.01</v>
      </c>
      <c r="M81" s="1">
        <v>0.03</v>
      </c>
      <c r="N81" s="1" t="s">
        <v>53</v>
      </c>
      <c r="O81" s="1" t="s">
        <v>162</v>
      </c>
      <c r="P81" s="1">
        <v>400</v>
      </c>
      <c r="Q81" s="11"/>
      <c r="R81" s="11"/>
      <c r="T81"/>
    </row>
    <row r="82" spans="8:20">
      <c r="H82" s="11"/>
      <c r="I82" s="1" t="s">
        <v>50</v>
      </c>
      <c r="J82" s="1" t="s">
        <v>4</v>
      </c>
      <c r="K82" s="1" t="s">
        <v>15</v>
      </c>
      <c r="L82" s="1">
        <v>0.01</v>
      </c>
      <c r="M82" s="1">
        <v>0.03</v>
      </c>
      <c r="N82" s="1" t="s">
        <v>53</v>
      </c>
      <c r="O82" s="1" t="s">
        <v>163</v>
      </c>
      <c r="P82" s="1">
        <v>360</v>
      </c>
      <c r="Q82" s="11"/>
      <c r="R82" s="11"/>
      <c r="T82"/>
    </row>
    <row r="83" spans="8:20">
      <c r="H83" s="11"/>
      <c r="I83" s="1" t="s">
        <v>50</v>
      </c>
      <c r="J83" s="1" t="s">
        <v>5</v>
      </c>
      <c r="K83" s="1" t="s">
        <v>15</v>
      </c>
      <c r="L83" s="1">
        <v>0.01</v>
      </c>
      <c r="M83" s="1">
        <v>0.03</v>
      </c>
      <c r="N83" s="1" t="s">
        <v>53</v>
      </c>
      <c r="O83" s="1" t="s">
        <v>164</v>
      </c>
      <c r="P83" s="1">
        <v>360</v>
      </c>
      <c r="Q83" s="11"/>
      <c r="R83" s="11"/>
      <c r="T83"/>
    </row>
    <row r="84" spans="8:20">
      <c r="H84" s="11"/>
      <c r="I84" s="1" t="s">
        <v>50</v>
      </c>
      <c r="J84" s="1" t="s">
        <v>6</v>
      </c>
      <c r="K84" s="1" t="s">
        <v>15</v>
      </c>
      <c r="L84" s="1">
        <v>0.01</v>
      </c>
      <c r="M84" s="1">
        <v>0.03</v>
      </c>
      <c r="N84" s="1" t="s">
        <v>53</v>
      </c>
      <c r="O84" s="1" t="s">
        <v>165</v>
      </c>
      <c r="P84" s="1">
        <v>310</v>
      </c>
      <c r="Q84" s="11"/>
      <c r="R84" s="11"/>
      <c r="T84"/>
    </row>
    <row r="85" spans="8:20">
      <c r="H85" s="11"/>
      <c r="I85" s="1" t="s">
        <v>50</v>
      </c>
      <c r="J85" s="1" t="s">
        <v>7</v>
      </c>
      <c r="K85" s="1" t="s">
        <v>15</v>
      </c>
      <c r="L85" s="1">
        <v>0.01</v>
      </c>
      <c r="M85" s="1">
        <v>0.03</v>
      </c>
      <c r="N85" s="1" t="s">
        <v>53</v>
      </c>
      <c r="O85" s="1" t="s">
        <v>166</v>
      </c>
      <c r="P85" s="1">
        <v>280</v>
      </c>
      <c r="Q85" s="11"/>
      <c r="R85" s="11"/>
      <c r="T85"/>
    </row>
    <row r="86" spans="8:20">
      <c r="H86" s="11"/>
      <c r="I86" s="1" t="s">
        <v>50</v>
      </c>
      <c r="J86" s="1" t="s">
        <v>75</v>
      </c>
      <c r="K86" s="1" t="s">
        <v>15</v>
      </c>
      <c r="L86" s="1">
        <v>0.01</v>
      </c>
      <c r="M86" s="1">
        <v>0.03</v>
      </c>
      <c r="N86" s="1" t="s">
        <v>53</v>
      </c>
      <c r="O86" s="1" t="s">
        <v>167</v>
      </c>
      <c r="P86" s="1">
        <v>250</v>
      </c>
      <c r="Q86" s="11"/>
      <c r="R86" s="11"/>
      <c r="T86"/>
    </row>
    <row r="87" spans="8:20">
      <c r="H87" s="11"/>
      <c r="I87" s="1" t="s">
        <v>50</v>
      </c>
      <c r="J87" s="1" t="s">
        <v>78</v>
      </c>
      <c r="K87" s="1" t="s">
        <v>15</v>
      </c>
      <c r="L87" s="1">
        <v>0.01</v>
      </c>
      <c r="M87" s="1">
        <v>0.03</v>
      </c>
      <c r="N87" s="1" t="s">
        <v>53</v>
      </c>
      <c r="O87" s="1" t="s">
        <v>168</v>
      </c>
      <c r="P87" s="1">
        <v>220</v>
      </c>
      <c r="Q87" s="11"/>
      <c r="R87" s="11"/>
      <c r="T87"/>
    </row>
    <row r="88" spans="8:20">
      <c r="H88" s="11"/>
      <c r="I88" s="1" t="s">
        <v>50</v>
      </c>
      <c r="J88" s="1" t="s">
        <v>81</v>
      </c>
      <c r="K88" s="1" t="s">
        <v>15</v>
      </c>
      <c r="L88" s="1">
        <v>0.01</v>
      </c>
      <c r="M88" s="1">
        <v>0.03</v>
      </c>
      <c r="N88" s="1" t="s">
        <v>53</v>
      </c>
      <c r="O88" s="1" t="s">
        <v>169</v>
      </c>
      <c r="P88" s="1">
        <v>180</v>
      </c>
      <c r="Q88" s="11"/>
      <c r="R88" s="11"/>
      <c r="T88"/>
    </row>
    <row r="89" spans="8:20">
      <c r="H89" s="11"/>
      <c r="I89" s="1" t="s">
        <v>50</v>
      </c>
      <c r="J89" s="1" t="s">
        <v>84</v>
      </c>
      <c r="K89" s="1" t="s">
        <v>15</v>
      </c>
      <c r="L89" s="1">
        <v>0.01</v>
      </c>
      <c r="M89" s="1">
        <v>0.03</v>
      </c>
      <c r="N89" s="1" t="s">
        <v>53</v>
      </c>
      <c r="O89" s="1" t="s">
        <v>170</v>
      </c>
      <c r="P89" s="1">
        <v>150</v>
      </c>
      <c r="Q89" s="11"/>
      <c r="R89" s="11"/>
      <c r="T89"/>
    </row>
    <row r="90" spans="8:20">
      <c r="H90" s="11"/>
      <c r="I90" s="1" t="s">
        <v>50</v>
      </c>
      <c r="J90" s="1" t="s">
        <v>1</v>
      </c>
      <c r="K90" s="1" t="s">
        <v>16</v>
      </c>
      <c r="L90" s="1">
        <v>0.01</v>
      </c>
      <c r="M90" s="1">
        <v>0.03</v>
      </c>
      <c r="N90" s="1" t="s">
        <v>53</v>
      </c>
      <c r="O90" s="1" t="s">
        <v>171</v>
      </c>
      <c r="P90" s="1">
        <v>400</v>
      </c>
      <c r="Q90" s="11"/>
      <c r="R90" s="11"/>
      <c r="T90"/>
    </row>
    <row r="91" spans="8:20">
      <c r="H91" s="11"/>
      <c r="I91" s="1" t="s">
        <v>50</v>
      </c>
      <c r="J91" s="1" t="s">
        <v>2</v>
      </c>
      <c r="K91" s="1" t="s">
        <v>16</v>
      </c>
      <c r="L91" s="1">
        <v>0.01</v>
      </c>
      <c r="M91" s="1">
        <v>0.03</v>
      </c>
      <c r="N91" s="1" t="s">
        <v>53</v>
      </c>
      <c r="O91" s="1" t="s">
        <v>172</v>
      </c>
      <c r="P91" s="1">
        <v>400</v>
      </c>
      <c r="Q91" s="11"/>
      <c r="R91" s="11"/>
      <c r="T91"/>
    </row>
    <row r="92" spans="8:20">
      <c r="H92" s="11"/>
      <c r="I92" s="1" t="s">
        <v>50</v>
      </c>
      <c r="J92" s="1" t="s">
        <v>3</v>
      </c>
      <c r="K92" s="1" t="s">
        <v>16</v>
      </c>
      <c r="L92" s="1">
        <v>0.01</v>
      </c>
      <c r="M92" s="1">
        <v>0.03</v>
      </c>
      <c r="N92" s="1" t="s">
        <v>53</v>
      </c>
      <c r="O92" s="1" t="s">
        <v>173</v>
      </c>
      <c r="P92" s="1">
        <v>400</v>
      </c>
      <c r="Q92" s="11"/>
      <c r="R92" s="11"/>
      <c r="T92"/>
    </row>
    <row r="93" spans="8:20">
      <c r="H93" s="11"/>
      <c r="I93" s="1" t="s">
        <v>50</v>
      </c>
      <c r="J93" s="1" t="s">
        <v>4</v>
      </c>
      <c r="K93" s="1" t="s">
        <v>16</v>
      </c>
      <c r="L93" s="1">
        <v>0.01</v>
      </c>
      <c r="M93" s="1">
        <v>0.03</v>
      </c>
      <c r="N93" s="1" t="s">
        <v>53</v>
      </c>
      <c r="O93" s="1" t="s">
        <v>174</v>
      </c>
      <c r="P93" s="1">
        <v>360</v>
      </c>
      <c r="Q93" s="11"/>
      <c r="R93" s="11"/>
      <c r="T93"/>
    </row>
    <row r="94" spans="8:20">
      <c r="H94" s="11"/>
      <c r="I94" s="1" t="s">
        <v>50</v>
      </c>
      <c r="J94" s="1" t="s">
        <v>5</v>
      </c>
      <c r="K94" s="1" t="s">
        <v>16</v>
      </c>
      <c r="L94" s="1">
        <v>0.01</v>
      </c>
      <c r="M94" s="1">
        <v>0.03</v>
      </c>
      <c r="N94" s="1" t="s">
        <v>53</v>
      </c>
      <c r="O94" s="1" t="s">
        <v>175</v>
      </c>
      <c r="P94" s="1">
        <v>360</v>
      </c>
      <c r="Q94" s="11"/>
      <c r="R94" s="11"/>
      <c r="T94"/>
    </row>
    <row r="95" spans="8:20">
      <c r="H95" s="11"/>
      <c r="I95" s="1" t="s">
        <v>50</v>
      </c>
      <c r="J95" s="1" t="s">
        <v>6</v>
      </c>
      <c r="K95" s="1" t="s">
        <v>16</v>
      </c>
      <c r="L95" s="1">
        <v>0.01</v>
      </c>
      <c r="M95" s="1">
        <v>0.03</v>
      </c>
      <c r="N95" s="1" t="s">
        <v>53</v>
      </c>
      <c r="O95" s="1" t="s">
        <v>176</v>
      </c>
      <c r="P95" s="1">
        <v>310</v>
      </c>
      <c r="Q95" s="11"/>
      <c r="R95" s="11"/>
      <c r="T95"/>
    </row>
    <row r="96" spans="8:20">
      <c r="H96" s="11"/>
      <c r="I96" s="1" t="s">
        <v>50</v>
      </c>
      <c r="J96" s="1" t="s">
        <v>7</v>
      </c>
      <c r="K96" s="1" t="s">
        <v>16</v>
      </c>
      <c r="L96" s="1">
        <v>0.01</v>
      </c>
      <c r="M96" s="1">
        <v>0.03</v>
      </c>
      <c r="N96" s="1" t="s">
        <v>53</v>
      </c>
      <c r="O96" s="1" t="s">
        <v>177</v>
      </c>
      <c r="P96" s="1">
        <v>280</v>
      </c>
      <c r="Q96" s="11"/>
      <c r="R96" s="11"/>
      <c r="T96"/>
    </row>
    <row r="97" spans="8:20">
      <c r="H97" s="11"/>
      <c r="I97" s="1" t="s">
        <v>50</v>
      </c>
      <c r="J97" s="1" t="s">
        <v>75</v>
      </c>
      <c r="K97" s="1" t="s">
        <v>16</v>
      </c>
      <c r="L97" s="1">
        <v>0.01</v>
      </c>
      <c r="M97" s="1">
        <v>0.03</v>
      </c>
      <c r="N97" s="1" t="s">
        <v>53</v>
      </c>
      <c r="O97" s="1" t="s">
        <v>178</v>
      </c>
      <c r="P97" s="1">
        <v>250</v>
      </c>
      <c r="Q97" s="11"/>
      <c r="R97" s="11"/>
      <c r="T97"/>
    </row>
    <row r="98" spans="8:20">
      <c r="H98" s="11"/>
      <c r="I98" s="1" t="s">
        <v>50</v>
      </c>
      <c r="J98" s="1" t="s">
        <v>78</v>
      </c>
      <c r="K98" s="1" t="s">
        <v>16</v>
      </c>
      <c r="L98" s="1">
        <v>0.01</v>
      </c>
      <c r="M98" s="1">
        <v>0.03</v>
      </c>
      <c r="N98" s="1" t="s">
        <v>53</v>
      </c>
      <c r="O98" s="1" t="s">
        <v>179</v>
      </c>
      <c r="P98" s="1">
        <v>220</v>
      </c>
      <c r="Q98" s="11"/>
      <c r="R98" s="11"/>
      <c r="T98"/>
    </row>
    <row r="99" spans="8:20">
      <c r="H99" s="11"/>
      <c r="I99" s="1" t="s">
        <v>50</v>
      </c>
      <c r="J99" s="1" t="s">
        <v>81</v>
      </c>
      <c r="K99" s="1" t="s">
        <v>16</v>
      </c>
      <c r="L99" s="1">
        <v>0.01</v>
      </c>
      <c r="M99" s="1">
        <v>0.03</v>
      </c>
      <c r="N99" s="1" t="s">
        <v>53</v>
      </c>
      <c r="O99" s="1" t="s">
        <v>180</v>
      </c>
      <c r="P99" s="1">
        <v>180</v>
      </c>
      <c r="Q99" s="11"/>
      <c r="R99" s="11"/>
      <c r="T99"/>
    </row>
    <row r="100" spans="8:20">
      <c r="H100" s="11"/>
      <c r="I100" s="1" t="s">
        <v>50</v>
      </c>
      <c r="J100" s="1" t="s">
        <v>84</v>
      </c>
      <c r="K100" s="1" t="s">
        <v>16</v>
      </c>
      <c r="L100" s="1">
        <v>0.01</v>
      </c>
      <c r="M100" s="1">
        <v>0.03</v>
      </c>
      <c r="N100" s="1" t="s">
        <v>53</v>
      </c>
      <c r="O100" s="1" t="s">
        <v>181</v>
      </c>
      <c r="P100" s="1">
        <v>150</v>
      </c>
      <c r="Q100" s="11"/>
      <c r="R100" s="11"/>
      <c r="T100"/>
    </row>
    <row r="101" spans="8:20">
      <c r="H101" s="11"/>
      <c r="I101" s="1" t="s">
        <v>50</v>
      </c>
      <c r="J101" s="1" t="s">
        <v>1</v>
      </c>
      <c r="K101" s="1" t="s">
        <v>17</v>
      </c>
      <c r="L101" s="1">
        <v>0.01</v>
      </c>
      <c r="M101" s="1">
        <v>0.03</v>
      </c>
      <c r="N101" s="1" t="s">
        <v>53</v>
      </c>
      <c r="O101" s="1" t="s">
        <v>182</v>
      </c>
      <c r="P101" s="1">
        <v>270</v>
      </c>
      <c r="Q101" s="11"/>
      <c r="R101" s="11"/>
      <c r="T101"/>
    </row>
    <row r="102" spans="8:20">
      <c r="H102" s="11"/>
      <c r="I102" s="1" t="s">
        <v>50</v>
      </c>
      <c r="J102" s="1" t="s">
        <v>2</v>
      </c>
      <c r="K102" s="1" t="s">
        <v>17</v>
      </c>
      <c r="L102" s="1">
        <v>0.01</v>
      </c>
      <c r="M102" s="1">
        <v>0.03</v>
      </c>
      <c r="N102" s="1" t="s">
        <v>53</v>
      </c>
      <c r="O102" s="1" t="s">
        <v>183</v>
      </c>
      <c r="P102" s="1">
        <v>270</v>
      </c>
      <c r="Q102" s="11"/>
      <c r="R102" s="11"/>
      <c r="T102"/>
    </row>
    <row r="103" spans="8:20">
      <c r="H103" s="11"/>
      <c r="I103" s="1" t="s">
        <v>50</v>
      </c>
      <c r="J103" s="1" t="s">
        <v>3</v>
      </c>
      <c r="K103" s="1" t="s">
        <v>17</v>
      </c>
      <c r="L103" s="1">
        <v>0.01</v>
      </c>
      <c r="M103" s="1">
        <v>0.03</v>
      </c>
      <c r="N103" s="1" t="s">
        <v>53</v>
      </c>
      <c r="O103" s="1" t="s">
        <v>184</v>
      </c>
      <c r="P103" s="1">
        <v>270</v>
      </c>
      <c r="Q103" s="11"/>
      <c r="R103" s="11"/>
      <c r="T103"/>
    </row>
    <row r="104" spans="8:20">
      <c r="H104" s="11"/>
      <c r="I104" s="1" t="s">
        <v>50</v>
      </c>
      <c r="J104" s="1" t="s">
        <v>4</v>
      </c>
      <c r="K104" s="1" t="s">
        <v>17</v>
      </c>
      <c r="L104" s="1">
        <v>0.01</v>
      </c>
      <c r="M104" s="1">
        <v>0.03</v>
      </c>
      <c r="N104" s="1" t="s">
        <v>53</v>
      </c>
      <c r="O104" s="1" t="s">
        <v>185</v>
      </c>
      <c r="P104" s="1">
        <v>240</v>
      </c>
      <c r="Q104" s="11"/>
      <c r="R104" s="11"/>
      <c r="T104"/>
    </row>
    <row r="105" spans="8:20">
      <c r="H105" s="11"/>
      <c r="I105" s="1" t="s">
        <v>50</v>
      </c>
      <c r="J105" s="1" t="s">
        <v>5</v>
      </c>
      <c r="K105" s="1" t="s">
        <v>17</v>
      </c>
      <c r="L105" s="1">
        <v>0.01</v>
      </c>
      <c r="M105" s="1">
        <v>0.03</v>
      </c>
      <c r="N105" s="1" t="s">
        <v>53</v>
      </c>
      <c r="O105" s="1" t="s">
        <v>186</v>
      </c>
      <c r="P105" s="1">
        <v>240</v>
      </c>
      <c r="Q105" s="11"/>
      <c r="R105" s="11"/>
      <c r="T105"/>
    </row>
    <row r="106" spans="8:20">
      <c r="H106" s="11"/>
      <c r="I106" s="1" t="s">
        <v>50</v>
      </c>
      <c r="J106" s="1" t="s">
        <v>6</v>
      </c>
      <c r="K106" s="1" t="s">
        <v>17</v>
      </c>
      <c r="L106" s="1">
        <v>0.01</v>
      </c>
      <c r="M106" s="1">
        <v>0.03</v>
      </c>
      <c r="N106" s="1" t="s">
        <v>53</v>
      </c>
      <c r="O106" s="1" t="s">
        <v>187</v>
      </c>
      <c r="P106" s="1">
        <v>210</v>
      </c>
      <c r="Q106" s="11"/>
      <c r="R106" s="11"/>
      <c r="T106"/>
    </row>
    <row r="107" spans="8:20">
      <c r="H107" s="11"/>
      <c r="I107" s="1" t="s">
        <v>50</v>
      </c>
      <c r="J107" s="1" t="s">
        <v>7</v>
      </c>
      <c r="K107" s="1" t="s">
        <v>17</v>
      </c>
      <c r="L107" s="1">
        <v>0.01</v>
      </c>
      <c r="M107" s="1">
        <v>0.03</v>
      </c>
      <c r="N107" s="1" t="s">
        <v>53</v>
      </c>
      <c r="O107" s="1" t="s">
        <v>188</v>
      </c>
      <c r="P107" s="1">
        <v>190</v>
      </c>
      <c r="Q107" s="11"/>
      <c r="R107" s="11"/>
      <c r="T107"/>
    </row>
    <row r="108" spans="8:20">
      <c r="H108" s="11"/>
      <c r="I108" s="1" t="s">
        <v>50</v>
      </c>
      <c r="J108" s="1" t="s">
        <v>75</v>
      </c>
      <c r="K108" s="1" t="s">
        <v>17</v>
      </c>
      <c r="L108" s="1">
        <v>0.01</v>
      </c>
      <c r="M108" s="1">
        <v>0.03</v>
      </c>
      <c r="N108" s="1" t="s">
        <v>53</v>
      </c>
      <c r="O108" s="1" t="s">
        <v>189</v>
      </c>
      <c r="P108" s="1">
        <v>170</v>
      </c>
      <c r="Q108" s="11"/>
      <c r="R108" s="11"/>
      <c r="T108"/>
    </row>
    <row r="109" spans="8:20">
      <c r="H109" s="11"/>
      <c r="I109" s="1" t="s">
        <v>50</v>
      </c>
      <c r="J109" s="1" t="s">
        <v>78</v>
      </c>
      <c r="K109" s="1" t="s">
        <v>17</v>
      </c>
      <c r="L109" s="1">
        <v>0.01</v>
      </c>
      <c r="M109" s="1">
        <v>0.03</v>
      </c>
      <c r="N109" s="1" t="s">
        <v>53</v>
      </c>
      <c r="O109" s="1" t="s">
        <v>190</v>
      </c>
      <c r="P109" s="1">
        <v>150</v>
      </c>
      <c r="Q109" s="11"/>
      <c r="R109" s="11"/>
      <c r="T109"/>
    </row>
    <row r="110" spans="8:20">
      <c r="H110" s="11"/>
      <c r="I110" s="1" t="s">
        <v>50</v>
      </c>
      <c r="J110" s="1" t="s">
        <v>81</v>
      </c>
      <c r="K110" s="1" t="s">
        <v>17</v>
      </c>
      <c r="L110" s="1">
        <v>0.01</v>
      </c>
      <c r="M110" s="1">
        <v>0.03</v>
      </c>
      <c r="N110" s="1" t="s">
        <v>53</v>
      </c>
      <c r="O110" s="1" t="s">
        <v>191</v>
      </c>
      <c r="P110" s="1">
        <v>130</v>
      </c>
      <c r="Q110" s="11"/>
      <c r="R110" s="11"/>
      <c r="T110"/>
    </row>
    <row r="111" spans="8:20">
      <c r="H111" s="11"/>
      <c r="I111" s="1" t="s">
        <v>50</v>
      </c>
      <c r="J111" s="1" t="s">
        <v>84</v>
      </c>
      <c r="K111" s="1" t="s">
        <v>17</v>
      </c>
      <c r="L111" s="1">
        <v>0.01</v>
      </c>
      <c r="M111" s="1">
        <v>0.03</v>
      </c>
      <c r="N111" s="1" t="s">
        <v>53</v>
      </c>
      <c r="O111" s="1" t="s">
        <v>192</v>
      </c>
      <c r="P111" s="1">
        <v>110</v>
      </c>
      <c r="Q111" s="11"/>
      <c r="R111" s="11"/>
      <c r="T111"/>
    </row>
    <row r="112" spans="8:20">
      <c r="H112" s="11"/>
      <c r="I112" s="1" t="s">
        <v>50</v>
      </c>
      <c r="J112" s="1" t="s">
        <v>1</v>
      </c>
      <c r="K112" s="1" t="s">
        <v>193</v>
      </c>
      <c r="L112" s="1">
        <v>0.01</v>
      </c>
      <c r="M112" s="1">
        <v>0.03</v>
      </c>
      <c r="N112" s="1" t="s">
        <v>53</v>
      </c>
      <c r="O112" s="1" t="s">
        <v>194</v>
      </c>
      <c r="P112" s="1">
        <v>270</v>
      </c>
      <c r="Q112" s="11"/>
      <c r="R112" s="11"/>
      <c r="T112"/>
    </row>
    <row r="113" spans="8:20">
      <c r="H113" s="11"/>
      <c r="I113" s="1" t="s">
        <v>50</v>
      </c>
      <c r="J113" s="1" t="s">
        <v>2</v>
      </c>
      <c r="K113" s="1" t="s">
        <v>193</v>
      </c>
      <c r="L113" s="1">
        <v>0.01</v>
      </c>
      <c r="M113" s="1">
        <v>0.03</v>
      </c>
      <c r="N113" s="1" t="s">
        <v>53</v>
      </c>
      <c r="O113" s="1" t="s">
        <v>195</v>
      </c>
      <c r="P113" s="1">
        <v>270</v>
      </c>
      <c r="Q113" s="11"/>
      <c r="R113" s="11"/>
      <c r="T113"/>
    </row>
    <row r="114" spans="8:20">
      <c r="H114" s="11"/>
      <c r="I114" s="1" t="s">
        <v>50</v>
      </c>
      <c r="J114" s="1" t="s">
        <v>3</v>
      </c>
      <c r="K114" s="1" t="s">
        <v>193</v>
      </c>
      <c r="L114" s="1">
        <v>0.01</v>
      </c>
      <c r="M114" s="1">
        <v>0.03</v>
      </c>
      <c r="N114" s="1" t="s">
        <v>53</v>
      </c>
      <c r="O114" s="1" t="s">
        <v>196</v>
      </c>
      <c r="P114" s="1">
        <v>270</v>
      </c>
      <c r="Q114" s="11"/>
      <c r="R114" s="11"/>
      <c r="T114"/>
    </row>
    <row r="115" spans="8:20">
      <c r="H115" s="11"/>
      <c r="I115" s="1" t="s">
        <v>50</v>
      </c>
      <c r="J115" s="1" t="s">
        <v>4</v>
      </c>
      <c r="K115" s="1" t="s">
        <v>193</v>
      </c>
      <c r="L115" s="1">
        <v>0.01</v>
      </c>
      <c r="M115" s="1">
        <v>0.03</v>
      </c>
      <c r="N115" s="1" t="s">
        <v>53</v>
      </c>
      <c r="O115" s="1" t="s">
        <v>197</v>
      </c>
      <c r="P115" s="1">
        <v>240</v>
      </c>
      <c r="Q115" s="11"/>
      <c r="R115" s="11"/>
      <c r="T115"/>
    </row>
    <row r="116" spans="8:20">
      <c r="H116" s="11"/>
      <c r="I116" s="1" t="s">
        <v>50</v>
      </c>
      <c r="J116" s="1" t="s">
        <v>5</v>
      </c>
      <c r="K116" s="1" t="s">
        <v>193</v>
      </c>
      <c r="L116" s="1">
        <v>0.01</v>
      </c>
      <c r="M116" s="1">
        <v>0.03</v>
      </c>
      <c r="N116" s="1" t="s">
        <v>53</v>
      </c>
      <c r="O116" s="1" t="s">
        <v>198</v>
      </c>
      <c r="P116" s="1">
        <v>240</v>
      </c>
      <c r="Q116" s="11"/>
      <c r="R116" s="11"/>
      <c r="T116"/>
    </row>
    <row r="117" spans="8:20">
      <c r="H117" s="11"/>
      <c r="I117" s="1" t="s">
        <v>50</v>
      </c>
      <c r="J117" s="1" t="s">
        <v>6</v>
      </c>
      <c r="K117" s="1" t="s">
        <v>193</v>
      </c>
      <c r="L117" s="1">
        <v>0.01</v>
      </c>
      <c r="M117" s="1">
        <v>0.03</v>
      </c>
      <c r="N117" s="1" t="s">
        <v>53</v>
      </c>
      <c r="O117" s="1" t="s">
        <v>199</v>
      </c>
      <c r="P117" s="1">
        <v>210</v>
      </c>
      <c r="Q117" s="11"/>
      <c r="R117" s="11"/>
      <c r="T117"/>
    </row>
    <row r="118" spans="8:20">
      <c r="H118" s="11"/>
      <c r="I118" s="1" t="s">
        <v>50</v>
      </c>
      <c r="J118" s="1" t="s">
        <v>7</v>
      </c>
      <c r="K118" s="1" t="s">
        <v>193</v>
      </c>
      <c r="L118" s="1">
        <v>0.01</v>
      </c>
      <c r="M118" s="1">
        <v>0.03</v>
      </c>
      <c r="N118" s="1" t="s">
        <v>53</v>
      </c>
      <c r="O118" s="1" t="s">
        <v>200</v>
      </c>
      <c r="P118" s="1">
        <v>190</v>
      </c>
      <c r="Q118" s="11"/>
      <c r="R118" s="11"/>
      <c r="T118"/>
    </row>
    <row r="119" spans="8:20">
      <c r="H119" s="11"/>
      <c r="I119" s="1" t="s">
        <v>50</v>
      </c>
      <c r="J119" s="1" t="s">
        <v>75</v>
      </c>
      <c r="K119" s="1" t="s">
        <v>193</v>
      </c>
      <c r="L119" s="1">
        <v>0.01</v>
      </c>
      <c r="M119" s="1">
        <v>0.03</v>
      </c>
      <c r="N119" s="1" t="s">
        <v>53</v>
      </c>
      <c r="O119" s="1" t="s">
        <v>201</v>
      </c>
      <c r="P119" s="1">
        <v>170</v>
      </c>
      <c r="Q119" s="11"/>
      <c r="R119" s="11"/>
      <c r="T119"/>
    </row>
    <row r="120" spans="8:20">
      <c r="H120" s="11"/>
      <c r="I120" s="1" t="s">
        <v>50</v>
      </c>
      <c r="J120" s="1" t="s">
        <v>78</v>
      </c>
      <c r="K120" s="1" t="s">
        <v>193</v>
      </c>
      <c r="L120" s="1">
        <v>0.01</v>
      </c>
      <c r="M120" s="1">
        <v>0.03</v>
      </c>
      <c r="N120" s="1" t="s">
        <v>53</v>
      </c>
      <c r="O120" s="1" t="s">
        <v>202</v>
      </c>
      <c r="P120" s="1">
        <v>150</v>
      </c>
      <c r="Q120" s="11"/>
      <c r="R120" s="11"/>
      <c r="T120"/>
    </row>
    <row r="121" spans="8:20">
      <c r="H121" s="11"/>
      <c r="I121" s="1" t="s">
        <v>50</v>
      </c>
      <c r="J121" s="1" t="s">
        <v>81</v>
      </c>
      <c r="K121" s="1" t="s">
        <v>193</v>
      </c>
      <c r="L121" s="1">
        <v>0.01</v>
      </c>
      <c r="M121" s="1">
        <v>0.03</v>
      </c>
      <c r="N121" s="1" t="s">
        <v>53</v>
      </c>
      <c r="O121" s="1" t="s">
        <v>203</v>
      </c>
      <c r="P121" s="1">
        <v>130</v>
      </c>
      <c r="Q121" s="11"/>
      <c r="R121" s="11"/>
      <c r="T121"/>
    </row>
    <row r="122" spans="8:20">
      <c r="H122" s="11"/>
      <c r="I122" s="1" t="s">
        <v>50</v>
      </c>
      <c r="J122" s="1" t="s">
        <v>84</v>
      </c>
      <c r="K122" s="1" t="s">
        <v>193</v>
      </c>
      <c r="L122" s="1">
        <v>0.01</v>
      </c>
      <c r="M122" s="1">
        <v>0.03</v>
      </c>
      <c r="N122" s="1" t="s">
        <v>53</v>
      </c>
      <c r="O122" s="1" t="s">
        <v>204</v>
      </c>
      <c r="P122" s="1">
        <v>110</v>
      </c>
      <c r="Q122" s="11"/>
      <c r="R122" s="11"/>
      <c r="T122"/>
    </row>
    <row r="123" spans="8:20">
      <c r="H123" s="11"/>
      <c r="I123" s="1" t="s">
        <v>50</v>
      </c>
      <c r="J123" s="1" t="s">
        <v>1</v>
      </c>
      <c r="K123" s="1" t="s">
        <v>8</v>
      </c>
      <c r="L123" s="1">
        <v>0.04</v>
      </c>
      <c r="M123" s="1">
        <v>7.0000000000000007E-2</v>
      </c>
      <c r="N123" s="1" t="s">
        <v>56</v>
      </c>
      <c r="O123" s="1" t="s">
        <v>205</v>
      </c>
      <c r="P123" s="1">
        <v>860</v>
      </c>
      <c r="Q123" s="11"/>
      <c r="R123" s="11"/>
      <c r="T123"/>
    </row>
    <row r="124" spans="8:20">
      <c r="H124" s="11"/>
      <c r="I124" s="1" t="s">
        <v>50</v>
      </c>
      <c r="J124" s="1" t="s">
        <v>2</v>
      </c>
      <c r="K124" s="1" t="s">
        <v>8</v>
      </c>
      <c r="L124" s="1">
        <v>0.04</v>
      </c>
      <c r="M124" s="1">
        <v>7.0000000000000007E-2</v>
      </c>
      <c r="N124" s="1" t="s">
        <v>56</v>
      </c>
      <c r="O124" s="1" t="s">
        <v>206</v>
      </c>
      <c r="P124" s="1">
        <v>860</v>
      </c>
      <c r="Q124" s="11"/>
      <c r="R124" s="11"/>
      <c r="T124"/>
    </row>
    <row r="125" spans="8:20">
      <c r="H125" s="11"/>
      <c r="I125" s="1" t="s">
        <v>50</v>
      </c>
      <c r="J125" s="1" t="s">
        <v>3</v>
      </c>
      <c r="K125" s="1" t="s">
        <v>8</v>
      </c>
      <c r="L125" s="1">
        <v>0.04</v>
      </c>
      <c r="M125" s="1">
        <v>7.0000000000000007E-2</v>
      </c>
      <c r="N125" s="1" t="s">
        <v>56</v>
      </c>
      <c r="O125" s="1" t="s">
        <v>207</v>
      </c>
      <c r="P125" s="1">
        <v>860</v>
      </c>
      <c r="Q125" s="11"/>
      <c r="R125" s="11"/>
      <c r="T125"/>
    </row>
    <row r="126" spans="8:20">
      <c r="H126" s="11"/>
      <c r="I126" s="1" t="s">
        <v>50</v>
      </c>
      <c r="J126" s="1" t="s">
        <v>4</v>
      </c>
      <c r="K126" s="1" t="s">
        <v>8</v>
      </c>
      <c r="L126" s="1">
        <v>0.04</v>
      </c>
      <c r="M126" s="1">
        <v>7.0000000000000007E-2</v>
      </c>
      <c r="N126" s="1" t="s">
        <v>56</v>
      </c>
      <c r="O126" s="1" t="s">
        <v>208</v>
      </c>
      <c r="P126" s="1">
        <v>750</v>
      </c>
      <c r="Q126" s="11"/>
      <c r="R126" s="11"/>
      <c r="T126"/>
    </row>
    <row r="127" spans="8:20">
      <c r="H127" s="11"/>
      <c r="I127" s="1" t="s">
        <v>50</v>
      </c>
      <c r="J127" s="1" t="s">
        <v>5</v>
      </c>
      <c r="K127" s="1" t="s">
        <v>8</v>
      </c>
      <c r="L127" s="1">
        <v>0.04</v>
      </c>
      <c r="M127" s="1">
        <v>7.0000000000000007E-2</v>
      </c>
      <c r="N127" s="1" t="s">
        <v>56</v>
      </c>
      <c r="O127" s="1" t="s">
        <v>209</v>
      </c>
      <c r="P127" s="1">
        <v>750</v>
      </c>
      <c r="Q127" s="11"/>
      <c r="R127" s="11"/>
      <c r="T127"/>
    </row>
    <row r="128" spans="8:20">
      <c r="H128" s="11"/>
      <c r="I128" s="1" t="s">
        <v>50</v>
      </c>
      <c r="J128" s="1" t="s">
        <v>6</v>
      </c>
      <c r="K128" s="1" t="s">
        <v>8</v>
      </c>
      <c r="L128" s="1">
        <v>0.04</v>
      </c>
      <c r="M128" s="1">
        <v>7.0000000000000007E-2</v>
      </c>
      <c r="N128" s="1" t="s">
        <v>56</v>
      </c>
      <c r="O128" s="1" t="s">
        <v>210</v>
      </c>
      <c r="P128" s="1">
        <v>660</v>
      </c>
      <c r="Q128" s="11"/>
      <c r="R128" s="11"/>
      <c r="T128"/>
    </row>
    <row r="129" spans="8:20">
      <c r="H129" s="11"/>
      <c r="I129" s="1" t="s">
        <v>50</v>
      </c>
      <c r="J129" s="1" t="s">
        <v>7</v>
      </c>
      <c r="K129" s="1" t="s">
        <v>8</v>
      </c>
      <c r="L129" s="1">
        <v>0.04</v>
      </c>
      <c r="M129" s="1">
        <v>7.0000000000000007E-2</v>
      </c>
      <c r="N129" s="1" t="s">
        <v>56</v>
      </c>
      <c r="O129" s="1" t="s">
        <v>211</v>
      </c>
      <c r="P129" s="1">
        <v>570</v>
      </c>
      <c r="Q129" s="11"/>
      <c r="R129" s="11"/>
      <c r="T129"/>
    </row>
    <row r="130" spans="8:20">
      <c r="H130" s="11"/>
      <c r="I130" s="1" t="s">
        <v>50</v>
      </c>
      <c r="J130" s="1" t="s">
        <v>75</v>
      </c>
      <c r="K130" s="1" t="s">
        <v>8</v>
      </c>
      <c r="L130" s="1">
        <v>0.04</v>
      </c>
      <c r="M130" s="1">
        <v>7.0000000000000007E-2</v>
      </c>
      <c r="N130" s="1" t="s">
        <v>56</v>
      </c>
      <c r="O130" s="1" t="s">
        <v>212</v>
      </c>
      <c r="P130" s="1">
        <v>510</v>
      </c>
      <c r="Q130" s="11"/>
      <c r="R130" s="11"/>
      <c r="T130"/>
    </row>
    <row r="131" spans="8:20">
      <c r="H131" s="11"/>
      <c r="I131" s="1" t="s">
        <v>50</v>
      </c>
      <c r="J131" s="1" t="s">
        <v>78</v>
      </c>
      <c r="K131" s="1" t="s">
        <v>8</v>
      </c>
      <c r="L131" s="1">
        <v>0.04</v>
      </c>
      <c r="M131" s="1">
        <v>7.0000000000000007E-2</v>
      </c>
      <c r="N131" s="1" t="s">
        <v>56</v>
      </c>
      <c r="O131" s="1" t="s">
        <v>213</v>
      </c>
      <c r="P131" s="1">
        <v>450</v>
      </c>
      <c r="Q131" s="11"/>
      <c r="R131" s="11"/>
      <c r="T131"/>
    </row>
    <row r="132" spans="8:20">
      <c r="H132" s="11"/>
      <c r="I132" s="1" t="s">
        <v>50</v>
      </c>
      <c r="J132" s="1" t="s">
        <v>81</v>
      </c>
      <c r="K132" s="1" t="s">
        <v>8</v>
      </c>
      <c r="L132" s="1">
        <v>0.04</v>
      </c>
      <c r="M132" s="1">
        <v>7.0000000000000007E-2</v>
      </c>
      <c r="N132" s="1" t="s">
        <v>56</v>
      </c>
      <c r="O132" s="1" t="s">
        <v>214</v>
      </c>
      <c r="P132" s="1">
        <v>370</v>
      </c>
      <c r="Q132" s="11"/>
      <c r="R132" s="11"/>
      <c r="T132"/>
    </row>
    <row r="133" spans="8:20">
      <c r="H133" s="11"/>
      <c r="I133" s="1" t="s">
        <v>50</v>
      </c>
      <c r="J133" s="1" t="s">
        <v>84</v>
      </c>
      <c r="K133" s="1" t="s">
        <v>8</v>
      </c>
      <c r="L133" s="1">
        <v>0.04</v>
      </c>
      <c r="M133" s="1">
        <v>7.0000000000000007E-2</v>
      </c>
      <c r="N133" s="1" t="s">
        <v>56</v>
      </c>
      <c r="O133" s="1" t="s">
        <v>215</v>
      </c>
      <c r="P133" s="1">
        <v>290</v>
      </c>
      <c r="Q133" s="11"/>
      <c r="R133" s="11"/>
      <c r="T133"/>
    </row>
    <row r="134" spans="8:20">
      <c r="H134" s="11"/>
      <c r="I134" s="1" t="s">
        <v>50</v>
      </c>
      <c r="J134" s="1" t="s">
        <v>1</v>
      </c>
      <c r="K134" s="1" t="s">
        <v>9</v>
      </c>
      <c r="L134" s="1">
        <v>0.04</v>
      </c>
      <c r="M134" s="1">
        <v>7.0000000000000007E-2</v>
      </c>
      <c r="N134" s="1" t="s">
        <v>56</v>
      </c>
      <c r="O134" s="1" t="s">
        <v>216</v>
      </c>
      <c r="P134" s="1">
        <v>860</v>
      </c>
      <c r="Q134" s="11"/>
      <c r="R134" s="11"/>
      <c r="T134"/>
    </row>
    <row r="135" spans="8:20">
      <c r="H135" s="11"/>
      <c r="I135" s="1" t="s">
        <v>50</v>
      </c>
      <c r="J135" s="1" t="s">
        <v>2</v>
      </c>
      <c r="K135" s="1" t="s">
        <v>9</v>
      </c>
      <c r="L135" s="1">
        <v>0.04</v>
      </c>
      <c r="M135" s="1">
        <v>7.0000000000000007E-2</v>
      </c>
      <c r="N135" s="1" t="s">
        <v>56</v>
      </c>
      <c r="O135" s="1" t="s">
        <v>217</v>
      </c>
      <c r="P135" s="1">
        <v>860</v>
      </c>
      <c r="Q135" s="11"/>
      <c r="R135" s="11"/>
      <c r="T135"/>
    </row>
    <row r="136" spans="8:20">
      <c r="H136" s="11"/>
      <c r="I136" s="1" t="s">
        <v>50</v>
      </c>
      <c r="J136" s="1" t="s">
        <v>3</v>
      </c>
      <c r="K136" s="1" t="s">
        <v>9</v>
      </c>
      <c r="L136" s="1">
        <v>0.04</v>
      </c>
      <c r="M136" s="1">
        <v>7.0000000000000007E-2</v>
      </c>
      <c r="N136" s="1" t="s">
        <v>56</v>
      </c>
      <c r="O136" s="1" t="s">
        <v>218</v>
      </c>
      <c r="P136" s="1">
        <v>860</v>
      </c>
      <c r="Q136" s="11"/>
      <c r="R136" s="11"/>
      <c r="T136"/>
    </row>
    <row r="137" spans="8:20">
      <c r="H137" s="11"/>
      <c r="I137" s="1" t="s">
        <v>50</v>
      </c>
      <c r="J137" s="1" t="s">
        <v>4</v>
      </c>
      <c r="K137" s="1" t="s">
        <v>9</v>
      </c>
      <c r="L137" s="1">
        <v>0.04</v>
      </c>
      <c r="M137" s="1">
        <v>7.0000000000000007E-2</v>
      </c>
      <c r="N137" s="1" t="s">
        <v>56</v>
      </c>
      <c r="O137" s="1" t="s">
        <v>219</v>
      </c>
      <c r="P137" s="1">
        <v>750</v>
      </c>
      <c r="Q137" s="11"/>
      <c r="R137" s="11"/>
      <c r="T137"/>
    </row>
    <row r="138" spans="8:20">
      <c r="H138" s="11"/>
      <c r="I138" s="1" t="s">
        <v>50</v>
      </c>
      <c r="J138" s="1" t="s">
        <v>5</v>
      </c>
      <c r="K138" s="1" t="s">
        <v>9</v>
      </c>
      <c r="L138" s="1">
        <v>0.04</v>
      </c>
      <c r="M138" s="1">
        <v>7.0000000000000007E-2</v>
      </c>
      <c r="N138" s="1" t="s">
        <v>56</v>
      </c>
      <c r="O138" s="1" t="s">
        <v>220</v>
      </c>
      <c r="P138" s="1">
        <v>750</v>
      </c>
      <c r="Q138" s="11"/>
      <c r="R138" s="11"/>
      <c r="T138"/>
    </row>
    <row r="139" spans="8:20">
      <c r="H139" s="11"/>
      <c r="I139" s="1" t="s">
        <v>50</v>
      </c>
      <c r="J139" s="1" t="s">
        <v>6</v>
      </c>
      <c r="K139" s="1" t="s">
        <v>9</v>
      </c>
      <c r="L139" s="1">
        <v>0.04</v>
      </c>
      <c r="M139" s="1">
        <v>7.0000000000000007E-2</v>
      </c>
      <c r="N139" s="1" t="s">
        <v>56</v>
      </c>
      <c r="O139" s="1" t="s">
        <v>221</v>
      </c>
      <c r="P139" s="1">
        <v>660</v>
      </c>
      <c r="Q139" s="11"/>
      <c r="R139" s="11"/>
      <c r="T139"/>
    </row>
    <row r="140" spans="8:20">
      <c r="H140" s="11"/>
      <c r="I140" s="1" t="s">
        <v>50</v>
      </c>
      <c r="J140" s="1" t="s">
        <v>7</v>
      </c>
      <c r="K140" s="1" t="s">
        <v>9</v>
      </c>
      <c r="L140" s="1">
        <v>0.04</v>
      </c>
      <c r="M140" s="1">
        <v>7.0000000000000007E-2</v>
      </c>
      <c r="N140" s="1" t="s">
        <v>56</v>
      </c>
      <c r="O140" s="1" t="s">
        <v>222</v>
      </c>
      <c r="P140" s="1">
        <v>570</v>
      </c>
      <c r="Q140" s="11"/>
      <c r="R140" s="11"/>
      <c r="T140"/>
    </row>
    <row r="141" spans="8:20">
      <c r="H141" s="11"/>
      <c r="I141" s="1" t="s">
        <v>50</v>
      </c>
      <c r="J141" s="1" t="s">
        <v>75</v>
      </c>
      <c r="K141" s="1" t="s">
        <v>9</v>
      </c>
      <c r="L141" s="1">
        <v>0.04</v>
      </c>
      <c r="M141" s="1">
        <v>7.0000000000000007E-2</v>
      </c>
      <c r="N141" s="1" t="s">
        <v>56</v>
      </c>
      <c r="O141" s="1" t="s">
        <v>223</v>
      </c>
      <c r="P141" s="1">
        <v>510</v>
      </c>
      <c r="Q141" s="11"/>
      <c r="R141" s="11"/>
      <c r="T141"/>
    </row>
    <row r="142" spans="8:20">
      <c r="H142" s="11"/>
      <c r="I142" s="1" t="s">
        <v>50</v>
      </c>
      <c r="J142" s="1" t="s">
        <v>78</v>
      </c>
      <c r="K142" s="1" t="s">
        <v>9</v>
      </c>
      <c r="L142" s="1">
        <v>0.04</v>
      </c>
      <c r="M142" s="1">
        <v>7.0000000000000007E-2</v>
      </c>
      <c r="N142" s="1" t="s">
        <v>56</v>
      </c>
      <c r="O142" s="1" t="s">
        <v>224</v>
      </c>
      <c r="P142" s="1">
        <v>450</v>
      </c>
      <c r="Q142" s="11"/>
      <c r="R142" s="11"/>
      <c r="T142"/>
    </row>
    <row r="143" spans="8:20">
      <c r="H143" s="11"/>
      <c r="I143" s="1" t="s">
        <v>50</v>
      </c>
      <c r="J143" s="1" t="s">
        <v>81</v>
      </c>
      <c r="K143" s="1" t="s">
        <v>9</v>
      </c>
      <c r="L143" s="1">
        <v>0.04</v>
      </c>
      <c r="M143" s="1">
        <v>7.0000000000000007E-2</v>
      </c>
      <c r="N143" s="1" t="s">
        <v>56</v>
      </c>
      <c r="O143" s="1" t="s">
        <v>225</v>
      </c>
      <c r="P143" s="1">
        <v>370</v>
      </c>
      <c r="Q143" s="11"/>
      <c r="R143" s="11"/>
      <c r="T143"/>
    </row>
    <row r="144" spans="8:20">
      <c r="H144" s="11"/>
      <c r="I144" s="1" t="s">
        <v>50</v>
      </c>
      <c r="J144" s="1" t="s">
        <v>84</v>
      </c>
      <c r="K144" s="1" t="s">
        <v>9</v>
      </c>
      <c r="L144" s="1">
        <v>0.04</v>
      </c>
      <c r="M144" s="1">
        <v>7.0000000000000007E-2</v>
      </c>
      <c r="N144" s="1" t="s">
        <v>56</v>
      </c>
      <c r="O144" s="1" t="s">
        <v>226</v>
      </c>
      <c r="P144" s="1">
        <v>290</v>
      </c>
      <c r="Q144" s="11"/>
      <c r="R144" s="11"/>
      <c r="T144"/>
    </row>
    <row r="145" spans="8:20">
      <c r="H145" s="11"/>
      <c r="I145" s="1" t="s">
        <v>50</v>
      </c>
      <c r="J145" s="1" t="s">
        <v>1</v>
      </c>
      <c r="K145" s="1" t="s">
        <v>10</v>
      </c>
      <c r="L145" s="1">
        <v>0.04</v>
      </c>
      <c r="M145" s="1">
        <v>7.0000000000000007E-2</v>
      </c>
      <c r="N145" s="1" t="s">
        <v>56</v>
      </c>
      <c r="O145" s="1" t="s">
        <v>227</v>
      </c>
      <c r="P145" s="1">
        <v>860</v>
      </c>
      <c r="Q145" s="11"/>
      <c r="R145" s="11"/>
      <c r="T145"/>
    </row>
    <row r="146" spans="8:20">
      <c r="H146" s="11"/>
      <c r="I146" s="1" t="s">
        <v>50</v>
      </c>
      <c r="J146" s="1" t="s">
        <v>2</v>
      </c>
      <c r="K146" s="1" t="s">
        <v>10</v>
      </c>
      <c r="L146" s="1">
        <v>0.04</v>
      </c>
      <c r="M146" s="1">
        <v>7.0000000000000007E-2</v>
      </c>
      <c r="N146" s="1" t="s">
        <v>56</v>
      </c>
      <c r="O146" s="1" t="s">
        <v>228</v>
      </c>
      <c r="P146" s="1">
        <v>860</v>
      </c>
      <c r="Q146" s="11"/>
      <c r="R146" s="11"/>
      <c r="T146"/>
    </row>
    <row r="147" spans="8:20">
      <c r="H147" s="11"/>
      <c r="I147" s="1" t="s">
        <v>50</v>
      </c>
      <c r="J147" s="1" t="s">
        <v>3</v>
      </c>
      <c r="K147" s="1" t="s">
        <v>10</v>
      </c>
      <c r="L147" s="1">
        <v>0.04</v>
      </c>
      <c r="M147" s="1">
        <v>7.0000000000000007E-2</v>
      </c>
      <c r="N147" s="1" t="s">
        <v>56</v>
      </c>
      <c r="O147" s="1" t="s">
        <v>229</v>
      </c>
      <c r="P147" s="1">
        <v>860</v>
      </c>
      <c r="Q147" s="11"/>
      <c r="R147" s="11"/>
      <c r="T147"/>
    </row>
    <row r="148" spans="8:20">
      <c r="H148" s="11"/>
      <c r="I148" s="1" t="s">
        <v>50</v>
      </c>
      <c r="J148" s="1" t="s">
        <v>4</v>
      </c>
      <c r="K148" s="1" t="s">
        <v>10</v>
      </c>
      <c r="L148" s="1">
        <v>0.04</v>
      </c>
      <c r="M148" s="1">
        <v>7.0000000000000007E-2</v>
      </c>
      <c r="N148" s="1" t="s">
        <v>56</v>
      </c>
      <c r="O148" s="1" t="s">
        <v>230</v>
      </c>
      <c r="P148" s="1">
        <v>750</v>
      </c>
      <c r="Q148" s="11"/>
      <c r="R148" s="11"/>
      <c r="T148"/>
    </row>
    <row r="149" spans="8:20">
      <c r="H149" s="11"/>
      <c r="I149" s="1" t="s">
        <v>50</v>
      </c>
      <c r="J149" s="1" t="s">
        <v>5</v>
      </c>
      <c r="K149" s="1" t="s">
        <v>10</v>
      </c>
      <c r="L149" s="1">
        <v>0.04</v>
      </c>
      <c r="M149" s="1">
        <v>7.0000000000000007E-2</v>
      </c>
      <c r="N149" s="1" t="s">
        <v>56</v>
      </c>
      <c r="O149" s="1" t="s">
        <v>231</v>
      </c>
      <c r="P149" s="1">
        <v>750</v>
      </c>
      <c r="Q149" s="11"/>
      <c r="R149" s="11"/>
      <c r="T149"/>
    </row>
    <row r="150" spans="8:20">
      <c r="H150" s="11"/>
      <c r="I150" s="1" t="s">
        <v>50</v>
      </c>
      <c r="J150" s="1" t="s">
        <v>6</v>
      </c>
      <c r="K150" s="1" t="s">
        <v>10</v>
      </c>
      <c r="L150" s="1">
        <v>0.04</v>
      </c>
      <c r="M150" s="1">
        <v>7.0000000000000007E-2</v>
      </c>
      <c r="N150" s="1" t="s">
        <v>56</v>
      </c>
      <c r="O150" s="1" t="s">
        <v>232</v>
      </c>
      <c r="P150" s="1">
        <v>660</v>
      </c>
      <c r="Q150" s="11"/>
      <c r="R150" s="11"/>
      <c r="T150"/>
    </row>
    <row r="151" spans="8:20">
      <c r="H151" s="11"/>
      <c r="I151" s="1" t="s">
        <v>50</v>
      </c>
      <c r="J151" s="1" t="s">
        <v>7</v>
      </c>
      <c r="K151" s="1" t="s">
        <v>10</v>
      </c>
      <c r="L151" s="1">
        <v>0.04</v>
      </c>
      <c r="M151" s="1">
        <v>7.0000000000000007E-2</v>
      </c>
      <c r="N151" s="1" t="s">
        <v>56</v>
      </c>
      <c r="O151" s="1" t="s">
        <v>233</v>
      </c>
      <c r="P151" s="1">
        <v>570</v>
      </c>
      <c r="Q151" s="11"/>
      <c r="R151" s="11"/>
      <c r="T151"/>
    </row>
    <row r="152" spans="8:20">
      <c r="H152" s="11"/>
      <c r="I152" s="1" t="s">
        <v>50</v>
      </c>
      <c r="J152" s="1" t="s">
        <v>75</v>
      </c>
      <c r="K152" s="1" t="s">
        <v>10</v>
      </c>
      <c r="L152" s="1">
        <v>0.04</v>
      </c>
      <c r="M152" s="1">
        <v>7.0000000000000007E-2</v>
      </c>
      <c r="N152" s="1" t="s">
        <v>56</v>
      </c>
      <c r="O152" s="1" t="s">
        <v>234</v>
      </c>
      <c r="P152" s="1">
        <v>510</v>
      </c>
      <c r="Q152" s="11"/>
      <c r="R152" s="11"/>
      <c r="T152"/>
    </row>
    <row r="153" spans="8:20">
      <c r="H153" s="11"/>
      <c r="I153" s="1" t="s">
        <v>50</v>
      </c>
      <c r="J153" s="1" t="s">
        <v>78</v>
      </c>
      <c r="K153" s="1" t="s">
        <v>10</v>
      </c>
      <c r="L153" s="1">
        <v>0.04</v>
      </c>
      <c r="M153" s="1">
        <v>7.0000000000000007E-2</v>
      </c>
      <c r="N153" s="1" t="s">
        <v>56</v>
      </c>
      <c r="O153" s="1" t="s">
        <v>235</v>
      </c>
      <c r="P153" s="1">
        <v>450</v>
      </c>
      <c r="Q153" s="11"/>
      <c r="R153" s="11"/>
      <c r="T153"/>
    </row>
    <row r="154" spans="8:20">
      <c r="H154" s="11"/>
      <c r="I154" s="1" t="s">
        <v>50</v>
      </c>
      <c r="J154" s="1" t="s">
        <v>81</v>
      </c>
      <c r="K154" s="1" t="s">
        <v>10</v>
      </c>
      <c r="L154" s="1">
        <v>0.04</v>
      </c>
      <c r="M154" s="1">
        <v>7.0000000000000007E-2</v>
      </c>
      <c r="N154" s="1" t="s">
        <v>56</v>
      </c>
      <c r="O154" s="1" t="s">
        <v>236</v>
      </c>
      <c r="P154" s="1">
        <v>370</v>
      </c>
      <c r="Q154" s="11"/>
      <c r="R154" s="11"/>
      <c r="T154"/>
    </row>
    <row r="155" spans="8:20">
      <c r="H155" s="11"/>
      <c r="I155" s="1" t="s">
        <v>50</v>
      </c>
      <c r="J155" s="1" t="s">
        <v>84</v>
      </c>
      <c r="K155" s="1" t="s">
        <v>10</v>
      </c>
      <c r="L155" s="1">
        <v>0.04</v>
      </c>
      <c r="M155" s="1">
        <v>7.0000000000000007E-2</v>
      </c>
      <c r="N155" s="1" t="s">
        <v>56</v>
      </c>
      <c r="O155" s="1" t="s">
        <v>237</v>
      </c>
      <c r="P155" s="1">
        <v>290</v>
      </c>
      <c r="Q155" s="11"/>
      <c r="R155" s="11"/>
      <c r="T155"/>
    </row>
    <row r="156" spans="8:20">
      <c r="H156" s="11"/>
      <c r="I156" s="1" t="s">
        <v>50</v>
      </c>
      <c r="J156" s="1" t="s">
        <v>1</v>
      </c>
      <c r="K156" s="1" t="s">
        <v>11</v>
      </c>
      <c r="L156" s="1">
        <v>0.04</v>
      </c>
      <c r="M156" s="1">
        <v>7.0000000000000007E-2</v>
      </c>
      <c r="N156" s="1" t="s">
        <v>56</v>
      </c>
      <c r="O156" s="1" t="s">
        <v>238</v>
      </c>
      <c r="P156" s="1">
        <v>710</v>
      </c>
      <c r="Q156" s="11"/>
      <c r="R156" s="11"/>
      <c r="T156"/>
    </row>
    <row r="157" spans="8:20">
      <c r="H157" s="11"/>
      <c r="I157" s="1" t="s">
        <v>50</v>
      </c>
      <c r="J157" s="1" t="s">
        <v>2</v>
      </c>
      <c r="K157" s="1" t="s">
        <v>11</v>
      </c>
      <c r="L157" s="1">
        <v>0.04</v>
      </c>
      <c r="M157" s="1">
        <v>7.0000000000000007E-2</v>
      </c>
      <c r="N157" s="1" t="s">
        <v>56</v>
      </c>
      <c r="O157" s="1" t="s">
        <v>239</v>
      </c>
      <c r="P157" s="1">
        <v>710</v>
      </c>
      <c r="Q157" s="11"/>
      <c r="R157" s="11"/>
      <c r="T157"/>
    </row>
    <row r="158" spans="8:20">
      <c r="H158" s="11"/>
      <c r="I158" s="1" t="s">
        <v>50</v>
      </c>
      <c r="J158" s="1" t="s">
        <v>3</v>
      </c>
      <c r="K158" s="1" t="s">
        <v>11</v>
      </c>
      <c r="L158" s="1">
        <v>0.04</v>
      </c>
      <c r="M158" s="1">
        <v>7.0000000000000007E-2</v>
      </c>
      <c r="N158" s="1" t="s">
        <v>56</v>
      </c>
      <c r="O158" s="1" t="s">
        <v>240</v>
      </c>
      <c r="P158" s="1">
        <v>710</v>
      </c>
      <c r="Q158" s="11"/>
      <c r="R158" s="11"/>
      <c r="T158"/>
    </row>
    <row r="159" spans="8:20">
      <c r="H159" s="11"/>
      <c r="I159" s="1" t="s">
        <v>50</v>
      </c>
      <c r="J159" s="1" t="s">
        <v>4</v>
      </c>
      <c r="K159" s="1" t="s">
        <v>11</v>
      </c>
      <c r="L159" s="1">
        <v>0.04</v>
      </c>
      <c r="M159" s="1">
        <v>7.0000000000000007E-2</v>
      </c>
      <c r="N159" s="1" t="s">
        <v>56</v>
      </c>
      <c r="O159" s="1" t="s">
        <v>241</v>
      </c>
      <c r="P159" s="1">
        <v>640</v>
      </c>
      <c r="Q159" s="11"/>
      <c r="R159" s="11"/>
      <c r="T159"/>
    </row>
    <row r="160" spans="8:20">
      <c r="H160" s="11"/>
      <c r="I160" s="1" t="s">
        <v>50</v>
      </c>
      <c r="J160" s="1" t="s">
        <v>5</v>
      </c>
      <c r="K160" s="1" t="s">
        <v>11</v>
      </c>
      <c r="L160" s="1">
        <v>0.04</v>
      </c>
      <c r="M160" s="1">
        <v>7.0000000000000007E-2</v>
      </c>
      <c r="N160" s="1" t="s">
        <v>56</v>
      </c>
      <c r="O160" s="1" t="s">
        <v>242</v>
      </c>
      <c r="P160" s="1">
        <v>640</v>
      </c>
      <c r="Q160" s="11"/>
      <c r="R160" s="11"/>
      <c r="T160"/>
    </row>
    <row r="161" spans="8:20">
      <c r="H161" s="11"/>
      <c r="I161" s="1" t="s">
        <v>50</v>
      </c>
      <c r="J161" s="1" t="s">
        <v>6</v>
      </c>
      <c r="K161" s="1" t="s">
        <v>11</v>
      </c>
      <c r="L161" s="1">
        <v>0.04</v>
      </c>
      <c r="M161" s="1">
        <v>7.0000000000000007E-2</v>
      </c>
      <c r="N161" s="1" t="s">
        <v>56</v>
      </c>
      <c r="O161" s="1" t="s">
        <v>243</v>
      </c>
      <c r="P161" s="1">
        <v>570</v>
      </c>
      <c r="Q161" s="11"/>
      <c r="R161" s="11"/>
      <c r="T161"/>
    </row>
    <row r="162" spans="8:20">
      <c r="H162" s="11"/>
      <c r="I162" s="1" t="s">
        <v>50</v>
      </c>
      <c r="J162" s="1" t="s">
        <v>7</v>
      </c>
      <c r="K162" s="1" t="s">
        <v>11</v>
      </c>
      <c r="L162" s="1">
        <v>0.04</v>
      </c>
      <c r="M162" s="1">
        <v>7.0000000000000007E-2</v>
      </c>
      <c r="N162" s="1" t="s">
        <v>56</v>
      </c>
      <c r="O162" s="1" t="s">
        <v>244</v>
      </c>
      <c r="P162" s="1">
        <v>500</v>
      </c>
      <c r="Q162" s="11"/>
      <c r="R162" s="11"/>
      <c r="T162"/>
    </row>
    <row r="163" spans="8:20">
      <c r="H163" s="11"/>
      <c r="I163" s="1" t="s">
        <v>50</v>
      </c>
      <c r="J163" s="1" t="s">
        <v>75</v>
      </c>
      <c r="K163" s="1" t="s">
        <v>11</v>
      </c>
      <c r="L163" s="1">
        <v>0.04</v>
      </c>
      <c r="M163" s="1">
        <v>7.0000000000000007E-2</v>
      </c>
      <c r="N163" s="1" t="s">
        <v>56</v>
      </c>
      <c r="O163" s="1" t="s">
        <v>245</v>
      </c>
      <c r="P163" s="1">
        <v>450</v>
      </c>
      <c r="Q163" s="11"/>
      <c r="R163" s="11"/>
      <c r="T163"/>
    </row>
    <row r="164" spans="8:20">
      <c r="H164" s="11"/>
      <c r="I164" s="1" t="s">
        <v>50</v>
      </c>
      <c r="J164" s="1" t="s">
        <v>78</v>
      </c>
      <c r="K164" s="1" t="s">
        <v>11</v>
      </c>
      <c r="L164" s="1">
        <v>0.04</v>
      </c>
      <c r="M164" s="1">
        <v>7.0000000000000007E-2</v>
      </c>
      <c r="N164" s="1" t="s">
        <v>56</v>
      </c>
      <c r="O164" s="1" t="s">
        <v>246</v>
      </c>
      <c r="P164" s="1">
        <v>400</v>
      </c>
      <c r="Q164" s="11"/>
      <c r="R164" s="11"/>
      <c r="T164"/>
    </row>
    <row r="165" spans="8:20">
      <c r="H165" s="11"/>
      <c r="I165" s="1" t="s">
        <v>50</v>
      </c>
      <c r="J165" s="1" t="s">
        <v>81</v>
      </c>
      <c r="K165" s="1" t="s">
        <v>11</v>
      </c>
      <c r="L165" s="1">
        <v>0.04</v>
      </c>
      <c r="M165" s="1">
        <v>7.0000000000000007E-2</v>
      </c>
      <c r="N165" s="1" t="s">
        <v>56</v>
      </c>
      <c r="O165" s="1" t="s">
        <v>247</v>
      </c>
      <c r="P165" s="1">
        <v>330</v>
      </c>
      <c r="Q165" s="11"/>
      <c r="R165" s="11"/>
      <c r="T165"/>
    </row>
    <row r="166" spans="8:20">
      <c r="H166" s="11"/>
      <c r="I166" s="1" t="s">
        <v>50</v>
      </c>
      <c r="J166" s="1" t="s">
        <v>84</v>
      </c>
      <c r="K166" s="1" t="s">
        <v>11</v>
      </c>
      <c r="L166" s="1">
        <v>0.04</v>
      </c>
      <c r="M166" s="1">
        <v>7.0000000000000007E-2</v>
      </c>
      <c r="N166" s="1" t="s">
        <v>56</v>
      </c>
      <c r="O166" s="1" t="s">
        <v>248</v>
      </c>
      <c r="P166" s="1">
        <v>260</v>
      </c>
      <c r="Q166" s="11"/>
      <c r="R166" s="11"/>
      <c r="T166"/>
    </row>
    <row r="167" spans="8:20">
      <c r="H167" s="11"/>
      <c r="I167" s="1" t="s">
        <v>50</v>
      </c>
      <c r="J167" s="1" t="s">
        <v>1</v>
      </c>
      <c r="K167" s="1" t="s">
        <v>12</v>
      </c>
      <c r="L167" s="1">
        <v>0.04</v>
      </c>
      <c r="M167" s="1">
        <v>7.0000000000000007E-2</v>
      </c>
      <c r="N167" s="1" t="s">
        <v>56</v>
      </c>
      <c r="O167" s="1" t="s">
        <v>249</v>
      </c>
      <c r="P167" s="1">
        <v>710</v>
      </c>
      <c r="Q167" s="11"/>
      <c r="R167" s="11"/>
      <c r="T167"/>
    </row>
    <row r="168" spans="8:20">
      <c r="H168" s="11"/>
      <c r="I168" s="1" t="s">
        <v>50</v>
      </c>
      <c r="J168" s="1" t="s">
        <v>2</v>
      </c>
      <c r="K168" s="1" t="s">
        <v>12</v>
      </c>
      <c r="L168" s="1">
        <v>0.04</v>
      </c>
      <c r="M168" s="1">
        <v>7.0000000000000007E-2</v>
      </c>
      <c r="N168" s="1" t="s">
        <v>56</v>
      </c>
      <c r="O168" s="1" t="s">
        <v>250</v>
      </c>
      <c r="P168" s="1">
        <v>710</v>
      </c>
      <c r="Q168" s="11"/>
      <c r="R168" s="11"/>
      <c r="T168"/>
    </row>
    <row r="169" spans="8:20">
      <c r="H169" s="11"/>
      <c r="I169" s="1" t="s">
        <v>50</v>
      </c>
      <c r="J169" s="1" t="s">
        <v>3</v>
      </c>
      <c r="K169" s="1" t="s">
        <v>12</v>
      </c>
      <c r="L169" s="1">
        <v>0.04</v>
      </c>
      <c r="M169" s="1">
        <v>7.0000000000000007E-2</v>
      </c>
      <c r="N169" s="1" t="s">
        <v>56</v>
      </c>
      <c r="O169" s="1" t="s">
        <v>251</v>
      </c>
      <c r="P169" s="1">
        <v>710</v>
      </c>
      <c r="Q169" s="11"/>
      <c r="R169" s="11"/>
      <c r="T169"/>
    </row>
    <row r="170" spans="8:20">
      <c r="H170" s="11"/>
      <c r="I170" s="1" t="s">
        <v>50</v>
      </c>
      <c r="J170" s="1" t="s">
        <v>4</v>
      </c>
      <c r="K170" s="1" t="s">
        <v>12</v>
      </c>
      <c r="L170" s="1">
        <v>0.04</v>
      </c>
      <c r="M170" s="1">
        <v>7.0000000000000007E-2</v>
      </c>
      <c r="N170" s="1" t="s">
        <v>56</v>
      </c>
      <c r="O170" s="1" t="s">
        <v>252</v>
      </c>
      <c r="P170" s="1">
        <v>640</v>
      </c>
      <c r="Q170" s="11"/>
      <c r="R170" s="11"/>
      <c r="T170"/>
    </row>
    <row r="171" spans="8:20">
      <c r="H171" s="11"/>
      <c r="I171" s="1" t="s">
        <v>50</v>
      </c>
      <c r="J171" s="1" t="s">
        <v>5</v>
      </c>
      <c r="K171" s="1" t="s">
        <v>12</v>
      </c>
      <c r="L171" s="1">
        <v>0.04</v>
      </c>
      <c r="M171" s="1">
        <v>7.0000000000000007E-2</v>
      </c>
      <c r="N171" s="1" t="s">
        <v>56</v>
      </c>
      <c r="O171" s="1" t="s">
        <v>253</v>
      </c>
      <c r="P171" s="1">
        <v>640</v>
      </c>
      <c r="Q171" s="11"/>
      <c r="R171" s="11"/>
      <c r="T171"/>
    </row>
    <row r="172" spans="8:20">
      <c r="H172" s="11"/>
      <c r="I172" s="1" t="s">
        <v>50</v>
      </c>
      <c r="J172" s="1" t="s">
        <v>6</v>
      </c>
      <c r="K172" s="1" t="s">
        <v>12</v>
      </c>
      <c r="L172" s="1">
        <v>0.04</v>
      </c>
      <c r="M172" s="1">
        <v>7.0000000000000007E-2</v>
      </c>
      <c r="N172" s="1" t="s">
        <v>56</v>
      </c>
      <c r="O172" s="1" t="s">
        <v>254</v>
      </c>
      <c r="P172" s="1">
        <v>570</v>
      </c>
      <c r="Q172" s="11"/>
      <c r="R172" s="11"/>
      <c r="T172"/>
    </row>
    <row r="173" spans="8:20">
      <c r="H173" s="11"/>
      <c r="I173" s="1" t="s">
        <v>50</v>
      </c>
      <c r="J173" s="1" t="s">
        <v>7</v>
      </c>
      <c r="K173" s="1" t="s">
        <v>12</v>
      </c>
      <c r="L173" s="1">
        <v>0.04</v>
      </c>
      <c r="M173" s="1">
        <v>7.0000000000000007E-2</v>
      </c>
      <c r="N173" s="1" t="s">
        <v>56</v>
      </c>
      <c r="O173" s="1" t="s">
        <v>255</v>
      </c>
      <c r="P173" s="1">
        <v>500</v>
      </c>
      <c r="Q173" s="11"/>
      <c r="R173" s="11"/>
      <c r="T173"/>
    </row>
    <row r="174" spans="8:20">
      <c r="H174" s="11"/>
      <c r="I174" s="1" t="s">
        <v>50</v>
      </c>
      <c r="J174" s="1" t="s">
        <v>75</v>
      </c>
      <c r="K174" s="1" t="s">
        <v>12</v>
      </c>
      <c r="L174" s="1">
        <v>0.04</v>
      </c>
      <c r="M174" s="1">
        <v>7.0000000000000007E-2</v>
      </c>
      <c r="N174" s="1" t="s">
        <v>56</v>
      </c>
      <c r="O174" s="1" t="s">
        <v>256</v>
      </c>
      <c r="P174" s="1">
        <v>450</v>
      </c>
      <c r="Q174" s="11"/>
      <c r="R174" s="11"/>
      <c r="T174"/>
    </row>
    <row r="175" spans="8:20">
      <c r="H175" s="11"/>
      <c r="I175" s="1" t="s">
        <v>50</v>
      </c>
      <c r="J175" s="1" t="s">
        <v>78</v>
      </c>
      <c r="K175" s="1" t="s">
        <v>12</v>
      </c>
      <c r="L175" s="1">
        <v>0.04</v>
      </c>
      <c r="M175" s="1">
        <v>7.0000000000000007E-2</v>
      </c>
      <c r="N175" s="1" t="s">
        <v>56</v>
      </c>
      <c r="O175" s="1" t="s">
        <v>257</v>
      </c>
      <c r="P175" s="1">
        <v>400</v>
      </c>
      <c r="Q175" s="11"/>
      <c r="R175" s="11"/>
      <c r="T175"/>
    </row>
    <row r="176" spans="8:20">
      <c r="H176" s="11"/>
      <c r="I176" s="1" t="s">
        <v>50</v>
      </c>
      <c r="J176" s="1" t="s">
        <v>81</v>
      </c>
      <c r="K176" s="1" t="s">
        <v>12</v>
      </c>
      <c r="L176" s="1">
        <v>0.04</v>
      </c>
      <c r="M176" s="1">
        <v>7.0000000000000007E-2</v>
      </c>
      <c r="N176" s="1" t="s">
        <v>56</v>
      </c>
      <c r="O176" s="1" t="s">
        <v>258</v>
      </c>
      <c r="P176" s="1">
        <v>330</v>
      </c>
      <c r="Q176" s="11"/>
      <c r="R176" s="11"/>
      <c r="T176"/>
    </row>
    <row r="177" spans="8:20">
      <c r="H177" s="11"/>
      <c r="I177" s="1" t="s">
        <v>50</v>
      </c>
      <c r="J177" s="1" t="s">
        <v>84</v>
      </c>
      <c r="K177" s="1" t="s">
        <v>12</v>
      </c>
      <c r="L177" s="1">
        <v>0.04</v>
      </c>
      <c r="M177" s="1">
        <v>7.0000000000000007E-2</v>
      </c>
      <c r="N177" s="1" t="s">
        <v>56</v>
      </c>
      <c r="O177" s="1" t="s">
        <v>259</v>
      </c>
      <c r="P177" s="1">
        <v>260</v>
      </c>
      <c r="Q177" s="11"/>
      <c r="R177" s="11"/>
      <c r="T177"/>
    </row>
    <row r="178" spans="8:20">
      <c r="H178" s="11"/>
      <c r="I178" s="1" t="s">
        <v>50</v>
      </c>
      <c r="J178" s="1" t="s">
        <v>1</v>
      </c>
      <c r="K178" s="1" t="s">
        <v>13</v>
      </c>
      <c r="L178" s="1">
        <v>0.04</v>
      </c>
      <c r="M178" s="1">
        <v>7.0000000000000007E-2</v>
      </c>
      <c r="N178" s="1" t="s">
        <v>56</v>
      </c>
      <c r="O178" s="1" t="s">
        <v>260</v>
      </c>
      <c r="P178" s="1">
        <v>600</v>
      </c>
      <c r="Q178" s="11"/>
      <c r="R178" s="11"/>
      <c r="T178"/>
    </row>
    <row r="179" spans="8:20">
      <c r="H179" s="11"/>
      <c r="I179" s="1" t="s">
        <v>50</v>
      </c>
      <c r="J179" s="1" t="s">
        <v>2</v>
      </c>
      <c r="K179" s="1" t="s">
        <v>13</v>
      </c>
      <c r="L179" s="1">
        <v>0.04</v>
      </c>
      <c r="M179" s="1">
        <v>7.0000000000000007E-2</v>
      </c>
      <c r="N179" s="1" t="s">
        <v>56</v>
      </c>
      <c r="O179" s="1" t="s">
        <v>261</v>
      </c>
      <c r="P179" s="1">
        <v>600</v>
      </c>
      <c r="Q179" s="11"/>
      <c r="R179" s="11"/>
      <c r="T179"/>
    </row>
    <row r="180" spans="8:20">
      <c r="H180" s="11"/>
      <c r="I180" s="1" t="s">
        <v>50</v>
      </c>
      <c r="J180" s="1" t="s">
        <v>3</v>
      </c>
      <c r="K180" s="1" t="s">
        <v>13</v>
      </c>
      <c r="L180" s="1">
        <v>0.04</v>
      </c>
      <c r="M180" s="1">
        <v>7.0000000000000007E-2</v>
      </c>
      <c r="N180" s="1" t="s">
        <v>56</v>
      </c>
      <c r="O180" s="1" t="s">
        <v>262</v>
      </c>
      <c r="P180" s="1">
        <v>600</v>
      </c>
      <c r="Q180" s="11"/>
      <c r="R180" s="11"/>
      <c r="T180"/>
    </row>
    <row r="181" spans="8:20">
      <c r="H181" s="11"/>
      <c r="I181" s="1" t="s">
        <v>50</v>
      </c>
      <c r="J181" s="1" t="s">
        <v>4</v>
      </c>
      <c r="K181" s="1" t="s">
        <v>13</v>
      </c>
      <c r="L181" s="1">
        <v>0.04</v>
      </c>
      <c r="M181" s="1">
        <v>7.0000000000000007E-2</v>
      </c>
      <c r="N181" s="1" t="s">
        <v>56</v>
      </c>
      <c r="O181" s="1" t="s">
        <v>263</v>
      </c>
      <c r="P181" s="1">
        <v>540</v>
      </c>
      <c r="Q181" s="11"/>
      <c r="R181" s="11"/>
      <c r="T181"/>
    </row>
    <row r="182" spans="8:20">
      <c r="H182" s="11"/>
      <c r="I182" s="1" t="s">
        <v>50</v>
      </c>
      <c r="J182" s="1" t="s">
        <v>5</v>
      </c>
      <c r="K182" s="1" t="s">
        <v>13</v>
      </c>
      <c r="L182" s="1">
        <v>0.04</v>
      </c>
      <c r="M182" s="1">
        <v>7.0000000000000007E-2</v>
      </c>
      <c r="N182" s="1" t="s">
        <v>56</v>
      </c>
      <c r="O182" s="1" t="s">
        <v>264</v>
      </c>
      <c r="P182" s="1">
        <v>540</v>
      </c>
      <c r="Q182" s="11"/>
      <c r="R182" s="11"/>
      <c r="T182"/>
    </row>
    <row r="183" spans="8:20">
      <c r="H183" s="11"/>
      <c r="I183" s="1" t="s">
        <v>50</v>
      </c>
      <c r="J183" s="1" t="s">
        <v>6</v>
      </c>
      <c r="K183" s="1" t="s">
        <v>13</v>
      </c>
      <c r="L183" s="1">
        <v>0.04</v>
      </c>
      <c r="M183" s="1">
        <v>7.0000000000000007E-2</v>
      </c>
      <c r="N183" s="1" t="s">
        <v>56</v>
      </c>
      <c r="O183" s="1" t="s">
        <v>265</v>
      </c>
      <c r="P183" s="1">
        <v>470</v>
      </c>
      <c r="Q183" s="11"/>
      <c r="R183" s="11"/>
      <c r="T183"/>
    </row>
    <row r="184" spans="8:20">
      <c r="H184" s="11"/>
      <c r="I184" s="1" t="s">
        <v>50</v>
      </c>
      <c r="J184" s="1" t="s">
        <v>7</v>
      </c>
      <c r="K184" s="1" t="s">
        <v>13</v>
      </c>
      <c r="L184" s="1">
        <v>0.04</v>
      </c>
      <c r="M184" s="1">
        <v>7.0000000000000007E-2</v>
      </c>
      <c r="N184" s="1" t="s">
        <v>56</v>
      </c>
      <c r="O184" s="1" t="s">
        <v>266</v>
      </c>
      <c r="P184" s="1">
        <v>420</v>
      </c>
      <c r="Q184" s="11"/>
      <c r="R184" s="11"/>
      <c r="T184"/>
    </row>
    <row r="185" spans="8:20">
      <c r="H185" s="11"/>
      <c r="I185" s="1" t="s">
        <v>50</v>
      </c>
      <c r="J185" s="1" t="s">
        <v>75</v>
      </c>
      <c r="K185" s="1" t="s">
        <v>13</v>
      </c>
      <c r="L185" s="1">
        <v>0.04</v>
      </c>
      <c r="M185" s="1">
        <v>7.0000000000000007E-2</v>
      </c>
      <c r="N185" s="1" t="s">
        <v>56</v>
      </c>
      <c r="O185" s="1" t="s">
        <v>267</v>
      </c>
      <c r="P185" s="1">
        <v>380</v>
      </c>
      <c r="Q185" s="11"/>
      <c r="R185" s="11"/>
      <c r="T185"/>
    </row>
    <row r="186" spans="8:20">
      <c r="H186" s="11"/>
      <c r="I186" s="1" t="s">
        <v>50</v>
      </c>
      <c r="J186" s="1" t="s">
        <v>78</v>
      </c>
      <c r="K186" s="1" t="s">
        <v>13</v>
      </c>
      <c r="L186" s="1">
        <v>0.04</v>
      </c>
      <c r="M186" s="1">
        <v>7.0000000000000007E-2</v>
      </c>
      <c r="N186" s="1" t="s">
        <v>56</v>
      </c>
      <c r="O186" s="1" t="s">
        <v>268</v>
      </c>
      <c r="P186" s="1">
        <v>340</v>
      </c>
      <c r="Q186" s="11"/>
      <c r="R186" s="11"/>
      <c r="T186"/>
    </row>
    <row r="187" spans="8:20">
      <c r="H187" s="11"/>
      <c r="I187" s="1" t="s">
        <v>50</v>
      </c>
      <c r="J187" s="1" t="s">
        <v>81</v>
      </c>
      <c r="K187" s="1" t="s">
        <v>13</v>
      </c>
      <c r="L187" s="1">
        <v>0.04</v>
      </c>
      <c r="M187" s="1">
        <v>7.0000000000000007E-2</v>
      </c>
      <c r="N187" s="1" t="s">
        <v>56</v>
      </c>
      <c r="O187" s="1" t="s">
        <v>269</v>
      </c>
      <c r="P187" s="1">
        <v>280</v>
      </c>
      <c r="Q187" s="11"/>
      <c r="R187" s="11"/>
      <c r="T187"/>
    </row>
    <row r="188" spans="8:20">
      <c r="H188" s="11"/>
      <c r="I188" s="1" t="s">
        <v>50</v>
      </c>
      <c r="J188" s="1" t="s">
        <v>84</v>
      </c>
      <c r="K188" s="1" t="s">
        <v>13</v>
      </c>
      <c r="L188" s="1">
        <v>0.04</v>
      </c>
      <c r="M188" s="1">
        <v>7.0000000000000007E-2</v>
      </c>
      <c r="N188" s="1" t="s">
        <v>56</v>
      </c>
      <c r="O188" s="1" t="s">
        <v>270</v>
      </c>
      <c r="P188" s="1">
        <v>230</v>
      </c>
      <c r="Q188" s="11"/>
      <c r="R188" s="11"/>
      <c r="T188"/>
    </row>
    <row r="189" spans="8:20">
      <c r="H189" s="11"/>
      <c r="I189" s="1" t="s">
        <v>50</v>
      </c>
      <c r="J189" s="1" t="s">
        <v>1</v>
      </c>
      <c r="K189" s="1" t="s">
        <v>14</v>
      </c>
      <c r="L189" s="1">
        <v>0.04</v>
      </c>
      <c r="M189" s="1">
        <v>7.0000000000000007E-2</v>
      </c>
      <c r="N189" s="1" t="s">
        <v>56</v>
      </c>
      <c r="O189" s="1" t="s">
        <v>271</v>
      </c>
      <c r="P189" s="1">
        <v>600</v>
      </c>
      <c r="Q189" s="11"/>
      <c r="R189" s="11"/>
      <c r="T189"/>
    </row>
    <row r="190" spans="8:20">
      <c r="H190" s="11"/>
      <c r="I190" s="1" t="s">
        <v>50</v>
      </c>
      <c r="J190" s="1" t="s">
        <v>2</v>
      </c>
      <c r="K190" s="1" t="s">
        <v>14</v>
      </c>
      <c r="L190" s="1">
        <v>0.04</v>
      </c>
      <c r="M190" s="1">
        <v>7.0000000000000007E-2</v>
      </c>
      <c r="N190" s="1" t="s">
        <v>56</v>
      </c>
      <c r="O190" s="1" t="s">
        <v>272</v>
      </c>
      <c r="P190" s="1">
        <v>600</v>
      </c>
      <c r="Q190" s="11"/>
      <c r="R190" s="11"/>
      <c r="T190"/>
    </row>
    <row r="191" spans="8:20">
      <c r="H191" s="11"/>
      <c r="I191" s="1" t="s">
        <v>50</v>
      </c>
      <c r="J191" s="1" t="s">
        <v>3</v>
      </c>
      <c r="K191" s="1" t="s">
        <v>14</v>
      </c>
      <c r="L191" s="1">
        <v>0.04</v>
      </c>
      <c r="M191" s="1">
        <v>7.0000000000000007E-2</v>
      </c>
      <c r="N191" s="1" t="s">
        <v>56</v>
      </c>
      <c r="O191" s="1" t="s">
        <v>273</v>
      </c>
      <c r="P191" s="1">
        <v>600</v>
      </c>
      <c r="Q191" s="11"/>
      <c r="R191" s="11"/>
      <c r="T191"/>
    </row>
    <row r="192" spans="8:20">
      <c r="H192" s="11"/>
      <c r="I192" s="1" t="s">
        <v>50</v>
      </c>
      <c r="J192" s="1" t="s">
        <v>4</v>
      </c>
      <c r="K192" s="1" t="s">
        <v>14</v>
      </c>
      <c r="L192" s="1">
        <v>0.04</v>
      </c>
      <c r="M192" s="1">
        <v>7.0000000000000007E-2</v>
      </c>
      <c r="N192" s="1" t="s">
        <v>56</v>
      </c>
      <c r="O192" s="1" t="s">
        <v>274</v>
      </c>
      <c r="P192" s="1">
        <v>540</v>
      </c>
      <c r="Q192" s="11"/>
      <c r="R192" s="11"/>
      <c r="T192"/>
    </row>
    <row r="193" spans="8:20">
      <c r="H193" s="11"/>
      <c r="I193" s="1" t="s">
        <v>50</v>
      </c>
      <c r="J193" s="1" t="s">
        <v>5</v>
      </c>
      <c r="K193" s="1" t="s">
        <v>14</v>
      </c>
      <c r="L193" s="1">
        <v>0.04</v>
      </c>
      <c r="M193" s="1">
        <v>7.0000000000000007E-2</v>
      </c>
      <c r="N193" s="1" t="s">
        <v>56</v>
      </c>
      <c r="O193" s="1" t="s">
        <v>275</v>
      </c>
      <c r="P193" s="1">
        <v>540</v>
      </c>
      <c r="Q193" s="11"/>
      <c r="R193" s="11"/>
      <c r="T193"/>
    </row>
    <row r="194" spans="8:20">
      <c r="H194" s="11"/>
      <c r="I194" s="1" t="s">
        <v>50</v>
      </c>
      <c r="J194" s="1" t="s">
        <v>6</v>
      </c>
      <c r="K194" s="1" t="s">
        <v>14</v>
      </c>
      <c r="L194" s="1">
        <v>0.04</v>
      </c>
      <c r="M194" s="1">
        <v>7.0000000000000007E-2</v>
      </c>
      <c r="N194" s="1" t="s">
        <v>56</v>
      </c>
      <c r="O194" s="1" t="s">
        <v>276</v>
      </c>
      <c r="P194" s="1">
        <v>470</v>
      </c>
      <c r="Q194" s="11"/>
      <c r="R194" s="11"/>
      <c r="T194"/>
    </row>
    <row r="195" spans="8:20">
      <c r="H195" s="11"/>
      <c r="I195" s="1" t="s">
        <v>50</v>
      </c>
      <c r="J195" s="1" t="s">
        <v>7</v>
      </c>
      <c r="K195" s="1" t="s">
        <v>14</v>
      </c>
      <c r="L195" s="1">
        <v>0.04</v>
      </c>
      <c r="M195" s="1">
        <v>7.0000000000000007E-2</v>
      </c>
      <c r="N195" s="1" t="s">
        <v>56</v>
      </c>
      <c r="O195" s="1" t="s">
        <v>277</v>
      </c>
      <c r="P195" s="1">
        <v>420</v>
      </c>
      <c r="Q195" s="11"/>
      <c r="R195" s="11"/>
      <c r="T195"/>
    </row>
    <row r="196" spans="8:20">
      <c r="H196" s="11"/>
      <c r="I196" s="1" t="s">
        <v>50</v>
      </c>
      <c r="J196" s="1" t="s">
        <v>75</v>
      </c>
      <c r="K196" s="1" t="s">
        <v>14</v>
      </c>
      <c r="L196" s="1">
        <v>0.04</v>
      </c>
      <c r="M196" s="1">
        <v>7.0000000000000007E-2</v>
      </c>
      <c r="N196" s="1" t="s">
        <v>56</v>
      </c>
      <c r="O196" s="1" t="s">
        <v>278</v>
      </c>
      <c r="P196" s="1">
        <v>380</v>
      </c>
      <c r="Q196" s="11"/>
      <c r="R196" s="11"/>
      <c r="T196"/>
    </row>
    <row r="197" spans="8:20">
      <c r="H197" s="11"/>
      <c r="I197" s="1" t="s">
        <v>50</v>
      </c>
      <c r="J197" s="1" t="s">
        <v>78</v>
      </c>
      <c r="K197" s="1" t="s">
        <v>14</v>
      </c>
      <c r="L197" s="1">
        <v>0.04</v>
      </c>
      <c r="M197" s="1">
        <v>7.0000000000000007E-2</v>
      </c>
      <c r="N197" s="1" t="s">
        <v>56</v>
      </c>
      <c r="O197" s="1" t="s">
        <v>279</v>
      </c>
      <c r="P197" s="1">
        <v>340</v>
      </c>
      <c r="Q197" s="11"/>
      <c r="R197" s="11"/>
      <c r="T197"/>
    </row>
    <row r="198" spans="8:20">
      <c r="H198" s="11"/>
      <c r="I198" s="1" t="s">
        <v>50</v>
      </c>
      <c r="J198" s="1" t="s">
        <v>81</v>
      </c>
      <c r="K198" s="1" t="s">
        <v>14</v>
      </c>
      <c r="L198" s="1">
        <v>0.04</v>
      </c>
      <c r="M198" s="1">
        <v>7.0000000000000007E-2</v>
      </c>
      <c r="N198" s="1" t="s">
        <v>56</v>
      </c>
      <c r="O198" s="1" t="s">
        <v>280</v>
      </c>
      <c r="P198" s="1">
        <v>280</v>
      </c>
      <c r="Q198" s="11"/>
      <c r="R198" s="11"/>
      <c r="T198"/>
    </row>
    <row r="199" spans="8:20">
      <c r="H199" s="11"/>
      <c r="I199" s="1" t="s">
        <v>50</v>
      </c>
      <c r="J199" s="1" t="s">
        <v>84</v>
      </c>
      <c r="K199" s="1" t="s">
        <v>14</v>
      </c>
      <c r="L199" s="1">
        <v>0.04</v>
      </c>
      <c r="M199" s="1">
        <v>7.0000000000000007E-2</v>
      </c>
      <c r="N199" s="1" t="s">
        <v>56</v>
      </c>
      <c r="O199" s="1" t="s">
        <v>281</v>
      </c>
      <c r="P199" s="1">
        <v>230</v>
      </c>
      <c r="Q199" s="11"/>
      <c r="R199" s="11"/>
      <c r="T199"/>
    </row>
    <row r="200" spans="8:20">
      <c r="H200" s="11"/>
      <c r="I200" s="1" t="s">
        <v>50</v>
      </c>
      <c r="J200" s="1" t="s">
        <v>1</v>
      </c>
      <c r="K200" s="1" t="s">
        <v>15</v>
      </c>
      <c r="L200" s="1">
        <v>0.04</v>
      </c>
      <c r="M200" s="1">
        <v>7.0000000000000007E-2</v>
      </c>
      <c r="N200" s="1" t="s">
        <v>56</v>
      </c>
      <c r="O200" s="1" t="s">
        <v>282</v>
      </c>
      <c r="P200" s="1">
        <v>430</v>
      </c>
      <c r="Q200" s="11"/>
      <c r="R200" s="11"/>
      <c r="T200"/>
    </row>
    <row r="201" spans="8:20">
      <c r="H201" s="11"/>
      <c r="I201" s="1" t="s">
        <v>50</v>
      </c>
      <c r="J201" s="1" t="s">
        <v>2</v>
      </c>
      <c r="K201" s="1" t="s">
        <v>15</v>
      </c>
      <c r="L201" s="1">
        <v>0.04</v>
      </c>
      <c r="M201" s="1">
        <v>7.0000000000000007E-2</v>
      </c>
      <c r="N201" s="1" t="s">
        <v>56</v>
      </c>
      <c r="O201" s="1" t="s">
        <v>283</v>
      </c>
      <c r="P201" s="1">
        <v>430</v>
      </c>
      <c r="Q201" s="11"/>
      <c r="R201" s="11"/>
      <c r="T201"/>
    </row>
    <row r="202" spans="8:20">
      <c r="H202" s="11"/>
      <c r="I202" s="1" t="s">
        <v>50</v>
      </c>
      <c r="J202" s="1" t="s">
        <v>3</v>
      </c>
      <c r="K202" s="1" t="s">
        <v>15</v>
      </c>
      <c r="L202" s="1">
        <v>0.04</v>
      </c>
      <c r="M202" s="1">
        <v>7.0000000000000007E-2</v>
      </c>
      <c r="N202" s="1" t="s">
        <v>56</v>
      </c>
      <c r="O202" s="1" t="s">
        <v>284</v>
      </c>
      <c r="P202" s="1">
        <v>430</v>
      </c>
      <c r="Q202" s="11"/>
      <c r="R202" s="11"/>
      <c r="T202"/>
    </row>
    <row r="203" spans="8:20">
      <c r="H203" s="11"/>
      <c r="I203" s="1" t="s">
        <v>50</v>
      </c>
      <c r="J203" s="1" t="s">
        <v>4</v>
      </c>
      <c r="K203" s="1" t="s">
        <v>15</v>
      </c>
      <c r="L203" s="1">
        <v>0.04</v>
      </c>
      <c r="M203" s="1">
        <v>7.0000000000000007E-2</v>
      </c>
      <c r="N203" s="1" t="s">
        <v>56</v>
      </c>
      <c r="O203" s="1" t="s">
        <v>285</v>
      </c>
      <c r="P203" s="1">
        <v>390</v>
      </c>
      <c r="Q203" s="11"/>
      <c r="R203" s="11"/>
      <c r="T203"/>
    </row>
    <row r="204" spans="8:20">
      <c r="H204" s="11"/>
      <c r="I204" s="1" t="s">
        <v>50</v>
      </c>
      <c r="J204" s="1" t="s">
        <v>5</v>
      </c>
      <c r="K204" s="1" t="s">
        <v>15</v>
      </c>
      <c r="L204" s="1">
        <v>0.04</v>
      </c>
      <c r="M204" s="1">
        <v>7.0000000000000007E-2</v>
      </c>
      <c r="N204" s="1" t="s">
        <v>56</v>
      </c>
      <c r="O204" s="1" t="s">
        <v>286</v>
      </c>
      <c r="P204" s="1">
        <v>390</v>
      </c>
      <c r="Q204" s="11"/>
      <c r="R204" s="11"/>
      <c r="T204"/>
    </row>
    <row r="205" spans="8:20">
      <c r="H205" s="11"/>
      <c r="I205" s="1" t="s">
        <v>50</v>
      </c>
      <c r="J205" s="1" t="s">
        <v>6</v>
      </c>
      <c r="K205" s="1" t="s">
        <v>15</v>
      </c>
      <c r="L205" s="1">
        <v>0.04</v>
      </c>
      <c r="M205" s="1">
        <v>7.0000000000000007E-2</v>
      </c>
      <c r="N205" s="1" t="s">
        <v>56</v>
      </c>
      <c r="O205" s="1" t="s">
        <v>287</v>
      </c>
      <c r="P205" s="1">
        <v>340</v>
      </c>
      <c r="Q205" s="11"/>
      <c r="R205" s="11"/>
      <c r="T205"/>
    </row>
    <row r="206" spans="8:20">
      <c r="H206" s="11"/>
      <c r="I206" s="1" t="s">
        <v>50</v>
      </c>
      <c r="J206" s="1" t="s">
        <v>7</v>
      </c>
      <c r="K206" s="1" t="s">
        <v>15</v>
      </c>
      <c r="L206" s="1">
        <v>0.04</v>
      </c>
      <c r="M206" s="1">
        <v>7.0000000000000007E-2</v>
      </c>
      <c r="N206" s="1" t="s">
        <v>56</v>
      </c>
      <c r="O206" s="1" t="s">
        <v>288</v>
      </c>
      <c r="P206" s="1">
        <v>300</v>
      </c>
      <c r="Q206" s="11"/>
      <c r="R206" s="11"/>
      <c r="T206"/>
    </row>
    <row r="207" spans="8:20">
      <c r="H207" s="11"/>
      <c r="I207" s="1" t="s">
        <v>50</v>
      </c>
      <c r="J207" s="1" t="s">
        <v>75</v>
      </c>
      <c r="K207" s="1" t="s">
        <v>15</v>
      </c>
      <c r="L207" s="1">
        <v>0.04</v>
      </c>
      <c r="M207" s="1">
        <v>7.0000000000000007E-2</v>
      </c>
      <c r="N207" s="1" t="s">
        <v>56</v>
      </c>
      <c r="O207" s="1" t="s">
        <v>289</v>
      </c>
      <c r="P207" s="1">
        <v>270</v>
      </c>
      <c r="Q207" s="11"/>
      <c r="R207" s="11"/>
      <c r="T207"/>
    </row>
    <row r="208" spans="8:20">
      <c r="H208" s="11"/>
      <c r="I208" s="1" t="s">
        <v>50</v>
      </c>
      <c r="J208" s="1" t="s">
        <v>78</v>
      </c>
      <c r="K208" s="1" t="s">
        <v>15</v>
      </c>
      <c r="L208" s="1">
        <v>0.04</v>
      </c>
      <c r="M208" s="1">
        <v>7.0000000000000007E-2</v>
      </c>
      <c r="N208" s="1" t="s">
        <v>56</v>
      </c>
      <c r="O208" s="1" t="s">
        <v>290</v>
      </c>
      <c r="P208" s="1">
        <v>240</v>
      </c>
      <c r="Q208" s="11"/>
      <c r="R208" s="11"/>
      <c r="T208"/>
    </row>
    <row r="209" spans="8:20">
      <c r="H209" s="11"/>
      <c r="I209" s="1" t="s">
        <v>50</v>
      </c>
      <c r="J209" s="1" t="s">
        <v>81</v>
      </c>
      <c r="K209" s="1" t="s">
        <v>15</v>
      </c>
      <c r="L209" s="1">
        <v>0.04</v>
      </c>
      <c r="M209" s="1">
        <v>7.0000000000000007E-2</v>
      </c>
      <c r="N209" s="1" t="s">
        <v>56</v>
      </c>
      <c r="O209" s="1" t="s">
        <v>291</v>
      </c>
      <c r="P209" s="1">
        <v>200</v>
      </c>
      <c r="Q209" s="11"/>
      <c r="R209" s="11"/>
      <c r="T209"/>
    </row>
    <row r="210" spans="8:20">
      <c r="H210" s="11"/>
      <c r="I210" s="1" t="s">
        <v>50</v>
      </c>
      <c r="J210" s="1" t="s">
        <v>84</v>
      </c>
      <c r="K210" s="1" t="s">
        <v>15</v>
      </c>
      <c r="L210" s="1">
        <v>0.04</v>
      </c>
      <c r="M210" s="1">
        <v>7.0000000000000007E-2</v>
      </c>
      <c r="N210" s="1" t="s">
        <v>56</v>
      </c>
      <c r="O210" s="1" t="s">
        <v>292</v>
      </c>
      <c r="P210" s="1">
        <v>160</v>
      </c>
      <c r="Q210" s="11"/>
      <c r="R210" s="11"/>
      <c r="T210"/>
    </row>
    <row r="211" spans="8:20">
      <c r="H211" s="11"/>
      <c r="I211" s="1" t="s">
        <v>50</v>
      </c>
      <c r="J211" s="1" t="s">
        <v>1</v>
      </c>
      <c r="K211" s="1" t="s">
        <v>16</v>
      </c>
      <c r="L211" s="1">
        <v>0.04</v>
      </c>
      <c r="M211" s="1">
        <v>7.0000000000000007E-2</v>
      </c>
      <c r="N211" s="1" t="s">
        <v>56</v>
      </c>
      <c r="O211" s="1" t="s">
        <v>293</v>
      </c>
      <c r="P211" s="1">
        <v>430</v>
      </c>
      <c r="Q211" s="11"/>
      <c r="R211" s="11"/>
      <c r="T211"/>
    </row>
    <row r="212" spans="8:20">
      <c r="H212" s="11"/>
      <c r="I212" s="1" t="s">
        <v>50</v>
      </c>
      <c r="J212" s="1" t="s">
        <v>2</v>
      </c>
      <c r="K212" s="1" t="s">
        <v>16</v>
      </c>
      <c r="L212" s="1">
        <v>0.04</v>
      </c>
      <c r="M212" s="1">
        <v>7.0000000000000007E-2</v>
      </c>
      <c r="N212" s="1" t="s">
        <v>56</v>
      </c>
      <c r="O212" s="1" t="s">
        <v>294</v>
      </c>
      <c r="P212" s="1">
        <v>430</v>
      </c>
      <c r="Q212" s="11"/>
      <c r="R212" s="11"/>
      <c r="T212"/>
    </row>
    <row r="213" spans="8:20">
      <c r="H213" s="11"/>
      <c r="I213" s="1" t="s">
        <v>50</v>
      </c>
      <c r="J213" s="1" t="s">
        <v>3</v>
      </c>
      <c r="K213" s="1" t="s">
        <v>16</v>
      </c>
      <c r="L213" s="1">
        <v>0.04</v>
      </c>
      <c r="M213" s="1">
        <v>7.0000000000000007E-2</v>
      </c>
      <c r="N213" s="1" t="s">
        <v>56</v>
      </c>
      <c r="O213" s="1" t="s">
        <v>295</v>
      </c>
      <c r="P213" s="1">
        <v>430</v>
      </c>
      <c r="Q213" s="11"/>
      <c r="R213" s="11"/>
      <c r="T213"/>
    </row>
    <row r="214" spans="8:20">
      <c r="H214" s="11"/>
      <c r="I214" s="1" t="s">
        <v>50</v>
      </c>
      <c r="J214" s="1" t="s">
        <v>4</v>
      </c>
      <c r="K214" s="1" t="s">
        <v>16</v>
      </c>
      <c r="L214" s="1">
        <v>0.04</v>
      </c>
      <c r="M214" s="1">
        <v>7.0000000000000007E-2</v>
      </c>
      <c r="N214" s="1" t="s">
        <v>56</v>
      </c>
      <c r="O214" s="1" t="s">
        <v>296</v>
      </c>
      <c r="P214" s="1">
        <v>390</v>
      </c>
      <c r="Q214" s="11"/>
      <c r="R214" s="11"/>
      <c r="T214"/>
    </row>
    <row r="215" spans="8:20">
      <c r="H215" s="11"/>
      <c r="I215" s="1" t="s">
        <v>50</v>
      </c>
      <c r="J215" s="1" t="s">
        <v>5</v>
      </c>
      <c r="K215" s="1" t="s">
        <v>16</v>
      </c>
      <c r="L215" s="1">
        <v>0.04</v>
      </c>
      <c r="M215" s="1">
        <v>7.0000000000000007E-2</v>
      </c>
      <c r="N215" s="1" t="s">
        <v>56</v>
      </c>
      <c r="O215" s="1" t="s">
        <v>297</v>
      </c>
      <c r="P215" s="1">
        <v>390</v>
      </c>
      <c r="Q215" s="11"/>
      <c r="R215" s="11"/>
      <c r="T215"/>
    </row>
    <row r="216" spans="8:20">
      <c r="H216" s="11"/>
      <c r="I216" s="1" t="s">
        <v>50</v>
      </c>
      <c r="J216" s="1" t="s">
        <v>6</v>
      </c>
      <c r="K216" s="1" t="s">
        <v>16</v>
      </c>
      <c r="L216" s="1">
        <v>0.04</v>
      </c>
      <c r="M216" s="1">
        <v>7.0000000000000007E-2</v>
      </c>
      <c r="N216" s="1" t="s">
        <v>56</v>
      </c>
      <c r="O216" s="1" t="s">
        <v>298</v>
      </c>
      <c r="P216" s="1">
        <v>340</v>
      </c>
      <c r="Q216" s="11"/>
      <c r="R216" s="11"/>
      <c r="T216"/>
    </row>
    <row r="217" spans="8:20">
      <c r="H217" s="11"/>
      <c r="I217" s="1" t="s">
        <v>50</v>
      </c>
      <c r="J217" s="1" t="s">
        <v>7</v>
      </c>
      <c r="K217" s="1" t="s">
        <v>16</v>
      </c>
      <c r="L217" s="1">
        <v>0.04</v>
      </c>
      <c r="M217" s="1">
        <v>7.0000000000000007E-2</v>
      </c>
      <c r="N217" s="1" t="s">
        <v>56</v>
      </c>
      <c r="O217" s="1" t="s">
        <v>299</v>
      </c>
      <c r="P217" s="1">
        <v>300</v>
      </c>
      <c r="Q217" s="11"/>
      <c r="R217" s="11"/>
      <c r="T217"/>
    </row>
    <row r="218" spans="8:20">
      <c r="H218" s="11"/>
      <c r="I218" s="1" t="s">
        <v>50</v>
      </c>
      <c r="J218" s="1" t="s">
        <v>75</v>
      </c>
      <c r="K218" s="1" t="s">
        <v>16</v>
      </c>
      <c r="L218" s="1">
        <v>0.04</v>
      </c>
      <c r="M218" s="1">
        <v>7.0000000000000007E-2</v>
      </c>
      <c r="N218" s="1" t="s">
        <v>56</v>
      </c>
      <c r="O218" s="1" t="s">
        <v>300</v>
      </c>
      <c r="P218" s="1">
        <v>270</v>
      </c>
      <c r="Q218" s="11"/>
      <c r="R218" s="11"/>
      <c r="T218"/>
    </row>
    <row r="219" spans="8:20">
      <c r="H219" s="11"/>
      <c r="I219" s="1" t="s">
        <v>50</v>
      </c>
      <c r="J219" s="1" t="s">
        <v>78</v>
      </c>
      <c r="K219" s="1" t="s">
        <v>16</v>
      </c>
      <c r="L219" s="1">
        <v>0.04</v>
      </c>
      <c r="M219" s="1">
        <v>7.0000000000000007E-2</v>
      </c>
      <c r="N219" s="1" t="s">
        <v>56</v>
      </c>
      <c r="O219" s="1" t="s">
        <v>301</v>
      </c>
      <c r="P219" s="1">
        <v>240</v>
      </c>
      <c r="Q219" s="11"/>
      <c r="R219" s="11"/>
      <c r="T219"/>
    </row>
    <row r="220" spans="8:20">
      <c r="H220" s="11"/>
      <c r="I220" s="1" t="s">
        <v>50</v>
      </c>
      <c r="J220" s="1" t="s">
        <v>81</v>
      </c>
      <c r="K220" s="1" t="s">
        <v>16</v>
      </c>
      <c r="L220" s="1">
        <v>0.04</v>
      </c>
      <c r="M220" s="1">
        <v>7.0000000000000007E-2</v>
      </c>
      <c r="N220" s="1" t="s">
        <v>56</v>
      </c>
      <c r="O220" s="1" t="s">
        <v>302</v>
      </c>
      <c r="P220" s="1">
        <v>200</v>
      </c>
      <c r="Q220" s="11"/>
      <c r="R220" s="11"/>
      <c r="T220"/>
    </row>
    <row r="221" spans="8:20">
      <c r="H221" s="11"/>
      <c r="I221" s="1" t="s">
        <v>50</v>
      </c>
      <c r="J221" s="1" t="s">
        <v>84</v>
      </c>
      <c r="K221" s="1" t="s">
        <v>16</v>
      </c>
      <c r="L221" s="1">
        <v>0.04</v>
      </c>
      <c r="M221" s="1">
        <v>7.0000000000000007E-2</v>
      </c>
      <c r="N221" s="1" t="s">
        <v>56</v>
      </c>
      <c r="O221" s="1" t="s">
        <v>303</v>
      </c>
      <c r="P221" s="1">
        <v>160</v>
      </c>
      <c r="Q221" s="11"/>
      <c r="R221" s="11"/>
      <c r="T221"/>
    </row>
    <row r="222" spans="8:20">
      <c r="H222" s="11"/>
      <c r="I222" s="1" t="s">
        <v>50</v>
      </c>
      <c r="J222" s="1" t="s">
        <v>1</v>
      </c>
      <c r="K222" s="1" t="s">
        <v>17</v>
      </c>
      <c r="L222" s="1">
        <v>0.04</v>
      </c>
      <c r="M222" s="1">
        <v>7.0000000000000007E-2</v>
      </c>
      <c r="N222" s="1" t="s">
        <v>56</v>
      </c>
      <c r="O222" s="1" t="s">
        <v>304</v>
      </c>
      <c r="P222" s="1">
        <v>290</v>
      </c>
      <c r="Q222" s="11"/>
      <c r="R222" s="11"/>
      <c r="T222"/>
    </row>
    <row r="223" spans="8:20">
      <c r="H223" s="11"/>
      <c r="I223" s="1" t="s">
        <v>50</v>
      </c>
      <c r="J223" s="1" t="s">
        <v>2</v>
      </c>
      <c r="K223" s="1" t="s">
        <v>17</v>
      </c>
      <c r="L223" s="1">
        <v>0.04</v>
      </c>
      <c r="M223" s="1">
        <v>7.0000000000000007E-2</v>
      </c>
      <c r="N223" s="1" t="s">
        <v>56</v>
      </c>
      <c r="O223" s="1" t="s">
        <v>305</v>
      </c>
      <c r="P223" s="1">
        <v>290</v>
      </c>
      <c r="Q223" s="11"/>
      <c r="R223" s="11"/>
      <c r="T223"/>
    </row>
    <row r="224" spans="8:20">
      <c r="H224" s="11"/>
      <c r="I224" s="1" t="s">
        <v>50</v>
      </c>
      <c r="J224" s="1" t="s">
        <v>3</v>
      </c>
      <c r="K224" s="1" t="s">
        <v>17</v>
      </c>
      <c r="L224" s="1">
        <v>0.04</v>
      </c>
      <c r="M224" s="1">
        <v>7.0000000000000007E-2</v>
      </c>
      <c r="N224" s="1" t="s">
        <v>56</v>
      </c>
      <c r="O224" s="1" t="s">
        <v>306</v>
      </c>
      <c r="P224" s="1">
        <v>290</v>
      </c>
      <c r="Q224" s="11"/>
      <c r="R224" s="11"/>
      <c r="T224"/>
    </row>
    <row r="225" spans="8:20">
      <c r="H225" s="11"/>
      <c r="I225" s="1" t="s">
        <v>50</v>
      </c>
      <c r="J225" s="1" t="s">
        <v>4</v>
      </c>
      <c r="K225" s="1" t="s">
        <v>17</v>
      </c>
      <c r="L225" s="1">
        <v>0.04</v>
      </c>
      <c r="M225" s="1">
        <v>7.0000000000000007E-2</v>
      </c>
      <c r="N225" s="1" t="s">
        <v>56</v>
      </c>
      <c r="O225" s="1" t="s">
        <v>307</v>
      </c>
      <c r="P225" s="1">
        <v>260</v>
      </c>
      <c r="Q225" s="11"/>
      <c r="R225" s="11"/>
      <c r="T225"/>
    </row>
    <row r="226" spans="8:20">
      <c r="H226" s="11"/>
      <c r="I226" s="1" t="s">
        <v>50</v>
      </c>
      <c r="J226" s="1" t="s">
        <v>5</v>
      </c>
      <c r="K226" s="1" t="s">
        <v>17</v>
      </c>
      <c r="L226" s="1">
        <v>0.04</v>
      </c>
      <c r="M226" s="1">
        <v>7.0000000000000007E-2</v>
      </c>
      <c r="N226" s="1" t="s">
        <v>56</v>
      </c>
      <c r="O226" s="1" t="s">
        <v>308</v>
      </c>
      <c r="P226" s="1">
        <v>260</v>
      </c>
      <c r="Q226" s="11"/>
      <c r="R226" s="11"/>
      <c r="T226"/>
    </row>
    <row r="227" spans="8:20">
      <c r="H227" s="11"/>
      <c r="I227" s="1" t="s">
        <v>50</v>
      </c>
      <c r="J227" s="1" t="s">
        <v>6</v>
      </c>
      <c r="K227" s="1" t="s">
        <v>17</v>
      </c>
      <c r="L227" s="1">
        <v>0.04</v>
      </c>
      <c r="M227" s="1">
        <v>7.0000000000000007E-2</v>
      </c>
      <c r="N227" s="1" t="s">
        <v>56</v>
      </c>
      <c r="O227" s="1" t="s">
        <v>309</v>
      </c>
      <c r="P227" s="1">
        <v>230</v>
      </c>
      <c r="Q227" s="11"/>
      <c r="R227" s="11"/>
      <c r="T227"/>
    </row>
    <row r="228" spans="8:20">
      <c r="H228" s="11"/>
      <c r="I228" s="1" t="s">
        <v>50</v>
      </c>
      <c r="J228" s="1" t="s">
        <v>7</v>
      </c>
      <c r="K228" s="1" t="s">
        <v>17</v>
      </c>
      <c r="L228" s="1">
        <v>0.04</v>
      </c>
      <c r="M228" s="1">
        <v>7.0000000000000007E-2</v>
      </c>
      <c r="N228" s="1" t="s">
        <v>56</v>
      </c>
      <c r="O228" s="1" t="s">
        <v>310</v>
      </c>
      <c r="P228" s="1">
        <v>200</v>
      </c>
      <c r="Q228" s="11"/>
      <c r="R228" s="11"/>
      <c r="T228"/>
    </row>
    <row r="229" spans="8:20">
      <c r="H229" s="11"/>
      <c r="I229" s="1" t="s">
        <v>50</v>
      </c>
      <c r="J229" s="1" t="s">
        <v>75</v>
      </c>
      <c r="K229" s="1" t="s">
        <v>17</v>
      </c>
      <c r="L229" s="1">
        <v>0.04</v>
      </c>
      <c r="M229" s="1">
        <v>7.0000000000000007E-2</v>
      </c>
      <c r="N229" s="1" t="s">
        <v>56</v>
      </c>
      <c r="O229" s="1" t="s">
        <v>311</v>
      </c>
      <c r="P229" s="1">
        <v>180</v>
      </c>
      <c r="Q229" s="11"/>
      <c r="R229" s="11"/>
      <c r="T229"/>
    </row>
    <row r="230" spans="8:20">
      <c r="H230" s="11"/>
      <c r="I230" s="1" t="s">
        <v>50</v>
      </c>
      <c r="J230" s="1" t="s">
        <v>78</v>
      </c>
      <c r="K230" s="1" t="s">
        <v>17</v>
      </c>
      <c r="L230" s="1">
        <v>0.04</v>
      </c>
      <c r="M230" s="1">
        <v>7.0000000000000007E-2</v>
      </c>
      <c r="N230" s="1" t="s">
        <v>56</v>
      </c>
      <c r="O230" s="1" t="s">
        <v>312</v>
      </c>
      <c r="P230" s="1">
        <v>160</v>
      </c>
      <c r="Q230" s="11"/>
      <c r="R230" s="11"/>
      <c r="T230"/>
    </row>
    <row r="231" spans="8:20">
      <c r="H231" s="11"/>
      <c r="I231" s="1" t="s">
        <v>50</v>
      </c>
      <c r="J231" s="1" t="s">
        <v>81</v>
      </c>
      <c r="K231" s="1" t="s">
        <v>17</v>
      </c>
      <c r="L231" s="1">
        <v>0.04</v>
      </c>
      <c r="M231" s="1">
        <v>7.0000000000000007E-2</v>
      </c>
      <c r="N231" s="1" t="s">
        <v>56</v>
      </c>
      <c r="O231" s="1" t="s">
        <v>313</v>
      </c>
      <c r="P231" s="1">
        <v>140</v>
      </c>
      <c r="Q231" s="11"/>
      <c r="R231" s="11"/>
      <c r="T231"/>
    </row>
    <row r="232" spans="8:20">
      <c r="H232" s="11"/>
      <c r="I232" s="1" t="s">
        <v>50</v>
      </c>
      <c r="J232" s="1" t="s">
        <v>84</v>
      </c>
      <c r="K232" s="1" t="s">
        <v>17</v>
      </c>
      <c r="L232" s="1">
        <v>0.04</v>
      </c>
      <c r="M232" s="1">
        <v>7.0000000000000007E-2</v>
      </c>
      <c r="N232" s="1" t="s">
        <v>56</v>
      </c>
      <c r="O232" s="1" t="s">
        <v>314</v>
      </c>
      <c r="P232" s="1">
        <v>120</v>
      </c>
      <c r="Q232" s="11"/>
      <c r="R232" s="11"/>
      <c r="T232"/>
    </row>
    <row r="233" spans="8:20">
      <c r="H233" s="11"/>
      <c r="I233" s="1" t="s">
        <v>50</v>
      </c>
      <c r="J233" s="1" t="s">
        <v>1</v>
      </c>
      <c r="K233" s="1" t="s">
        <v>193</v>
      </c>
      <c r="L233" s="1">
        <v>0.04</v>
      </c>
      <c r="M233" s="1">
        <v>7.0000000000000007E-2</v>
      </c>
      <c r="N233" s="1" t="s">
        <v>56</v>
      </c>
      <c r="O233" s="1" t="s">
        <v>315</v>
      </c>
      <c r="P233" s="1">
        <v>290</v>
      </c>
      <c r="Q233" s="11"/>
      <c r="R233" s="11"/>
      <c r="T233"/>
    </row>
    <row r="234" spans="8:20">
      <c r="H234" s="11"/>
      <c r="I234" s="1" t="s">
        <v>50</v>
      </c>
      <c r="J234" s="1" t="s">
        <v>2</v>
      </c>
      <c r="K234" s="1" t="s">
        <v>193</v>
      </c>
      <c r="L234" s="1">
        <v>0.04</v>
      </c>
      <c r="M234" s="1">
        <v>7.0000000000000007E-2</v>
      </c>
      <c r="N234" s="1" t="s">
        <v>56</v>
      </c>
      <c r="O234" s="1" t="s">
        <v>316</v>
      </c>
      <c r="P234" s="1">
        <v>290</v>
      </c>
      <c r="Q234" s="11"/>
      <c r="R234" s="11"/>
      <c r="T234"/>
    </row>
    <row r="235" spans="8:20">
      <c r="H235" s="11"/>
      <c r="I235" s="1" t="s">
        <v>50</v>
      </c>
      <c r="J235" s="1" t="s">
        <v>3</v>
      </c>
      <c r="K235" s="1" t="s">
        <v>193</v>
      </c>
      <c r="L235" s="1">
        <v>0.04</v>
      </c>
      <c r="M235" s="1">
        <v>7.0000000000000007E-2</v>
      </c>
      <c r="N235" s="1" t="s">
        <v>56</v>
      </c>
      <c r="O235" s="1" t="s">
        <v>317</v>
      </c>
      <c r="P235" s="1">
        <v>290</v>
      </c>
      <c r="Q235" s="11"/>
      <c r="R235" s="11"/>
      <c r="T235"/>
    </row>
    <row r="236" spans="8:20">
      <c r="H236" s="11"/>
      <c r="I236" s="1" t="s">
        <v>50</v>
      </c>
      <c r="J236" s="1" t="s">
        <v>4</v>
      </c>
      <c r="K236" s="1" t="s">
        <v>193</v>
      </c>
      <c r="L236" s="1">
        <v>0.04</v>
      </c>
      <c r="M236" s="1">
        <v>7.0000000000000007E-2</v>
      </c>
      <c r="N236" s="1" t="s">
        <v>56</v>
      </c>
      <c r="O236" s="1" t="s">
        <v>318</v>
      </c>
      <c r="P236" s="1">
        <v>260</v>
      </c>
      <c r="Q236" s="11"/>
      <c r="R236" s="11"/>
      <c r="T236"/>
    </row>
    <row r="237" spans="8:20">
      <c r="H237" s="11"/>
      <c r="I237" s="1" t="s">
        <v>50</v>
      </c>
      <c r="J237" s="1" t="s">
        <v>5</v>
      </c>
      <c r="K237" s="1" t="s">
        <v>193</v>
      </c>
      <c r="L237" s="1">
        <v>0.04</v>
      </c>
      <c r="M237" s="1">
        <v>7.0000000000000007E-2</v>
      </c>
      <c r="N237" s="1" t="s">
        <v>56</v>
      </c>
      <c r="O237" s="1" t="s">
        <v>319</v>
      </c>
      <c r="P237" s="1">
        <v>260</v>
      </c>
      <c r="Q237" s="11"/>
      <c r="R237" s="11"/>
      <c r="T237"/>
    </row>
    <row r="238" spans="8:20">
      <c r="H238" s="11"/>
      <c r="I238" s="1" t="s">
        <v>50</v>
      </c>
      <c r="J238" s="1" t="s">
        <v>6</v>
      </c>
      <c r="K238" s="1" t="s">
        <v>193</v>
      </c>
      <c r="L238" s="1">
        <v>0.04</v>
      </c>
      <c r="M238" s="1">
        <v>7.0000000000000007E-2</v>
      </c>
      <c r="N238" s="1" t="s">
        <v>56</v>
      </c>
      <c r="O238" s="1" t="s">
        <v>320</v>
      </c>
      <c r="P238" s="1">
        <v>230</v>
      </c>
      <c r="Q238" s="11"/>
      <c r="R238" s="11"/>
      <c r="T238"/>
    </row>
    <row r="239" spans="8:20">
      <c r="H239" s="11"/>
      <c r="I239" s="1" t="s">
        <v>50</v>
      </c>
      <c r="J239" s="1" t="s">
        <v>7</v>
      </c>
      <c r="K239" s="1" t="s">
        <v>193</v>
      </c>
      <c r="L239" s="1">
        <v>0.04</v>
      </c>
      <c r="M239" s="1">
        <v>7.0000000000000007E-2</v>
      </c>
      <c r="N239" s="1" t="s">
        <v>56</v>
      </c>
      <c r="O239" s="1" t="s">
        <v>321</v>
      </c>
      <c r="P239" s="1">
        <v>200</v>
      </c>
      <c r="Q239" s="11"/>
      <c r="R239" s="11"/>
      <c r="T239"/>
    </row>
    <row r="240" spans="8:20">
      <c r="H240" s="11"/>
      <c r="I240" s="1" t="s">
        <v>50</v>
      </c>
      <c r="J240" s="1" t="s">
        <v>75</v>
      </c>
      <c r="K240" s="1" t="s">
        <v>193</v>
      </c>
      <c r="L240" s="1">
        <v>0.04</v>
      </c>
      <c r="M240" s="1">
        <v>7.0000000000000007E-2</v>
      </c>
      <c r="N240" s="1" t="s">
        <v>56</v>
      </c>
      <c r="O240" s="1" t="s">
        <v>322</v>
      </c>
      <c r="P240" s="1">
        <v>180</v>
      </c>
      <c r="Q240" s="11"/>
      <c r="R240" s="11"/>
      <c r="T240"/>
    </row>
    <row r="241" spans="8:20">
      <c r="H241" s="11"/>
      <c r="I241" s="1" t="s">
        <v>50</v>
      </c>
      <c r="J241" s="1" t="s">
        <v>78</v>
      </c>
      <c r="K241" s="1" t="s">
        <v>193</v>
      </c>
      <c r="L241" s="1">
        <v>0.04</v>
      </c>
      <c r="M241" s="1">
        <v>7.0000000000000007E-2</v>
      </c>
      <c r="N241" s="1" t="s">
        <v>56</v>
      </c>
      <c r="O241" s="1" t="s">
        <v>323</v>
      </c>
      <c r="P241" s="1">
        <v>160</v>
      </c>
      <c r="Q241" s="11"/>
      <c r="R241" s="11"/>
      <c r="T241"/>
    </row>
    <row r="242" spans="8:20">
      <c r="H242" s="11"/>
      <c r="I242" s="1" t="s">
        <v>50</v>
      </c>
      <c r="J242" s="1" t="s">
        <v>81</v>
      </c>
      <c r="K242" s="1" t="s">
        <v>193</v>
      </c>
      <c r="L242" s="1">
        <v>0.04</v>
      </c>
      <c r="M242" s="1">
        <v>7.0000000000000007E-2</v>
      </c>
      <c r="N242" s="1" t="s">
        <v>56</v>
      </c>
      <c r="O242" s="1" t="s">
        <v>324</v>
      </c>
      <c r="P242" s="1">
        <v>140</v>
      </c>
      <c r="Q242" s="11"/>
      <c r="R242" s="11"/>
      <c r="T242"/>
    </row>
    <row r="243" spans="8:20">
      <c r="H243" s="11"/>
      <c r="I243" s="1" t="s">
        <v>50</v>
      </c>
      <c r="J243" s="1" t="s">
        <v>84</v>
      </c>
      <c r="K243" s="1" t="s">
        <v>193</v>
      </c>
      <c r="L243" s="1">
        <v>0.04</v>
      </c>
      <c r="M243" s="1">
        <v>7.0000000000000007E-2</v>
      </c>
      <c r="N243" s="1" t="s">
        <v>56</v>
      </c>
      <c r="O243" s="1" t="s">
        <v>325</v>
      </c>
      <c r="P243" s="1">
        <v>120</v>
      </c>
      <c r="Q243" s="11"/>
      <c r="R243" s="11"/>
      <c r="T243"/>
    </row>
    <row r="244" spans="8:20">
      <c r="H244" s="11"/>
      <c r="I244" s="1" t="s">
        <v>50</v>
      </c>
      <c r="J244" s="1" t="s">
        <v>1</v>
      </c>
      <c r="K244" s="1" t="s">
        <v>8</v>
      </c>
      <c r="L244" s="1">
        <v>0.08</v>
      </c>
      <c r="M244" s="1">
        <v>0.14000000000000001</v>
      </c>
      <c r="N244" s="1" t="s">
        <v>60</v>
      </c>
      <c r="O244" s="1" t="s">
        <v>326</v>
      </c>
      <c r="P244" s="1">
        <v>1010</v>
      </c>
      <c r="Q244" s="11"/>
      <c r="R244" s="11"/>
      <c r="T244"/>
    </row>
    <row r="245" spans="8:20">
      <c r="H245" s="11"/>
      <c r="I245" s="1" t="s">
        <v>50</v>
      </c>
      <c r="J245" s="1" t="s">
        <v>2</v>
      </c>
      <c r="K245" s="1" t="s">
        <v>8</v>
      </c>
      <c r="L245" s="1">
        <v>0.08</v>
      </c>
      <c r="M245" s="1">
        <v>0.14000000000000001</v>
      </c>
      <c r="N245" s="1" t="s">
        <v>60</v>
      </c>
      <c r="O245" s="1" t="s">
        <v>327</v>
      </c>
      <c r="P245" s="1">
        <v>1010</v>
      </c>
      <c r="Q245" s="11"/>
      <c r="R245" s="11"/>
      <c r="T245"/>
    </row>
    <row r="246" spans="8:20">
      <c r="H246" s="11"/>
      <c r="I246" s="1" t="s">
        <v>50</v>
      </c>
      <c r="J246" s="1" t="s">
        <v>3</v>
      </c>
      <c r="K246" s="1" t="s">
        <v>8</v>
      </c>
      <c r="L246" s="1">
        <v>0.08</v>
      </c>
      <c r="M246" s="1">
        <v>0.14000000000000001</v>
      </c>
      <c r="N246" s="1" t="s">
        <v>60</v>
      </c>
      <c r="O246" s="1" t="s">
        <v>328</v>
      </c>
      <c r="P246" s="1">
        <v>1010</v>
      </c>
      <c r="Q246" s="11"/>
      <c r="R246" s="11"/>
      <c r="T246"/>
    </row>
    <row r="247" spans="8:20">
      <c r="H247" s="11"/>
      <c r="I247" s="1" t="s">
        <v>50</v>
      </c>
      <c r="J247" s="1" t="s">
        <v>4</v>
      </c>
      <c r="K247" s="1" t="s">
        <v>8</v>
      </c>
      <c r="L247" s="1">
        <v>0.08</v>
      </c>
      <c r="M247" s="1">
        <v>0.14000000000000001</v>
      </c>
      <c r="N247" s="1" t="s">
        <v>60</v>
      </c>
      <c r="O247" s="1" t="s">
        <v>329</v>
      </c>
      <c r="P247" s="1">
        <v>910</v>
      </c>
      <c r="Q247" s="11"/>
      <c r="R247" s="11"/>
      <c r="T247"/>
    </row>
    <row r="248" spans="8:20">
      <c r="H248" s="11"/>
      <c r="I248" s="1" t="s">
        <v>50</v>
      </c>
      <c r="J248" s="1" t="s">
        <v>5</v>
      </c>
      <c r="K248" s="1" t="s">
        <v>8</v>
      </c>
      <c r="L248" s="1">
        <v>0.08</v>
      </c>
      <c r="M248" s="1">
        <v>0.14000000000000001</v>
      </c>
      <c r="N248" s="1" t="s">
        <v>60</v>
      </c>
      <c r="O248" s="1" t="s">
        <v>330</v>
      </c>
      <c r="P248" s="1">
        <v>910</v>
      </c>
      <c r="Q248" s="11"/>
      <c r="R248" s="11"/>
      <c r="T248"/>
    </row>
    <row r="249" spans="8:20">
      <c r="H249" s="11"/>
      <c r="I249" s="1" t="s">
        <v>50</v>
      </c>
      <c r="J249" s="1" t="s">
        <v>6</v>
      </c>
      <c r="K249" s="1" t="s">
        <v>8</v>
      </c>
      <c r="L249" s="1">
        <v>0.08</v>
      </c>
      <c r="M249" s="1">
        <v>0.14000000000000001</v>
      </c>
      <c r="N249" s="1" t="s">
        <v>60</v>
      </c>
      <c r="O249" s="1" t="s">
        <v>331</v>
      </c>
      <c r="P249" s="1">
        <v>810</v>
      </c>
      <c r="Q249" s="11"/>
      <c r="R249" s="11"/>
      <c r="T249"/>
    </row>
    <row r="250" spans="8:20">
      <c r="H250" s="11"/>
      <c r="I250" s="1" t="s">
        <v>50</v>
      </c>
      <c r="J250" s="1" t="s">
        <v>7</v>
      </c>
      <c r="K250" s="1" t="s">
        <v>8</v>
      </c>
      <c r="L250" s="1">
        <v>0.08</v>
      </c>
      <c r="M250" s="1">
        <v>0.14000000000000001</v>
      </c>
      <c r="N250" s="1" t="s">
        <v>60</v>
      </c>
      <c r="O250" s="1" t="s">
        <v>332</v>
      </c>
      <c r="P250" s="1">
        <v>720</v>
      </c>
      <c r="Q250" s="11"/>
      <c r="R250" s="11"/>
      <c r="T250"/>
    </row>
    <row r="251" spans="8:20">
      <c r="H251" s="11"/>
      <c r="I251" s="1" t="s">
        <v>50</v>
      </c>
      <c r="J251" s="1" t="s">
        <v>75</v>
      </c>
      <c r="K251" s="1" t="s">
        <v>8</v>
      </c>
      <c r="L251" s="1">
        <v>0.08</v>
      </c>
      <c r="M251" s="1">
        <v>0.14000000000000001</v>
      </c>
      <c r="N251" s="1" t="s">
        <v>60</v>
      </c>
      <c r="O251" s="1" t="s">
        <v>333</v>
      </c>
      <c r="P251" s="1">
        <v>630</v>
      </c>
      <c r="Q251" s="11"/>
      <c r="R251" s="11"/>
      <c r="T251"/>
    </row>
    <row r="252" spans="8:20">
      <c r="H252" s="11"/>
      <c r="I252" s="1" t="s">
        <v>50</v>
      </c>
      <c r="J252" s="1" t="s">
        <v>78</v>
      </c>
      <c r="K252" s="1" t="s">
        <v>8</v>
      </c>
      <c r="L252" s="1">
        <v>0.08</v>
      </c>
      <c r="M252" s="1">
        <v>0.14000000000000001</v>
      </c>
      <c r="N252" s="1" t="s">
        <v>60</v>
      </c>
      <c r="O252" s="1" t="s">
        <v>334</v>
      </c>
      <c r="P252" s="1">
        <v>520</v>
      </c>
      <c r="Q252" s="11"/>
      <c r="R252" s="11"/>
      <c r="T252"/>
    </row>
    <row r="253" spans="8:20">
      <c r="H253" s="11"/>
      <c r="I253" s="1" t="s">
        <v>50</v>
      </c>
      <c r="J253" s="1" t="s">
        <v>81</v>
      </c>
      <c r="K253" s="1" t="s">
        <v>8</v>
      </c>
      <c r="L253" s="1">
        <v>0.08</v>
      </c>
      <c r="M253" s="1">
        <v>0.14000000000000001</v>
      </c>
      <c r="N253" s="1" t="s">
        <v>60</v>
      </c>
      <c r="O253" s="1" t="s">
        <v>335</v>
      </c>
      <c r="P253" s="1">
        <v>440</v>
      </c>
      <c r="Q253" s="11"/>
      <c r="R253" s="11"/>
      <c r="T253"/>
    </row>
    <row r="254" spans="8:20">
      <c r="H254" s="11"/>
      <c r="I254" s="1" t="s">
        <v>50</v>
      </c>
      <c r="J254" s="1" t="s">
        <v>84</v>
      </c>
      <c r="K254" s="1" t="s">
        <v>8</v>
      </c>
      <c r="L254" s="1">
        <v>0.08</v>
      </c>
      <c r="M254" s="1">
        <v>0.14000000000000001</v>
      </c>
      <c r="N254" s="1" t="s">
        <v>60</v>
      </c>
      <c r="O254" s="1" t="s">
        <v>336</v>
      </c>
      <c r="P254" s="1">
        <v>370</v>
      </c>
      <c r="Q254" s="11"/>
      <c r="R254" s="11"/>
      <c r="T254"/>
    </row>
    <row r="255" spans="8:20">
      <c r="H255" s="11"/>
      <c r="I255" s="1" t="s">
        <v>50</v>
      </c>
      <c r="J255" s="1" t="s">
        <v>1</v>
      </c>
      <c r="K255" s="1" t="s">
        <v>9</v>
      </c>
      <c r="L255" s="1">
        <v>0.08</v>
      </c>
      <c r="M255" s="1">
        <v>0.14000000000000001</v>
      </c>
      <c r="N255" s="1" t="s">
        <v>60</v>
      </c>
      <c r="O255" s="1" t="s">
        <v>337</v>
      </c>
      <c r="P255" s="1">
        <v>1010</v>
      </c>
      <c r="Q255" s="11"/>
      <c r="R255" s="11"/>
      <c r="T255"/>
    </row>
    <row r="256" spans="8:20">
      <c r="H256" s="11"/>
      <c r="I256" s="1" t="s">
        <v>50</v>
      </c>
      <c r="J256" s="1" t="s">
        <v>2</v>
      </c>
      <c r="K256" s="1" t="s">
        <v>9</v>
      </c>
      <c r="L256" s="1">
        <v>0.08</v>
      </c>
      <c r="M256" s="1">
        <v>0.14000000000000001</v>
      </c>
      <c r="N256" s="1" t="s">
        <v>60</v>
      </c>
      <c r="O256" s="1" t="s">
        <v>338</v>
      </c>
      <c r="P256" s="1">
        <v>1010</v>
      </c>
      <c r="Q256" s="11"/>
      <c r="R256" s="11"/>
      <c r="T256"/>
    </row>
    <row r="257" spans="8:20">
      <c r="H257" s="11"/>
      <c r="I257" s="1" t="s">
        <v>50</v>
      </c>
      <c r="J257" s="1" t="s">
        <v>3</v>
      </c>
      <c r="K257" s="1" t="s">
        <v>9</v>
      </c>
      <c r="L257" s="1">
        <v>0.08</v>
      </c>
      <c r="M257" s="1">
        <v>0.14000000000000001</v>
      </c>
      <c r="N257" s="1" t="s">
        <v>60</v>
      </c>
      <c r="O257" s="1" t="s">
        <v>339</v>
      </c>
      <c r="P257" s="1">
        <v>1010</v>
      </c>
      <c r="Q257" s="11"/>
      <c r="R257" s="11"/>
      <c r="T257"/>
    </row>
    <row r="258" spans="8:20">
      <c r="H258" s="11"/>
      <c r="I258" s="1" t="s">
        <v>50</v>
      </c>
      <c r="J258" s="1" t="s">
        <v>4</v>
      </c>
      <c r="K258" s="1" t="s">
        <v>9</v>
      </c>
      <c r="L258" s="1">
        <v>0.08</v>
      </c>
      <c r="M258" s="1">
        <v>0.14000000000000001</v>
      </c>
      <c r="N258" s="1" t="s">
        <v>60</v>
      </c>
      <c r="O258" s="1" t="s">
        <v>340</v>
      </c>
      <c r="P258" s="1">
        <v>910</v>
      </c>
      <c r="Q258" s="11"/>
      <c r="R258" s="11"/>
      <c r="T258"/>
    </row>
    <row r="259" spans="8:20">
      <c r="H259" s="11"/>
      <c r="I259" s="1" t="s">
        <v>50</v>
      </c>
      <c r="J259" s="1" t="s">
        <v>5</v>
      </c>
      <c r="K259" s="1" t="s">
        <v>9</v>
      </c>
      <c r="L259" s="1">
        <v>0.08</v>
      </c>
      <c r="M259" s="1">
        <v>0.14000000000000001</v>
      </c>
      <c r="N259" s="1" t="s">
        <v>60</v>
      </c>
      <c r="O259" s="1" t="s">
        <v>341</v>
      </c>
      <c r="P259" s="1">
        <v>910</v>
      </c>
      <c r="Q259" s="11"/>
      <c r="R259" s="11"/>
      <c r="T259"/>
    </row>
    <row r="260" spans="8:20">
      <c r="H260" s="11"/>
      <c r="I260" s="1" t="s">
        <v>50</v>
      </c>
      <c r="J260" s="1" t="s">
        <v>6</v>
      </c>
      <c r="K260" s="1" t="s">
        <v>9</v>
      </c>
      <c r="L260" s="1">
        <v>0.08</v>
      </c>
      <c r="M260" s="1">
        <v>0.14000000000000001</v>
      </c>
      <c r="N260" s="1" t="s">
        <v>60</v>
      </c>
      <c r="O260" s="1" t="s">
        <v>342</v>
      </c>
      <c r="P260" s="1">
        <v>810</v>
      </c>
      <c r="Q260" s="11"/>
      <c r="R260" s="11"/>
      <c r="T260"/>
    </row>
    <row r="261" spans="8:20">
      <c r="H261" s="11"/>
      <c r="I261" s="1" t="s">
        <v>50</v>
      </c>
      <c r="J261" s="1" t="s">
        <v>7</v>
      </c>
      <c r="K261" s="1" t="s">
        <v>9</v>
      </c>
      <c r="L261" s="1">
        <v>0.08</v>
      </c>
      <c r="M261" s="1">
        <v>0.14000000000000001</v>
      </c>
      <c r="N261" s="1" t="s">
        <v>60</v>
      </c>
      <c r="O261" s="1" t="s">
        <v>343</v>
      </c>
      <c r="P261" s="1">
        <v>720</v>
      </c>
      <c r="Q261" s="11"/>
      <c r="R261" s="11"/>
      <c r="T261"/>
    </row>
    <row r="262" spans="8:20">
      <c r="H262" s="11"/>
      <c r="I262" s="1" t="s">
        <v>50</v>
      </c>
      <c r="J262" s="1" t="s">
        <v>75</v>
      </c>
      <c r="K262" s="1" t="s">
        <v>9</v>
      </c>
      <c r="L262" s="1">
        <v>0.08</v>
      </c>
      <c r="M262" s="1">
        <v>0.14000000000000001</v>
      </c>
      <c r="N262" s="1" t="s">
        <v>60</v>
      </c>
      <c r="O262" s="1" t="s">
        <v>344</v>
      </c>
      <c r="P262" s="1">
        <v>630</v>
      </c>
      <c r="Q262" s="11"/>
      <c r="R262" s="11"/>
      <c r="T262"/>
    </row>
    <row r="263" spans="8:20">
      <c r="H263" s="11"/>
      <c r="I263" s="1" t="s">
        <v>50</v>
      </c>
      <c r="J263" s="1" t="s">
        <v>78</v>
      </c>
      <c r="K263" s="1" t="s">
        <v>9</v>
      </c>
      <c r="L263" s="1">
        <v>0.08</v>
      </c>
      <c r="M263" s="1">
        <v>0.14000000000000001</v>
      </c>
      <c r="N263" s="1" t="s">
        <v>60</v>
      </c>
      <c r="O263" s="1" t="s">
        <v>345</v>
      </c>
      <c r="P263" s="1">
        <v>520</v>
      </c>
      <c r="Q263" s="11"/>
      <c r="R263" s="11"/>
      <c r="T263"/>
    </row>
    <row r="264" spans="8:20">
      <c r="H264" s="11"/>
      <c r="I264" s="1" t="s">
        <v>50</v>
      </c>
      <c r="J264" s="1" t="s">
        <v>81</v>
      </c>
      <c r="K264" s="1" t="s">
        <v>9</v>
      </c>
      <c r="L264" s="1">
        <v>0.08</v>
      </c>
      <c r="M264" s="1">
        <v>0.14000000000000001</v>
      </c>
      <c r="N264" s="1" t="s">
        <v>60</v>
      </c>
      <c r="O264" s="1" t="s">
        <v>346</v>
      </c>
      <c r="P264" s="1">
        <v>440</v>
      </c>
      <c r="Q264" s="11"/>
      <c r="R264" s="11"/>
      <c r="T264"/>
    </row>
    <row r="265" spans="8:20">
      <c r="H265" s="11"/>
      <c r="I265" s="1" t="s">
        <v>50</v>
      </c>
      <c r="J265" s="1" t="s">
        <v>84</v>
      </c>
      <c r="K265" s="1" t="s">
        <v>9</v>
      </c>
      <c r="L265" s="1">
        <v>0.08</v>
      </c>
      <c r="M265" s="1">
        <v>0.14000000000000001</v>
      </c>
      <c r="N265" s="1" t="s">
        <v>60</v>
      </c>
      <c r="O265" s="1" t="s">
        <v>347</v>
      </c>
      <c r="P265" s="1">
        <v>370</v>
      </c>
      <c r="Q265" s="11"/>
      <c r="R265" s="11"/>
      <c r="T265"/>
    </row>
    <row r="266" spans="8:20">
      <c r="H266" s="11"/>
      <c r="I266" s="1" t="s">
        <v>50</v>
      </c>
      <c r="J266" s="1" t="s">
        <v>1</v>
      </c>
      <c r="K266" s="1" t="s">
        <v>10</v>
      </c>
      <c r="L266" s="1">
        <v>0.08</v>
      </c>
      <c r="M266" s="1">
        <v>0.14000000000000001</v>
      </c>
      <c r="N266" s="1" t="s">
        <v>60</v>
      </c>
      <c r="O266" s="1" t="s">
        <v>348</v>
      </c>
      <c r="P266" s="1">
        <v>1010</v>
      </c>
      <c r="Q266" s="11"/>
      <c r="R266" s="11"/>
      <c r="T266"/>
    </row>
    <row r="267" spans="8:20">
      <c r="H267" s="11"/>
      <c r="I267" s="1" t="s">
        <v>50</v>
      </c>
      <c r="J267" s="1" t="s">
        <v>2</v>
      </c>
      <c r="K267" s="1" t="s">
        <v>10</v>
      </c>
      <c r="L267" s="1">
        <v>0.08</v>
      </c>
      <c r="M267" s="1">
        <v>0.14000000000000001</v>
      </c>
      <c r="N267" s="1" t="s">
        <v>60</v>
      </c>
      <c r="O267" s="1" t="s">
        <v>349</v>
      </c>
      <c r="P267" s="1">
        <v>1010</v>
      </c>
      <c r="Q267" s="11"/>
      <c r="R267" s="11"/>
      <c r="T267"/>
    </row>
    <row r="268" spans="8:20">
      <c r="H268" s="11"/>
      <c r="I268" s="1" t="s">
        <v>50</v>
      </c>
      <c r="J268" s="1" t="s">
        <v>3</v>
      </c>
      <c r="K268" s="1" t="s">
        <v>10</v>
      </c>
      <c r="L268" s="1">
        <v>0.08</v>
      </c>
      <c r="M268" s="1">
        <v>0.14000000000000001</v>
      </c>
      <c r="N268" s="1" t="s">
        <v>60</v>
      </c>
      <c r="O268" s="1" t="s">
        <v>350</v>
      </c>
      <c r="P268" s="1">
        <v>1010</v>
      </c>
      <c r="Q268" s="11"/>
      <c r="R268" s="11"/>
      <c r="T268"/>
    </row>
    <row r="269" spans="8:20">
      <c r="H269" s="11"/>
      <c r="I269" s="1" t="s">
        <v>50</v>
      </c>
      <c r="J269" s="1" t="s">
        <v>4</v>
      </c>
      <c r="K269" s="1" t="s">
        <v>10</v>
      </c>
      <c r="L269" s="1">
        <v>0.08</v>
      </c>
      <c r="M269" s="1">
        <v>0.14000000000000001</v>
      </c>
      <c r="N269" s="1" t="s">
        <v>60</v>
      </c>
      <c r="O269" s="1" t="s">
        <v>351</v>
      </c>
      <c r="P269" s="1">
        <v>910</v>
      </c>
      <c r="Q269" s="11"/>
      <c r="R269" s="11"/>
      <c r="T269"/>
    </row>
    <row r="270" spans="8:20">
      <c r="H270" s="11"/>
      <c r="I270" s="1" t="s">
        <v>50</v>
      </c>
      <c r="J270" s="1" t="s">
        <v>5</v>
      </c>
      <c r="K270" s="1" t="s">
        <v>10</v>
      </c>
      <c r="L270" s="1">
        <v>0.08</v>
      </c>
      <c r="M270" s="1">
        <v>0.14000000000000001</v>
      </c>
      <c r="N270" s="1" t="s">
        <v>60</v>
      </c>
      <c r="O270" s="1" t="s">
        <v>352</v>
      </c>
      <c r="P270" s="1">
        <v>910</v>
      </c>
      <c r="Q270" s="11"/>
      <c r="R270" s="11"/>
      <c r="T270"/>
    </row>
    <row r="271" spans="8:20">
      <c r="H271" s="11"/>
      <c r="I271" s="1" t="s">
        <v>50</v>
      </c>
      <c r="J271" s="1" t="s">
        <v>6</v>
      </c>
      <c r="K271" s="1" t="s">
        <v>10</v>
      </c>
      <c r="L271" s="1">
        <v>0.08</v>
      </c>
      <c r="M271" s="1">
        <v>0.14000000000000001</v>
      </c>
      <c r="N271" s="1" t="s">
        <v>60</v>
      </c>
      <c r="O271" s="1" t="s">
        <v>353</v>
      </c>
      <c r="P271" s="1">
        <v>810</v>
      </c>
      <c r="Q271" s="11"/>
      <c r="R271" s="11"/>
      <c r="T271"/>
    </row>
    <row r="272" spans="8:20">
      <c r="H272" s="11"/>
      <c r="I272" s="1" t="s">
        <v>50</v>
      </c>
      <c r="J272" s="1" t="s">
        <v>7</v>
      </c>
      <c r="K272" s="1" t="s">
        <v>10</v>
      </c>
      <c r="L272" s="1">
        <v>0.08</v>
      </c>
      <c r="M272" s="1">
        <v>0.14000000000000001</v>
      </c>
      <c r="N272" s="1" t="s">
        <v>60</v>
      </c>
      <c r="O272" s="1" t="s">
        <v>354</v>
      </c>
      <c r="P272" s="1">
        <v>720</v>
      </c>
      <c r="Q272" s="11"/>
      <c r="R272" s="11"/>
      <c r="T272"/>
    </row>
    <row r="273" spans="8:20">
      <c r="H273" s="11"/>
      <c r="I273" s="1" t="s">
        <v>50</v>
      </c>
      <c r="J273" s="1" t="s">
        <v>75</v>
      </c>
      <c r="K273" s="1" t="s">
        <v>10</v>
      </c>
      <c r="L273" s="1">
        <v>0.08</v>
      </c>
      <c r="M273" s="1">
        <v>0.14000000000000001</v>
      </c>
      <c r="N273" s="1" t="s">
        <v>60</v>
      </c>
      <c r="O273" s="1" t="s">
        <v>355</v>
      </c>
      <c r="P273" s="1">
        <v>630</v>
      </c>
      <c r="Q273" s="11"/>
      <c r="R273" s="11"/>
      <c r="T273"/>
    </row>
    <row r="274" spans="8:20">
      <c r="H274" s="11"/>
      <c r="I274" s="1" t="s">
        <v>50</v>
      </c>
      <c r="J274" s="1" t="s">
        <v>78</v>
      </c>
      <c r="K274" s="1" t="s">
        <v>10</v>
      </c>
      <c r="L274" s="1">
        <v>0.08</v>
      </c>
      <c r="M274" s="1">
        <v>0.14000000000000001</v>
      </c>
      <c r="N274" s="1" t="s">
        <v>60</v>
      </c>
      <c r="O274" s="1" t="s">
        <v>356</v>
      </c>
      <c r="P274" s="1">
        <v>520</v>
      </c>
      <c r="Q274" s="11"/>
      <c r="R274" s="11"/>
      <c r="T274"/>
    </row>
    <row r="275" spans="8:20">
      <c r="H275" s="11"/>
      <c r="I275" s="1" t="s">
        <v>50</v>
      </c>
      <c r="J275" s="1" t="s">
        <v>81</v>
      </c>
      <c r="K275" s="1" t="s">
        <v>10</v>
      </c>
      <c r="L275" s="1">
        <v>0.08</v>
      </c>
      <c r="M275" s="1">
        <v>0.14000000000000001</v>
      </c>
      <c r="N275" s="1" t="s">
        <v>60</v>
      </c>
      <c r="O275" s="1" t="s">
        <v>357</v>
      </c>
      <c r="P275" s="1">
        <v>440</v>
      </c>
      <c r="Q275" s="11"/>
      <c r="R275" s="11"/>
      <c r="T275"/>
    </row>
    <row r="276" spans="8:20">
      <c r="H276" s="11"/>
      <c r="I276" s="1" t="s">
        <v>50</v>
      </c>
      <c r="J276" s="1" t="s">
        <v>84</v>
      </c>
      <c r="K276" s="1" t="s">
        <v>10</v>
      </c>
      <c r="L276" s="1">
        <v>0.08</v>
      </c>
      <c r="M276" s="1">
        <v>0.14000000000000001</v>
      </c>
      <c r="N276" s="1" t="s">
        <v>60</v>
      </c>
      <c r="O276" s="1" t="s">
        <v>358</v>
      </c>
      <c r="P276" s="1">
        <v>370</v>
      </c>
      <c r="Q276" s="11"/>
      <c r="R276" s="11"/>
      <c r="T276"/>
    </row>
    <row r="277" spans="8:20">
      <c r="H277" s="11"/>
      <c r="I277" s="1" t="s">
        <v>50</v>
      </c>
      <c r="J277" s="1" t="s">
        <v>1</v>
      </c>
      <c r="K277" s="1" t="s">
        <v>11</v>
      </c>
      <c r="L277" s="1">
        <v>0.08</v>
      </c>
      <c r="M277" s="1">
        <v>0.14000000000000001</v>
      </c>
      <c r="N277" s="1" t="s">
        <v>60</v>
      </c>
      <c r="O277" s="1" t="s">
        <v>359</v>
      </c>
      <c r="P277" s="1">
        <v>840</v>
      </c>
      <c r="Q277" s="11"/>
      <c r="R277" s="11"/>
      <c r="T277"/>
    </row>
    <row r="278" spans="8:20">
      <c r="H278" s="11"/>
      <c r="I278" s="1" t="s">
        <v>50</v>
      </c>
      <c r="J278" s="1" t="s">
        <v>2</v>
      </c>
      <c r="K278" s="1" t="s">
        <v>11</v>
      </c>
      <c r="L278" s="1">
        <v>0.08</v>
      </c>
      <c r="M278" s="1">
        <v>0.14000000000000001</v>
      </c>
      <c r="N278" s="1" t="s">
        <v>60</v>
      </c>
      <c r="O278" s="1" t="s">
        <v>360</v>
      </c>
      <c r="P278" s="1">
        <v>840</v>
      </c>
      <c r="Q278" s="11"/>
      <c r="R278" s="11"/>
      <c r="T278"/>
    </row>
    <row r="279" spans="8:20">
      <c r="H279" s="11"/>
      <c r="I279" s="1" t="s">
        <v>50</v>
      </c>
      <c r="J279" s="1" t="s">
        <v>3</v>
      </c>
      <c r="K279" s="1" t="s">
        <v>11</v>
      </c>
      <c r="L279" s="1">
        <v>0.08</v>
      </c>
      <c r="M279" s="1">
        <v>0.14000000000000001</v>
      </c>
      <c r="N279" s="1" t="s">
        <v>60</v>
      </c>
      <c r="O279" s="1" t="s">
        <v>361</v>
      </c>
      <c r="P279" s="1">
        <v>840</v>
      </c>
      <c r="Q279" s="11"/>
      <c r="R279" s="11"/>
      <c r="T279"/>
    </row>
    <row r="280" spans="8:20">
      <c r="H280" s="11"/>
      <c r="I280" s="1" t="s">
        <v>50</v>
      </c>
      <c r="J280" s="1" t="s">
        <v>4</v>
      </c>
      <c r="K280" s="1" t="s">
        <v>11</v>
      </c>
      <c r="L280" s="1">
        <v>0.08</v>
      </c>
      <c r="M280" s="1">
        <v>0.14000000000000001</v>
      </c>
      <c r="N280" s="1" t="s">
        <v>60</v>
      </c>
      <c r="O280" s="1" t="s">
        <v>362</v>
      </c>
      <c r="P280" s="1">
        <v>770</v>
      </c>
      <c r="Q280" s="11"/>
      <c r="R280" s="11"/>
      <c r="T280"/>
    </row>
    <row r="281" spans="8:20">
      <c r="H281" s="11"/>
      <c r="I281" s="1" t="s">
        <v>50</v>
      </c>
      <c r="J281" s="1" t="s">
        <v>5</v>
      </c>
      <c r="K281" s="1" t="s">
        <v>11</v>
      </c>
      <c r="L281" s="1">
        <v>0.08</v>
      </c>
      <c r="M281" s="1">
        <v>0.14000000000000001</v>
      </c>
      <c r="N281" s="1" t="s">
        <v>60</v>
      </c>
      <c r="O281" s="1" t="s">
        <v>363</v>
      </c>
      <c r="P281" s="1">
        <v>770</v>
      </c>
      <c r="Q281" s="11"/>
      <c r="R281" s="11"/>
      <c r="T281"/>
    </row>
    <row r="282" spans="8:20">
      <c r="H282" s="11"/>
      <c r="I282" s="1" t="s">
        <v>50</v>
      </c>
      <c r="J282" s="1" t="s">
        <v>6</v>
      </c>
      <c r="K282" s="1" t="s">
        <v>11</v>
      </c>
      <c r="L282" s="1">
        <v>0.08</v>
      </c>
      <c r="M282" s="1">
        <v>0.14000000000000001</v>
      </c>
      <c r="N282" s="1" t="s">
        <v>60</v>
      </c>
      <c r="O282" s="1" t="s">
        <v>364</v>
      </c>
      <c r="P282" s="1">
        <v>700</v>
      </c>
      <c r="Q282" s="11"/>
      <c r="R282" s="11"/>
      <c r="T282"/>
    </row>
    <row r="283" spans="8:20">
      <c r="H283" s="11"/>
      <c r="I283" s="1" t="s">
        <v>50</v>
      </c>
      <c r="J283" s="1" t="s">
        <v>7</v>
      </c>
      <c r="K283" s="1" t="s">
        <v>11</v>
      </c>
      <c r="L283" s="1">
        <v>0.08</v>
      </c>
      <c r="M283" s="1">
        <v>0.14000000000000001</v>
      </c>
      <c r="N283" s="1" t="s">
        <v>60</v>
      </c>
      <c r="O283" s="1" t="s">
        <v>365</v>
      </c>
      <c r="P283" s="1">
        <v>630</v>
      </c>
      <c r="Q283" s="11"/>
      <c r="R283" s="11"/>
      <c r="T283"/>
    </row>
    <row r="284" spans="8:20">
      <c r="H284" s="11"/>
      <c r="I284" s="1" t="s">
        <v>50</v>
      </c>
      <c r="J284" s="1" t="s">
        <v>75</v>
      </c>
      <c r="K284" s="1" t="s">
        <v>11</v>
      </c>
      <c r="L284" s="1">
        <v>0.08</v>
      </c>
      <c r="M284" s="1">
        <v>0.14000000000000001</v>
      </c>
      <c r="N284" s="1" t="s">
        <v>60</v>
      </c>
      <c r="O284" s="1" t="s">
        <v>366</v>
      </c>
      <c r="P284" s="1">
        <v>550</v>
      </c>
      <c r="Q284" s="11"/>
      <c r="R284" s="11"/>
      <c r="T284"/>
    </row>
    <row r="285" spans="8:20">
      <c r="H285" s="11"/>
      <c r="I285" s="1" t="s">
        <v>50</v>
      </c>
      <c r="J285" s="1" t="s">
        <v>78</v>
      </c>
      <c r="K285" s="1" t="s">
        <v>11</v>
      </c>
      <c r="L285" s="1">
        <v>0.08</v>
      </c>
      <c r="M285" s="1">
        <v>0.14000000000000001</v>
      </c>
      <c r="N285" s="1" t="s">
        <v>60</v>
      </c>
      <c r="O285" s="1" t="s">
        <v>367</v>
      </c>
      <c r="P285" s="1">
        <v>460</v>
      </c>
      <c r="Q285" s="11"/>
      <c r="R285" s="11"/>
      <c r="T285"/>
    </row>
    <row r="286" spans="8:20">
      <c r="H286" s="11"/>
      <c r="I286" s="1" t="s">
        <v>50</v>
      </c>
      <c r="J286" s="1" t="s">
        <v>81</v>
      </c>
      <c r="K286" s="1" t="s">
        <v>11</v>
      </c>
      <c r="L286" s="1">
        <v>0.08</v>
      </c>
      <c r="M286" s="1">
        <v>0.14000000000000001</v>
      </c>
      <c r="N286" s="1" t="s">
        <v>60</v>
      </c>
      <c r="O286" s="1" t="s">
        <v>368</v>
      </c>
      <c r="P286" s="1">
        <v>380</v>
      </c>
      <c r="Q286" s="11"/>
      <c r="R286" s="11"/>
      <c r="T286"/>
    </row>
    <row r="287" spans="8:20">
      <c r="H287" s="11"/>
      <c r="I287" s="1" t="s">
        <v>50</v>
      </c>
      <c r="J287" s="1" t="s">
        <v>84</v>
      </c>
      <c r="K287" s="1" t="s">
        <v>11</v>
      </c>
      <c r="L287" s="1">
        <v>0.08</v>
      </c>
      <c r="M287" s="1">
        <v>0.14000000000000001</v>
      </c>
      <c r="N287" s="1" t="s">
        <v>60</v>
      </c>
      <c r="O287" s="1" t="s">
        <v>369</v>
      </c>
      <c r="P287" s="1">
        <v>320</v>
      </c>
      <c r="Q287" s="11"/>
      <c r="R287" s="11"/>
      <c r="T287"/>
    </row>
    <row r="288" spans="8:20">
      <c r="H288" s="11"/>
      <c r="I288" s="1" t="s">
        <v>50</v>
      </c>
      <c r="J288" s="1" t="s">
        <v>1</v>
      </c>
      <c r="K288" s="1" t="s">
        <v>12</v>
      </c>
      <c r="L288" s="1">
        <v>0.08</v>
      </c>
      <c r="M288" s="1">
        <v>0.14000000000000001</v>
      </c>
      <c r="N288" s="1" t="s">
        <v>60</v>
      </c>
      <c r="O288" s="1" t="s">
        <v>370</v>
      </c>
      <c r="P288" s="1">
        <v>840</v>
      </c>
      <c r="Q288" s="11"/>
      <c r="R288" s="11"/>
      <c r="T288"/>
    </row>
    <row r="289" spans="8:20">
      <c r="H289" s="11"/>
      <c r="I289" s="1" t="s">
        <v>50</v>
      </c>
      <c r="J289" s="1" t="s">
        <v>2</v>
      </c>
      <c r="K289" s="1" t="s">
        <v>12</v>
      </c>
      <c r="L289" s="1">
        <v>0.08</v>
      </c>
      <c r="M289" s="1">
        <v>0.14000000000000001</v>
      </c>
      <c r="N289" s="1" t="s">
        <v>60</v>
      </c>
      <c r="O289" s="1" t="s">
        <v>371</v>
      </c>
      <c r="P289" s="1">
        <v>840</v>
      </c>
      <c r="Q289" s="11"/>
      <c r="R289" s="11"/>
      <c r="T289"/>
    </row>
    <row r="290" spans="8:20">
      <c r="H290" s="11"/>
      <c r="I290" s="1" t="s">
        <v>50</v>
      </c>
      <c r="J290" s="1" t="s">
        <v>3</v>
      </c>
      <c r="K290" s="1" t="s">
        <v>12</v>
      </c>
      <c r="L290" s="1">
        <v>0.08</v>
      </c>
      <c r="M290" s="1">
        <v>0.14000000000000001</v>
      </c>
      <c r="N290" s="1" t="s">
        <v>60</v>
      </c>
      <c r="O290" s="1" t="s">
        <v>372</v>
      </c>
      <c r="P290" s="1">
        <v>840</v>
      </c>
      <c r="Q290" s="11"/>
      <c r="R290" s="11"/>
      <c r="T290"/>
    </row>
    <row r="291" spans="8:20">
      <c r="H291" s="11"/>
      <c r="I291" s="1" t="s">
        <v>50</v>
      </c>
      <c r="J291" s="1" t="s">
        <v>4</v>
      </c>
      <c r="K291" s="1" t="s">
        <v>12</v>
      </c>
      <c r="L291" s="1">
        <v>0.08</v>
      </c>
      <c r="M291" s="1">
        <v>0.14000000000000001</v>
      </c>
      <c r="N291" s="1" t="s">
        <v>60</v>
      </c>
      <c r="O291" s="1" t="s">
        <v>373</v>
      </c>
      <c r="P291" s="1">
        <v>770</v>
      </c>
      <c r="Q291" s="11"/>
      <c r="R291" s="11"/>
      <c r="T291"/>
    </row>
    <row r="292" spans="8:20">
      <c r="H292" s="11"/>
      <c r="I292" s="1" t="s">
        <v>50</v>
      </c>
      <c r="J292" s="1" t="s">
        <v>5</v>
      </c>
      <c r="K292" s="1" t="s">
        <v>12</v>
      </c>
      <c r="L292" s="1">
        <v>0.08</v>
      </c>
      <c r="M292" s="1">
        <v>0.14000000000000001</v>
      </c>
      <c r="N292" s="1" t="s">
        <v>60</v>
      </c>
      <c r="O292" s="1" t="s">
        <v>374</v>
      </c>
      <c r="P292" s="1">
        <v>770</v>
      </c>
      <c r="Q292" s="11"/>
      <c r="R292" s="11"/>
      <c r="T292"/>
    </row>
    <row r="293" spans="8:20">
      <c r="H293" s="11"/>
      <c r="I293" s="1" t="s">
        <v>50</v>
      </c>
      <c r="J293" s="1" t="s">
        <v>6</v>
      </c>
      <c r="K293" s="1" t="s">
        <v>12</v>
      </c>
      <c r="L293" s="1">
        <v>0.08</v>
      </c>
      <c r="M293" s="1">
        <v>0.14000000000000001</v>
      </c>
      <c r="N293" s="1" t="s">
        <v>60</v>
      </c>
      <c r="O293" s="1" t="s">
        <v>375</v>
      </c>
      <c r="P293" s="1">
        <v>700</v>
      </c>
      <c r="Q293" s="11"/>
      <c r="R293" s="11"/>
      <c r="T293"/>
    </row>
    <row r="294" spans="8:20">
      <c r="H294" s="11"/>
      <c r="I294" s="1" t="s">
        <v>50</v>
      </c>
      <c r="J294" s="1" t="s">
        <v>7</v>
      </c>
      <c r="K294" s="1" t="s">
        <v>12</v>
      </c>
      <c r="L294" s="1">
        <v>0.08</v>
      </c>
      <c r="M294" s="1">
        <v>0.14000000000000001</v>
      </c>
      <c r="N294" s="1" t="s">
        <v>60</v>
      </c>
      <c r="O294" s="1" t="s">
        <v>376</v>
      </c>
      <c r="P294" s="1">
        <v>630</v>
      </c>
      <c r="Q294" s="11"/>
      <c r="R294" s="11"/>
      <c r="T294"/>
    </row>
    <row r="295" spans="8:20">
      <c r="H295" s="11"/>
      <c r="I295" s="1" t="s">
        <v>50</v>
      </c>
      <c r="J295" s="1" t="s">
        <v>75</v>
      </c>
      <c r="K295" s="1" t="s">
        <v>12</v>
      </c>
      <c r="L295" s="1">
        <v>0.08</v>
      </c>
      <c r="M295" s="1">
        <v>0.14000000000000001</v>
      </c>
      <c r="N295" s="1" t="s">
        <v>60</v>
      </c>
      <c r="O295" s="1" t="s">
        <v>377</v>
      </c>
      <c r="P295" s="1">
        <v>550</v>
      </c>
      <c r="Q295" s="11"/>
      <c r="R295" s="11"/>
      <c r="T295"/>
    </row>
    <row r="296" spans="8:20">
      <c r="H296" s="11"/>
      <c r="I296" s="1" t="s">
        <v>50</v>
      </c>
      <c r="J296" s="1" t="s">
        <v>78</v>
      </c>
      <c r="K296" s="1" t="s">
        <v>12</v>
      </c>
      <c r="L296" s="1">
        <v>0.08</v>
      </c>
      <c r="M296" s="1">
        <v>0.14000000000000001</v>
      </c>
      <c r="N296" s="1" t="s">
        <v>60</v>
      </c>
      <c r="O296" s="1" t="s">
        <v>378</v>
      </c>
      <c r="P296" s="1">
        <v>460</v>
      </c>
      <c r="Q296" s="11"/>
      <c r="R296" s="11"/>
      <c r="T296"/>
    </row>
    <row r="297" spans="8:20">
      <c r="H297" s="11"/>
      <c r="I297" s="1" t="s">
        <v>50</v>
      </c>
      <c r="J297" s="1" t="s">
        <v>81</v>
      </c>
      <c r="K297" s="1" t="s">
        <v>12</v>
      </c>
      <c r="L297" s="1">
        <v>0.08</v>
      </c>
      <c r="M297" s="1">
        <v>0.14000000000000001</v>
      </c>
      <c r="N297" s="1" t="s">
        <v>60</v>
      </c>
      <c r="O297" s="1" t="s">
        <v>379</v>
      </c>
      <c r="P297" s="1">
        <v>380</v>
      </c>
      <c r="Q297" s="11"/>
      <c r="R297" s="11"/>
      <c r="T297"/>
    </row>
    <row r="298" spans="8:20">
      <c r="H298" s="11"/>
      <c r="I298" s="1" t="s">
        <v>50</v>
      </c>
      <c r="J298" s="1" t="s">
        <v>84</v>
      </c>
      <c r="K298" s="1" t="s">
        <v>12</v>
      </c>
      <c r="L298" s="1">
        <v>0.08</v>
      </c>
      <c r="M298" s="1">
        <v>0.14000000000000001</v>
      </c>
      <c r="N298" s="1" t="s">
        <v>60</v>
      </c>
      <c r="O298" s="1" t="s">
        <v>380</v>
      </c>
      <c r="P298" s="1">
        <v>320</v>
      </c>
      <c r="Q298" s="11"/>
      <c r="R298" s="11"/>
      <c r="T298"/>
    </row>
    <row r="299" spans="8:20">
      <c r="H299" s="11"/>
      <c r="I299" s="1" t="s">
        <v>50</v>
      </c>
      <c r="J299" s="1" t="s">
        <v>1</v>
      </c>
      <c r="K299" s="1" t="s">
        <v>13</v>
      </c>
      <c r="L299" s="1">
        <v>0.08</v>
      </c>
      <c r="M299" s="1">
        <v>0.14000000000000001</v>
      </c>
      <c r="N299" s="1" t="s">
        <v>60</v>
      </c>
      <c r="O299" s="1" t="s">
        <v>381</v>
      </c>
      <c r="P299" s="1">
        <v>700</v>
      </c>
      <c r="Q299" s="11"/>
      <c r="R299" s="11"/>
      <c r="T299"/>
    </row>
    <row r="300" spans="8:20">
      <c r="H300" s="11"/>
      <c r="I300" s="1" t="s">
        <v>50</v>
      </c>
      <c r="J300" s="1" t="s">
        <v>2</v>
      </c>
      <c r="K300" s="1" t="s">
        <v>13</v>
      </c>
      <c r="L300" s="1">
        <v>0.08</v>
      </c>
      <c r="M300" s="1">
        <v>0.14000000000000001</v>
      </c>
      <c r="N300" s="1" t="s">
        <v>60</v>
      </c>
      <c r="O300" s="1" t="s">
        <v>382</v>
      </c>
      <c r="P300" s="1">
        <v>700</v>
      </c>
      <c r="Q300" s="11"/>
      <c r="R300" s="11"/>
      <c r="T300"/>
    </row>
    <row r="301" spans="8:20">
      <c r="H301" s="11"/>
      <c r="I301" s="1" t="s">
        <v>50</v>
      </c>
      <c r="J301" s="1" t="s">
        <v>3</v>
      </c>
      <c r="K301" s="1" t="s">
        <v>13</v>
      </c>
      <c r="L301" s="1">
        <v>0.08</v>
      </c>
      <c r="M301" s="1">
        <v>0.14000000000000001</v>
      </c>
      <c r="N301" s="1" t="s">
        <v>60</v>
      </c>
      <c r="O301" s="1" t="s">
        <v>383</v>
      </c>
      <c r="P301" s="1">
        <v>700</v>
      </c>
      <c r="Q301" s="11"/>
      <c r="R301" s="11"/>
      <c r="T301"/>
    </row>
    <row r="302" spans="8:20">
      <c r="H302" s="11"/>
      <c r="I302" s="1" t="s">
        <v>50</v>
      </c>
      <c r="J302" s="1" t="s">
        <v>4</v>
      </c>
      <c r="K302" s="1" t="s">
        <v>13</v>
      </c>
      <c r="L302" s="1">
        <v>0.08</v>
      </c>
      <c r="M302" s="1">
        <v>0.14000000000000001</v>
      </c>
      <c r="N302" s="1" t="s">
        <v>60</v>
      </c>
      <c r="O302" s="1" t="s">
        <v>384</v>
      </c>
      <c r="P302" s="1">
        <v>640</v>
      </c>
      <c r="Q302" s="11"/>
      <c r="R302" s="11"/>
      <c r="T302"/>
    </row>
    <row r="303" spans="8:20">
      <c r="H303" s="11"/>
      <c r="I303" s="1" t="s">
        <v>50</v>
      </c>
      <c r="J303" s="1" t="s">
        <v>5</v>
      </c>
      <c r="K303" s="1" t="s">
        <v>13</v>
      </c>
      <c r="L303" s="1">
        <v>0.08</v>
      </c>
      <c r="M303" s="1">
        <v>0.14000000000000001</v>
      </c>
      <c r="N303" s="1" t="s">
        <v>60</v>
      </c>
      <c r="O303" s="1" t="s">
        <v>385</v>
      </c>
      <c r="P303" s="1">
        <v>640</v>
      </c>
      <c r="Q303" s="11"/>
      <c r="R303" s="11"/>
      <c r="T303"/>
    </row>
    <row r="304" spans="8:20">
      <c r="H304" s="11"/>
      <c r="I304" s="1" t="s">
        <v>50</v>
      </c>
      <c r="J304" s="1" t="s">
        <v>6</v>
      </c>
      <c r="K304" s="1" t="s">
        <v>13</v>
      </c>
      <c r="L304" s="1">
        <v>0.08</v>
      </c>
      <c r="M304" s="1">
        <v>0.14000000000000001</v>
      </c>
      <c r="N304" s="1" t="s">
        <v>60</v>
      </c>
      <c r="O304" s="1" t="s">
        <v>386</v>
      </c>
      <c r="P304" s="1">
        <v>580</v>
      </c>
      <c r="Q304" s="11"/>
      <c r="R304" s="11"/>
      <c r="T304"/>
    </row>
    <row r="305" spans="8:20">
      <c r="H305" s="11"/>
      <c r="I305" s="1" t="s">
        <v>50</v>
      </c>
      <c r="J305" s="1" t="s">
        <v>7</v>
      </c>
      <c r="K305" s="1" t="s">
        <v>13</v>
      </c>
      <c r="L305" s="1">
        <v>0.08</v>
      </c>
      <c r="M305" s="1">
        <v>0.14000000000000001</v>
      </c>
      <c r="N305" s="1" t="s">
        <v>60</v>
      </c>
      <c r="O305" s="1" t="s">
        <v>387</v>
      </c>
      <c r="P305" s="1">
        <v>520</v>
      </c>
      <c r="Q305" s="11"/>
      <c r="R305" s="11"/>
      <c r="T305"/>
    </row>
    <row r="306" spans="8:20">
      <c r="H306" s="11"/>
      <c r="I306" s="1" t="s">
        <v>50</v>
      </c>
      <c r="J306" s="1" t="s">
        <v>75</v>
      </c>
      <c r="K306" s="1" t="s">
        <v>13</v>
      </c>
      <c r="L306" s="1">
        <v>0.08</v>
      </c>
      <c r="M306" s="1">
        <v>0.14000000000000001</v>
      </c>
      <c r="N306" s="1" t="s">
        <v>60</v>
      </c>
      <c r="O306" s="1" t="s">
        <v>388</v>
      </c>
      <c r="P306" s="1">
        <v>450</v>
      </c>
      <c r="Q306" s="11"/>
      <c r="R306" s="11"/>
      <c r="T306"/>
    </row>
    <row r="307" spans="8:20">
      <c r="H307" s="11"/>
      <c r="I307" s="1" t="s">
        <v>50</v>
      </c>
      <c r="J307" s="1" t="s">
        <v>78</v>
      </c>
      <c r="K307" s="1" t="s">
        <v>13</v>
      </c>
      <c r="L307" s="1">
        <v>0.08</v>
      </c>
      <c r="M307" s="1">
        <v>0.14000000000000001</v>
      </c>
      <c r="N307" s="1" t="s">
        <v>60</v>
      </c>
      <c r="O307" s="1" t="s">
        <v>389</v>
      </c>
      <c r="P307" s="1">
        <v>400</v>
      </c>
      <c r="Q307" s="11"/>
      <c r="R307" s="11"/>
      <c r="T307"/>
    </row>
    <row r="308" spans="8:20">
      <c r="H308" s="11"/>
      <c r="I308" s="1" t="s">
        <v>50</v>
      </c>
      <c r="J308" s="1" t="s">
        <v>81</v>
      </c>
      <c r="K308" s="1" t="s">
        <v>13</v>
      </c>
      <c r="L308" s="1">
        <v>0.08</v>
      </c>
      <c r="M308" s="1">
        <v>0.14000000000000001</v>
      </c>
      <c r="N308" s="1" t="s">
        <v>60</v>
      </c>
      <c r="O308" s="1" t="s">
        <v>390</v>
      </c>
      <c r="P308" s="1">
        <v>330</v>
      </c>
      <c r="Q308" s="11"/>
      <c r="R308" s="11"/>
      <c r="T308"/>
    </row>
    <row r="309" spans="8:20">
      <c r="H309" s="11"/>
      <c r="I309" s="1" t="s">
        <v>50</v>
      </c>
      <c r="J309" s="1" t="s">
        <v>84</v>
      </c>
      <c r="K309" s="1" t="s">
        <v>13</v>
      </c>
      <c r="L309" s="1">
        <v>0.08</v>
      </c>
      <c r="M309" s="1">
        <v>0.14000000000000001</v>
      </c>
      <c r="N309" s="1" t="s">
        <v>60</v>
      </c>
      <c r="O309" s="1" t="s">
        <v>391</v>
      </c>
      <c r="P309" s="1">
        <v>280</v>
      </c>
      <c r="Q309" s="11"/>
      <c r="R309" s="11"/>
      <c r="T309"/>
    </row>
    <row r="310" spans="8:20">
      <c r="H310" s="11"/>
      <c r="I310" s="1" t="s">
        <v>50</v>
      </c>
      <c r="J310" s="1" t="s">
        <v>1</v>
      </c>
      <c r="K310" s="1" t="s">
        <v>14</v>
      </c>
      <c r="L310" s="1">
        <v>0.08</v>
      </c>
      <c r="M310" s="1">
        <v>0.14000000000000001</v>
      </c>
      <c r="N310" s="1" t="s">
        <v>60</v>
      </c>
      <c r="O310" s="1" t="s">
        <v>392</v>
      </c>
      <c r="P310" s="1">
        <v>700</v>
      </c>
      <c r="Q310" s="11"/>
      <c r="R310" s="11"/>
      <c r="T310"/>
    </row>
    <row r="311" spans="8:20">
      <c r="H311" s="11"/>
      <c r="I311" s="1" t="s">
        <v>50</v>
      </c>
      <c r="J311" s="1" t="s">
        <v>2</v>
      </c>
      <c r="K311" s="1" t="s">
        <v>14</v>
      </c>
      <c r="L311" s="1">
        <v>0.08</v>
      </c>
      <c r="M311" s="1">
        <v>0.14000000000000001</v>
      </c>
      <c r="N311" s="1" t="s">
        <v>60</v>
      </c>
      <c r="O311" s="1" t="s">
        <v>393</v>
      </c>
      <c r="P311" s="1">
        <v>700</v>
      </c>
      <c r="Q311" s="11"/>
      <c r="R311" s="11"/>
      <c r="T311"/>
    </row>
    <row r="312" spans="8:20">
      <c r="I312" s="1" t="s">
        <v>50</v>
      </c>
      <c r="J312" s="1" t="s">
        <v>3</v>
      </c>
      <c r="K312" s="1" t="s">
        <v>14</v>
      </c>
      <c r="L312" s="1">
        <v>0.08</v>
      </c>
      <c r="M312" s="1">
        <v>0.14000000000000001</v>
      </c>
      <c r="N312" s="1" t="s">
        <v>60</v>
      </c>
      <c r="O312" s="1" t="s">
        <v>394</v>
      </c>
      <c r="P312" s="1">
        <v>700</v>
      </c>
      <c r="T312"/>
    </row>
    <row r="313" spans="8:20">
      <c r="H313" s="11"/>
      <c r="I313" s="1" t="s">
        <v>50</v>
      </c>
      <c r="J313" s="1" t="s">
        <v>4</v>
      </c>
      <c r="K313" s="1" t="s">
        <v>14</v>
      </c>
      <c r="L313" s="1">
        <v>0.08</v>
      </c>
      <c r="M313" s="1">
        <v>0.14000000000000001</v>
      </c>
      <c r="N313" s="1" t="s">
        <v>60</v>
      </c>
      <c r="O313" s="1" t="s">
        <v>395</v>
      </c>
      <c r="P313" s="1">
        <v>640</v>
      </c>
      <c r="Q313" s="11"/>
      <c r="R313" s="11"/>
      <c r="T313"/>
    </row>
    <row r="314" spans="8:20">
      <c r="I314" s="1" t="s">
        <v>50</v>
      </c>
      <c r="J314" s="1" t="s">
        <v>5</v>
      </c>
      <c r="K314" s="1" t="s">
        <v>14</v>
      </c>
      <c r="L314" s="1">
        <v>0.08</v>
      </c>
      <c r="M314" s="1">
        <v>0.14000000000000001</v>
      </c>
      <c r="N314" s="1" t="s">
        <v>60</v>
      </c>
      <c r="O314" s="1" t="s">
        <v>396</v>
      </c>
      <c r="P314" s="1">
        <v>640</v>
      </c>
      <c r="T314"/>
    </row>
    <row r="315" spans="8:20">
      <c r="I315" s="1" t="s">
        <v>50</v>
      </c>
      <c r="J315" s="1" t="s">
        <v>6</v>
      </c>
      <c r="K315" s="1" t="s">
        <v>14</v>
      </c>
      <c r="L315" s="1">
        <v>0.08</v>
      </c>
      <c r="M315" s="1">
        <v>0.14000000000000001</v>
      </c>
      <c r="N315" s="1" t="s">
        <v>60</v>
      </c>
      <c r="O315" s="1" t="s">
        <v>397</v>
      </c>
      <c r="P315" s="1">
        <v>580</v>
      </c>
      <c r="T315"/>
    </row>
    <row r="316" spans="8:20">
      <c r="I316" s="1" t="s">
        <v>50</v>
      </c>
      <c r="J316" s="1" t="s">
        <v>7</v>
      </c>
      <c r="K316" s="1" t="s">
        <v>14</v>
      </c>
      <c r="L316" s="1">
        <v>0.08</v>
      </c>
      <c r="M316" s="1">
        <v>0.14000000000000001</v>
      </c>
      <c r="N316" s="1" t="s">
        <v>60</v>
      </c>
      <c r="O316" s="1" t="s">
        <v>398</v>
      </c>
      <c r="P316" s="1">
        <v>520</v>
      </c>
      <c r="T316"/>
    </row>
    <row r="317" spans="8:20">
      <c r="I317" s="1" t="s">
        <v>50</v>
      </c>
      <c r="J317" s="1" t="s">
        <v>75</v>
      </c>
      <c r="K317" s="1" t="s">
        <v>14</v>
      </c>
      <c r="L317" s="1">
        <v>0.08</v>
      </c>
      <c r="M317" s="1">
        <v>0.14000000000000001</v>
      </c>
      <c r="N317" s="1" t="s">
        <v>60</v>
      </c>
      <c r="O317" s="1" t="s">
        <v>399</v>
      </c>
      <c r="P317" s="1">
        <v>450</v>
      </c>
      <c r="T317"/>
    </row>
    <row r="318" spans="8:20">
      <c r="I318" s="1" t="s">
        <v>50</v>
      </c>
      <c r="J318" s="1" t="s">
        <v>78</v>
      </c>
      <c r="K318" s="1" t="s">
        <v>14</v>
      </c>
      <c r="L318" s="1">
        <v>0.08</v>
      </c>
      <c r="M318" s="1">
        <v>0.14000000000000001</v>
      </c>
      <c r="N318" s="1" t="s">
        <v>60</v>
      </c>
      <c r="O318" s="1" t="s">
        <v>400</v>
      </c>
      <c r="P318" s="1">
        <v>400</v>
      </c>
      <c r="T318"/>
    </row>
    <row r="319" spans="8:20">
      <c r="I319" s="1" t="s">
        <v>50</v>
      </c>
      <c r="J319" s="1" t="s">
        <v>81</v>
      </c>
      <c r="K319" s="1" t="s">
        <v>14</v>
      </c>
      <c r="L319" s="1">
        <v>0.08</v>
      </c>
      <c r="M319" s="1">
        <v>0.14000000000000001</v>
      </c>
      <c r="N319" s="1" t="s">
        <v>60</v>
      </c>
      <c r="O319" s="1" t="s">
        <v>401</v>
      </c>
      <c r="P319" s="1">
        <v>330</v>
      </c>
      <c r="T319"/>
    </row>
    <row r="320" spans="8:20">
      <c r="I320" s="1" t="s">
        <v>50</v>
      </c>
      <c r="J320" s="1" t="s">
        <v>84</v>
      </c>
      <c r="K320" s="1" t="s">
        <v>14</v>
      </c>
      <c r="L320" s="1">
        <v>0.08</v>
      </c>
      <c r="M320" s="1">
        <v>0.14000000000000001</v>
      </c>
      <c r="N320" s="1" t="s">
        <v>60</v>
      </c>
      <c r="O320" s="1" t="s">
        <v>402</v>
      </c>
      <c r="P320" s="1">
        <v>280</v>
      </c>
      <c r="T320"/>
    </row>
    <row r="321" spans="8:20">
      <c r="I321" s="1" t="s">
        <v>50</v>
      </c>
      <c r="J321" s="1" t="s">
        <v>1</v>
      </c>
      <c r="K321" s="1" t="s">
        <v>15</v>
      </c>
      <c r="L321" s="1">
        <v>0.08</v>
      </c>
      <c r="M321" s="1">
        <v>0.14000000000000001</v>
      </c>
      <c r="N321" s="1" t="s">
        <v>60</v>
      </c>
      <c r="O321" s="1" t="s">
        <v>403</v>
      </c>
      <c r="P321" s="1">
        <v>540</v>
      </c>
      <c r="T321"/>
    </row>
    <row r="322" spans="8:20">
      <c r="I322" s="1" t="s">
        <v>50</v>
      </c>
      <c r="J322" s="1" t="s">
        <v>2</v>
      </c>
      <c r="K322" s="1" t="s">
        <v>15</v>
      </c>
      <c r="L322" s="1">
        <v>0.08</v>
      </c>
      <c r="M322" s="1">
        <v>0.14000000000000001</v>
      </c>
      <c r="N322" s="1" t="s">
        <v>60</v>
      </c>
      <c r="O322" s="1" t="s">
        <v>404</v>
      </c>
      <c r="P322" s="1">
        <v>540</v>
      </c>
      <c r="T322"/>
    </row>
    <row r="323" spans="8:20">
      <c r="I323" s="1" t="s">
        <v>50</v>
      </c>
      <c r="J323" s="1" t="s">
        <v>3</v>
      </c>
      <c r="K323" s="1" t="s">
        <v>15</v>
      </c>
      <c r="L323" s="1">
        <v>0.08</v>
      </c>
      <c r="M323" s="1">
        <v>0.14000000000000001</v>
      </c>
      <c r="N323" s="1" t="s">
        <v>60</v>
      </c>
      <c r="O323" s="1" t="s">
        <v>405</v>
      </c>
      <c r="P323" s="1">
        <v>540</v>
      </c>
      <c r="T323"/>
    </row>
    <row r="324" spans="8:20">
      <c r="I324" s="1" t="s">
        <v>50</v>
      </c>
      <c r="J324" s="1" t="s">
        <v>4</v>
      </c>
      <c r="K324" s="1" t="s">
        <v>15</v>
      </c>
      <c r="L324" s="1">
        <v>0.08</v>
      </c>
      <c r="M324" s="1">
        <v>0.14000000000000001</v>
      </c>
      <c r="N324" s="1" t="s">
        <v>60</v>
      </c>
      <c r="O324" s="1" t="s">
        <v>406</v>
      </c>
      <c r="P324" s="1">
        <v>490</v>
      </c>
      <c r="T324"/>
    </row>
    <row r="325" spans="8:20">
      <c r="H325" s="11"/>
      <c r="I325" s="1" t="s">
        <v>50</v>
      </c>
      <c r="J325" s="1" t="s">
        <v>5</v>
      </c>
      <c r="K325" s="1" t="s">
        <v>15</v>
      </c>
      <c r="L325" s="1">
        <v>0.08</v>
      </c>
      <c r="M325" s="1">
        <v>0.14000000000000001</v>
      </c>
      <c r="N325" s="1" t="s">
        <v>60</v>
      </c>
      <c r="O325" s="1" t="s">
        <v>407</v>
      </c>
      <c r="P325" s="1">
        <v>490</v>
      </c>
      <c r="Q325" s="11"/>
      <c r="R325" s="11"/>
      <c r="T325"/>
    </row>
    <row r="326" spans="8:20">
      <c r="I326" s="1" t="s">
        <v>50</v>
      </c>
      <c r="J326" s="1" t="s">
        <v>6</v>
      </c>
      <c r="K326" s="1" t="s">
        <v>15</v>
      </c>
      <c r="L326" s="1">
        <v>0.08</v>
      </c>
      <c r="M326" s="1">
        <v>0.14000000000000001</v>
      </c>
      <c r="N326" s="1" t="s">
        <v>60</v>
      </c>
      <c r="O326" s="1" t="s">
        <v>408</v>
      </c>
      <c r="P326" s="1">
        <v>430</v>
      </c>
      <c r="T326"/>
    </row>
    <row r="327" spans="8:20">
      <c r="I327" s="1" t="s">
        <v>50</v>
      </c>
      <c r="J327" s="1" t="s">
        <v>7</v>
      </c>
      <c r="K327" s="1" t="s">
        <v>15</v>
      </c>
      <c r="L327" s="1">
        <v>0.08</v>
      </c>
      <c r="M327" s="1">
        <v>0.14000000000000001</v>
      </c>
      <c r="N327" s="1" t="s">
        <v>60</v>
      </c>
      <c r="O327" s="1" t="s">
        <v>409</v>
      </c>
      <c r="P327" s="1">
        <v>380</v>
      </c>
      <c r="T327"/>
    </row>
    <row r="328" spans="8:20">
      <c r="I328" s="1" t="s">
        <v>50</v>
      </c>
      <c r="J328" s="1" t="s">
        <v>75</v>
      </c>
      <c r="K328" s="1" t="s">
        <v>15</v>
      </c>
      <c r="L328" s="1">
        <v>0.08</v>
      </c>
      <c r="M328" s="1">
        <v>0.14000000000000001</v>
      </c>
      <c r="N328" s="1" t="s">
        <v>60</v>
      </c>
      <c r="O328" s="1" t="s">
        <v>410</v>
      </c>
      <c r="P328" s="1">
        <v>340</v>
      </c>
      <c r="T328"/>
    </row>
    <row r="329" spans="8:20">
      <c r="I329" s="1" t="s">
        <v>50</v>
      </c>
      <c r="J329" s="1" t="s">
        <v>78</v>
      </c>
      <c r="K329" s="1" t="s">
        <v>15</v>
      </c>
      <c r="L329" s="1">
        <v>0.08</v>
      </c>
      <c r="M329" s="1">
        <v>0.14000000000000001</v>
      </c>
      <c r="N329" s="1" t="s">
        <v>60</v>
      </c>
      <c r="O329" s="1" t="s">
        <v>411</v>
      </c>
      <c r="P329" s="1">
        <v>300</v>
      </c>
      <c r="T329"/>
    </row>
    <row r="330" spans="8:20">
      <c r="I330" s="1" t="s">
        <v>50</v>
      </c>
      <c r="J330" s="1" t="s">
        <v>81</v>
      </c>
      <c r="K330" s="1" t="s">
        <v>15</v>
      </c>
      <c r="L330" s="1">
        <v>0.08</v>
      </c>
      <c r="M330" s="1">
        <v>0.14000000000000001</v>
      </c>
      <c r="N330" s="1" t="s">
        <v>60</v>
      </c>
      <c r="O330" s="1" t="s">
        <v>412</v>
      </c>
      <c r="P330" s="1">
        <v>250</v>
      </c>
      <c r="T330"/>
    </row>
    <row r="331" spans="8:20">
      <c r="I331" s="1" t="s">
        <v>50</v>
      </c>
      <c r="J331" s="1" t="s">
        <v>84</v>
      </c>
      <c r="K331" s="1" t="s">
        <v>15</v>
      </c>
      <c r="L331" s="1">
        <v>0.08</v>
      </c>
      <c r="M331" s="1">
        <v>0.14000000000000001</v>
      </c>
      <c r="N331" s="1" t="s">
        <v>60</v>
      </c>
      <c r="O331" s="1" t="s">
        <v>413</v>
      </c>
      <c r="P331" s="1">
        <v>200</v>
      </c>
      <c r="T331"/>
    </row>
    <row r="332" spans="8:20">
      <c r="I332" s="1" t="s">
        <v>50</v>
      </c>
      <c r="J332" s="1" t="s">
        <v>1</v>
      </c>
      <c r="K332" s="1" t="s">
        <v>16</v>
      </c>
      <c r="L332" s="1">
        <v>0.08</v>
      </c>
      <c r="M332" s="1">
        <v>0.14000000000000001</v>
      </c>
      <c r="N332" s="1" t="s">
        <v>60</v>
      </c>
      <c r="O332" s="1" t="s">
        <v>414</v>
      </c>
      <c r="P332" s="1">
        <v>540</v>
      </c>
      <c r="T332"/>
    </row>
    <row r="333" spans="8:20">
      <c r="I333" s="1" t="s">
        <v>50</v>
      </c>
      <c r="J333" s="1" t="s">
        <v>2</v>
      </c>
      <c r="K333" s="1" t="s">
        <v>16</v>
      </c>
      <c r="L333" s="1">
        <v>0.08</v>
      </c>
      <c r="M333" s="1">
        <v>0.14000000000000001</v>
      </c>
      <c r="N333" s="1" t="s">
        <v>60</v>
      </c>
      <c r="O333" s="1" t="s">
        <v>415</v>
      </c>
      <c r="P333" s="1">
        <v>540</v>
      </c>
      <c r="T333"/>
    </row>
    <row r="334" spans="8:20">
      <c r="I334" s="1" t="s">
        <v>50</v>
      </c>
      <c r="J334" s="1" t="s">
        <v>3</v>
      </c>
      <c r="K334" s="1" t="s">
        <v>16</v>
      </c>
      <c r="L334" s="1">
        <v>0.08</v>
      </c>
      <c r="M334" s="1">
        <v>0.14000000000000001</v>
      </c>
      <c r="N334" s="1" t="s">
        <v>60</v>
      </c>
      <c r="O334" s="1" t="s">
        <v>416</v>
      </c>
      <c r="P334" s="1">
        <v>540</v>
      </c>
      <c r="T334"/>
    </row>
    <row r="335" spans="8:20">
      <c r="I335" s="1" t="s">
        <v>50</v>
      </c>
      <c r="J335" s="1" t="s">
        <v>4</v>
      </c>
      <c r="K335" s="1" t="s">
        <v>16</v>
      </c>
      <c r="L335" s="1">
        <v>0.08</v>
      </c>
      <c r="M335" s="1">
        <v>0.14000000000000001</v>
      </c>
      <c r="N335" s="1" t="s">
        <v>60</v>
      </c>
      <c r="O335" s="1" t="s">
        <v>417</v>
      </c>
      <c r="P335" s="1">
        <v>490</v>
      </c>
      <c r="T335"/>
    </row>
    <row r="336" spans="8:20">
      <c r="I336" s="1" t="s">
        <v>50</v>
      </c>
      <c r="J336" s="1" t="s">
        <v>5</v>
      </c>
      <c r="K336" s="1" t="s">
        <v>16</v>
      </c>
      <c r="L336" s="1">
        <v>0.08</v>
      </c>
      <c r="M336" s="1">
        <v>0.14000000000000001</v>
      </c>
      <c r="N336" s="1" t="s">
        <v>60</v>
      </c>
      <c r="O336" s="1" t="s">
        <v>418</v>
      </c>
      <c r="P336" s="1">
        <v>490</v>
      </c>
      <c r="T336"/>
    </row>
    <row r="337" spans="8:20">
      <c r="H337" s="11"/>
      <c r="I337" s="1" t="s">
        <v>50</v>
      </c>
      <c r="J337" s="1" t="s">
        <v>6</v>
      </c>
      <c r="K337" s="1" t="s">
        <v>16</v>
      </c>
      <c r="L337" s="1">
        <v>0.08</v>
      </c>
      <c r="M337" s="1">
        <v>0.14000000000000001</v>
      </c>
      <c r="N337" s="1" t="s">
        <v>60</v>
      </c>
      <c r="O337" s="1" t="s">
        <v>419</v>
      </c>
      <c r="P337" s="1">
        <v>430</v>
      </c>
      <c r="Q337" s="11"/>
      <c r="R337" s="11"/>
      <c r="T337"/>
    </row>
    <row r="338" spans="8:20">
      <c r="I338" s="1" t="s">
        <v>50</v>
      </c>
      <c r="J338" s="1" t="s">
        <v>7</v>
      </c>
      <c r="K338" s="1" t="s">
        <v>16</v>
      </c>
      <c r="L338" s="1">
        <v>0.08</v>
      </c>
      <c r="M338" s="1">
        <v>0.14000000000000001</v>
      </c>
      <c r="N338" s="1" t="s">
        <v>60</v>
      </c>
      <c r="O338" s="1" t="s">
        <v>420</v>
      </c>
      <c r="P338" s="1">
        <v>380</v>
      </c>
      <c r="T338"/>
    </row>
    <row r="339" spans="8:20">
      <c r="I339" s="1" t="s">
        <v>50</v>
      </c>
      <c r="J339" s="1" t="s">
        <v>75</v>
      </c>
      <c r="K339" s="1" t="s">
        <v>16</v>
      </c>
      <c r="L339" s="1">
        <v>0.08</v>
      </c>
      <c r="M339" s="1">
        <v>0.14000000000000001</v>
      </c>
      <c r="N339" s="1" t="s">
        <v>60</v>
      </c>
      <c r="O339" s="1" t="s">
        <v>421</v>
      </c>
      <c r="P339" s="1">
        <v>340</v>
      </c>
      <c r="T339"/>
    </row>
    <row r="340" spans="8:20">
      <c r="I340" s="1" t="s">
        <v>50</v>
      </c>
      <c r="J340" s="1" t="s">
        <v>78</v>
      </c>
      <c r="K340" s="1" t="s">
        <v>16</v>
      </c>
      <c r="L340" s="1">
        <v>0.08</v>
      </c>
      <c r="M340" s="1">
        <v>0.14000000000000001</v>
      </c>
      <c r="N340" s="1" t="s">
        <v>60</v>
      </c>
      <c r="O340" s="1" t="s">
        <v>422</v>
      </c>
      <c r="P340" s="1">
        <v>300</v>
      </c>
      <c r="T340"/>
    </row>
    <row r="341" spans="8:20">
      <c r="I341" s="1" t="s">
        <v>50</v>
      </c>
      <c r="J341" s="1" t="s">
        <v>81</v>
      </c>
      <c r="K341" s="1" t="s">
        <v>16</v>
      </c>
      <c r="L341" s="1">
        <v>0.08</v>
      </c>
      <c r="M341" s="1">
        <v>0.14000000000000001</v>
      </c>
      <c r="N341" s="1" t="s">
        <v>60</v>
      </c>
      <c r="O341" s="1" t="s">
        <v>423</v>
      </c>
      <c r="P341" s="1">
        <v>250</v>
      </c>
      <c r="T341"/>
    </row>
    <row r="342" spans="8:20">
      <c r="I342" s="1" t="s">
        <v>50</v>
      </c>
      <c r="J342" s="1" t="s">
        <v>84</v>
      </c>
      <c r="K342" s="1" t="s">
        <v>16</v>
      </c>
      <c r="L342" s="1">
        <v>0.08</v>
      </c>
      <c r="M342" s="1">
        <v>0.14000000000000001</v>
      </c>
      <c r="N342" s="1" t="s">
        <v>60</v>
      </c>
      <c r="O342" s="1" t="s">
        <v>424</v>
      </c>
      <c r="P342" s="1">
        <v>200</v>
      </c>
      <c r="T342"/>
    </row>
    <row r="343" spans="8:20">
      <c r="I343" s="1" t="s">
        <v>50</v>
      </c>
      <c r="J343" s="1" t="s">
        <v>1</v>
      </c>
      <c r="K343" s="1" t="s">
        <v>17</v>
      </c>
      <c r="L343" s="1">
        <v>0.08</v>
      </c>
      <c r="M343" s="1">
        <v>0.14000000000000001</v>
      </c>
      <c r="N343" s="1" t="s">
        <v>60</v>
      </c>
      <c r="O343" s="1" t="s">
        <v>425</v>
      </c>
      <c r="P343" s="1">
        <v>380</v>
      </c>
      <c r="T343"/>
    </row>
    <row r="344" spans="8:20">
      <c r="I344" s="1" t="s">
        <v>50</v>
      </c>
      <c r="J344" s="1" t="s">
        <v>2</v>
      </c>
      <c r="K344" s="1" t="s">
        <v>17</v>
      </c>
      <c r="L344" s="1">
        <v>0.08</v>
      </c>
      <c r="M344" s="1">
        <v>0.14000000000000001</v>
      </c>
      <c r="N344" s="1" t="s">
        <v>60</v>
      </c>
      <c r="O344" s="1" t="s">
        <v>426</v>
      </c>
      <c r="P344" s="1">
        <v>380</v>
      </c>
      <c r="T344"/>
    </row>
    <row r="345" spans="8:20">
      <c r="I345" s="1" t="s">
        <v>50</v>
      </c>
      <c r="J345" s="1" t="s">
        <v>3</v>
      </c>
      <c r="K345" s="1" t="s">
        <v>17</v>
      </c>
      <c r="L345" s="1">
        <v>0.08</v>
      </c>
      <c r="M345" s="1">
        <v>0.14000000000000001</v>
      </c>
      <c r="N345" s="1" t="s">
        <v>60</v>
      </c>
      <c r="O345" s="1" t="s">
        <v>427</v>
      </c>
      <c r="P345" s="1">
        <v>380</v>
      </c>
      <c r="T345"/>
    </row>
    <row r="346" spans="8:20">
      <c r="I346" s="1" t="s">
        <v>50</v>
      </c>
      <c r="J346" s="1" t="s">
        <v>4</v>
      </c>
      <c r="K346" s="1" t="s">
        <v>17</v>
      </c>
      <c r="L346" s="1">
        <v>0.08</v>
      </c>
      <c r="M346" s="1">
        <v>0.14000000000000001</v>
      </c>
      <c r="N346" s="1" t="s">
        <v>60</v>
      </c>
      <c r="O346" s="1" t="s">
        <v>428</v>
      </c>
      <c r="P346" s="1">
        <v>340</v>
      </c>
      <c r="T346"/>
    </row>
    <row r="347" spans="8:20">
      <c r="I347" s="1" t="s">
        <v>50</v>
      </c>
      <c r="J347" s="1" t="s">
        <v>5</v>
      </c>
      <c r="K347" s="1" t="s">
        <v>17</v>
      </c>
      <c r="L347" s="1">
        <v>0.08</v>
      </c>
      <c r="M347" s="1">
        <v>0.14000000000000001</v>
      </c>
      <c r="N347" s="1" t="s">
        <v>60</v>
      </c>
      <c r="O347" s="1" t="s">
        <v>429</v>
      </c>
      <c r="P347" s="1">
        <v>340</v>
      </c>
      <c r="T347"/>
    </row>
    <row r="348" spans="8:20">
      <c r="I348" s="1" t="s">
        <v>50</v>
      </c>
      <c r="J348" s="1" t="s">
        <v>6</v>
      </c>
      <c r="K348" s="1" t="s">
        <v>17</v>
      </c>
      <c r="L348" s="1">
        <v>0.08</v>
      </c>
      <c r="M348" s="1">
        <v>0.14000000000000001</v>
      </c>
      <c r="N348" s="1" t="s">
        <v>60</v>
      </c>
      <c r="O348" s="1" t="s">
        <v>430</v>
      </c>
      <c r="P348" s="1">
        <v>300</v>
      </c>
      <c r="T348"/>
    </row>
    <row r="349" spans="8:20">
      <c r="H349" s="11"/>
      <c r="I349" s="1" t="s">
        <v>50</v>
      </c>
      <c r="J349" s="1" t="s">
        <v>7</v>
      </c>
      <c r="K349" s="1" t="s">
        <v>17</v>
      </c>
      <c r="L349" s="1">
        <v>0.08</v>
      </c>
      <c r="M349" s="1">
        <v>0.14000000000000001</v>
      </c>
      <c r="N349" s="1" t="s">
        <v>60</v>
      </c>
      <c r="O349" s="1" t="s">
        <v>431</v>
      </c>
      <c r="P349" s="1">
        <v>260</v>
      </c>
      <c r="Q349" s="11"/>
      <c r="R349" s="11"/>
      <c r="T349"/>
    </row>
    <row r="350" spans="8:20">
      <c r="I350" s="1" t="s">
        <v>50</v>
      </c>
      <c r="J350" s="1" t="s">
        <v>75</v>
      </c>
      <c r="K350" s="1" t="s">
        <v>17</v>
      </c>
      <c r="L350" s="1">
        <v>0.08</v>
      </c>
      <c r="M350" s="1">
        <v>0.14000000000000001</v>
      </c>
      <c r="N350" s="1" t="s">
        <v>60</v>
      </c>
      <c r="O350" s="1" t="s">
        <v>432</v>
      </c>
      <c r="P350" s="1">
        <v>230</v>
      </c>
      <c r="T350"/>
    </row>
    <row r="351" spans="8:20">
      <c r="I351" s="1" t="s">
        <v>50</v>
      </c>
      <c r="J351" s="1" t="s">
        <v>78</v>
      </c>
      <c r="K351" s="1" t="s">
        <v>17</v>
      </c>
      <c r="L351" s="1">
        <v>0.08</v>
      </c>
      <c r="M351" s="1">
        <v>0.14000000000000001</v>
      </c>
      <c r="N351" s="1" t="s">
        <v>60</v>
      </c>
      <c r="O351" s="1" t="s">
        <v>433</v>
      </c>
      <c r="P351" s="1">
        <v>200</v>
      </c>
      <c r="T351"/>
    </row>
    <row r="352" spans="8:20">
      <c r="I352" s="1" t="s">
        <v>50</v>
      </c>
      <c r="J352" s="1" t="s">
        <v>81</v>
      </c>
      <c r="K352" s="1" t="s">
        <v>17</v>
      </c>
      <c r="L352" s="1">
        <v>0.08</v>
      </c>
      <c r="M352" s="1">
        <v>0.14000000000000001</v>
      </c>
      <c r="N352" s="1" t="s">
        <v>60</v>
      </c>
      <c r="O352" s="1" t="s">
        <v>434</v>
      </c>
      <c r="P352" s="1">
        <v>170</v>
      </c>
      <c r="T352"/>
    </row>
    <row r="353" spans="9:20">
      <c r="I353" s="1" t="s">
        <v>50</v>
      </c>
      <c r="J353" s="1" t="s">
        <v>84</v>
      </c>
      <c r="K353" s="1" t="s">
        <v>17</v>
      </c>
      <c r="L353" s="1">
        <v>0.08</v>
      </c>
      <c r="M353" s="1">
        <v>0.14000000000000001</v>
      </c>
      <c r="N353" s="1" t="s">
        <v>60</v>
      </c>
      <c r="O353" s="1" t="s">
        <v>435</v>
      </c>
      <c r="P353" s="1">
        <v>140</v>
      </c>
      <c r="T353"/>
    </row>
    <row r="354" spans="9:20">
      <c r="I354" s="1" t="s">
        <v>50</v>
      </c>
      <c r="J354" s="1" t="s">
        <v>1</v>
      </c>
      <c r="K354" s="1" t="s">
        <v>193</v>
      </c>
      <c r="L354" s="1">
        <v>0.08</v>
      </c>
      <c r="M354" s="1">
        <v>0.14000000000000001</v>
      </c>
      <c r="N354" s="1" t="s">
        <v>60</v>
      </c>
      <c r="O354" s="1" t="s">
        <v>436</v>
      </c>
      <c r="P354" s="1">
        <v>380</v>
      </c>
      <c r="T354"/>
    </row>
    <row r="355" spans="9:20">
      <c r="I355" s="1" t="s">
        <v>50</v>
      </c>
      <c r="J355" s="1" t="s">
        <v>2</v>
      </c>
      <c r="K355" s="1" t="s">
        <v>193</v>
      </c>
      <c r="L355" s="1">
        <v>0.08</v>
      </c>
      <c r="M355" s="1">
        <v>0.14000000000000001</v>
      </c>
      <c r="N355" s="1" t="s">
        <v>60</v>
      </c>
      <c r="O355" s="1" t="s">
        <v>437</v>
      </c>
      <c r="P355" s="1">
        <v>380</v>
      </c>
      <c r="T355"/>
    </row>
    <row r="356" spans="9:20">
      <c r="I356" s="1" t="s">
        <v>50</v>
      </c>
      <c r="J356" s="1" t="s">
        <v>3</v>
      </c>
      <c r="K356" s="1" t="s">
        <v>193</v>
      </c>
      <c r="L356" s="1">
        <v>0.08</v>
      </c>
      <c r="M356" s="1">
        <v>0.14000000000000001</v>
      </c>
      <c r="N356" s="1" t="s">
        <v>60</v>
      </c>
      <c r="O356" s="1" t="s">
        <v>438</v>
      </c>
      <c r="P356" s="1">
        <v>380</v>
      </c>
      <c r="T356"/>
    </row>
    <row r="357" spans="9:20">
      <c r="I357" s="1" t="s">
        <v>50</v>
      </c>
      <c r="J357" s="1" t="s">
        <v>4</v>
      </c>
      <c r="K357" s="1" t="s">
        <v>193</v>
      </c>
      <c r="L357" s="1">
        <v>0.08</v>
      </c>
      <c r="M357" s="1">
        <v>0.14000000000000001</v>
      </c>
      <c r="N357" s="1" t="s">
        <v>60</v>
      </c>
      <c r="O357" s="1" t="s">
        <v>439</v>
      </c>
      <c r="P357" s="1">
        <v>340</v>
      </c>
      <c r="T357"/>
    </row>
    <row r="358" spans="9:20">
      <c r="I358" s="1" t="s">
        <v>50</v>
      </c>
      <c r="J358" s="1" t="s">
        <v>5</v>
      </c>
      <c r="K358" s="1" t="s">
        <v>193</v>
      </c>
      <c r="L358" s="1">
        <v>0.08</v>
      </c>
      <c r="M358" s="1">
        <v>0.14000000000000001</v>
      </c>
      <c r="N358" s="1" t="s">
        <v>60</v>
      </c>
      <c r="O358" s="1" t="s">
        <v>440</v>
      </c>
      <c r="P358" s="1">
        <v>340</v>
      </c>
      <c r="T358"/>
    </row>
    <row r="359" spans="9:20">
      <c r="I359" s="1" t="s">
        <v>50</v>
      </c>
      <c r="J359" s="1" t="s">
        <v>6</v>
      </c>
      <c r="K359" s="1" t="s">
        <v>193</v>
      </c>
      <c r="L359" s="1">
        <v>0.08</v>
      </c>
      <c r="M359" s="1">
        <v>0.14000000000000001</v>
      </c>
      <c r="N359" s="1" t="s">
        <v>60</v>
      </c>
      <c r="O359" s="1" t="s">
        <v>441</v>
      </c>
      <c r="P359" s="1">
        <v>300</v>
      </c>
      <c r="T359"/>
    </row>
    <row r="360" spans="9:20">
      <c r="I360" s="1" t="s">
        <v>50</v>
      </c>
      <c r="J360" s="1" t="s">
        <v>7</v>
      </c>
      <c r="K360" s="1" t="s">
        <v>193</v>
      </c>
      <c r="L360" s="1">
        <v>0.08</v>
      </c>
      <c r="M360" s="1">
        <v>0.14000000000000001</v>
      </c>
      <c r="N360" s="1" t="s">
        <v>60</v>
      </c>
      <c r="O360" s="1" t="s">
        <v>441</v>
      </c>
      <c r="P360" s="1">
        <v>260</v>
      </c>
      <c r="T360"/>
    </row>
    <row r="361" spans="9:20">
      <c r="I361" s="1" t="s">
        <v>50</v>
      </c>
      <c r="J361" s="1" t="s">
        <v>75</v>
      </c>
      <c r="K361" s="1" t="s">
        <v>193</v>
      </c>
      <c r="L361" s="1">
        <v>0.08</v>
      </c>
      <c r="M361" s="1">
        <v>0.14000000000000001</v>
      </c>
      <c r="N361" s="1" t="s">
        <v>60</v>
      </c>
      <c r="O361" s="1" t="s">
        <v>442</v>
      </c>
      <c r="P361" s="1">
        <v>230</v>
      </c>
      <c r="T361"/>
    </row>
    <row r="362" spans="9:20">
      <c r="I362" s="1" t="s">
        <v>50</v>
      </c>
      <c r="J362" s="1" t="s">
        <v>78</v>
      </c>
      <c r="K362" s="1" t="s">
        <v>193</v>
      </c>
      <c r="L362" s="1">
        <v>0.08</v>
      </c>
      <c r="M362" s="1">
        <v>0.14000000000000001</v>
      </c>
      <c r="N362" s="1" t="s">
        <v>60</v>
      </c>
      <c r="O362" s="1" t="s">
        <v>443</v>
      </c>
      <c r="P362" s="1">
        <v>200</v>
      </c>
      <c r="T362"/>
    </row>
    <row r="363" spans="9:20">
      <c r="I363" s="1" t="s">
        <v>50</v>
      </c>
      <c r="J363" s="1" t="s">
        <v>81</v>
      </c>
      <c r="K363" s="1" t="s">
        <v>193</v>
      </c>
      <c r="L363" s="1">
        <v>0.08</v>
      </c>
      <c r="M363" s="1">
        <v>0.14000000000000001</v>
      </c>
      <c r="N363" s="1" t="s">
        <v>60</v>
      </c>
      <c r="O363" s="1" t="s">
        <v>444</v>
      </c>
      <c r="P363" s="1">
        <v>170</v>
      </c>
      <c r="T363"/>
    </row>
    <row r="364" spans="9:20">
      <c r="I364" s="1" t="s">
        <v>50</v>
      </c>
      <c r="J364" s="1" t="s">
        <v>84</v>
      </c>
      <c r="K364" s="1" t="s">
        <v>193</v>
      </c>
      <c r="L364" s="1">
        <v>0.08</v>
      </c>
      <c r="M364" s="1">
        <v>0.14000000000000001</v>
      </c>
      <c r="N364" s="1" t="s">
        <v>60</v>
      </c>
      <c r="O364" s="1" t="s">
        <v>445</v>
      </c>
      <c r="P364" s="1">
        <v>140</v>
      </c>
      <c r="T364"/>
    </row>
    <row r="365" spans="9:20">
      <c r="I365" s="1" t="s">
        <v>50</v>
      </c>
      <c r="J365" s="1" t="s">
        <v>1</v>
      </c>
      <c r="K365" s="1" t="s">
        <v>8</v>
      </c>
      <c r="L365" s="1">
        <v>0.15</v>
      </c>
      <c r="M365" s="1">
        <v>0.17</v>
      </c>
      <c r="N365" s="1" t="s">
        <v>63</v>
      </c>
      <c r="O365" s="1" t="s">
        <v>446</v>
      </c>
      <c r="P365" s="1">
        <v>1130</v>
      </c>
      <c r="T365"/>
    </row>
    <row r="366" spans="9:20">
      <c r="I366" s="1" t="s">
        <v>50</v>
      </c>
      <c r="J366" s="1" t="s">
        <v>2</v>
      </c>
      <c r="K366" s="1" t="s">
        <v>8</v>
      </c>
      <c r="L366" s="1">
        <v>0.15</v>
      </c>
      <c r="M366" s="1">
        <v>0.17</v>
      </c>
      <c r="N366" s="1" t="s">
        <v>63</v>
      </c>
      <c r="O366" s="1" t="s">
        <v>447</v>
      </c>
      <c r="P366" s="1">
        <v>1130</v>
      </c>
      <c r="T366"/>
    </row>
    <row r="367" spans="9:20">
      <c r="I367" s="1" t="s">
        <v>50</v>
      </c>
      <c r="J367" s="1" t="s">
        <v>3</v>
      </c>
      <c r="K367" s="1" t="s">
        <v>8</v>
      </c>
      <c r="L367" s="1">
        <v>0.15</v>
      </c>
      <c r="M367" s="1">
        <v>0.17</v>
      </c>
      <c r="N367" s="1" t="s">
        <v>63</v>
      </c>
      <c r="O367" s="1" t="s">
        <v>448</v>
      </c>
      <c r="P367" s="1">
        <v>1130</v>
      </c>
      <c r="T367"/>
    </row>
    <row r="368" spans="9:20">
      <c r="I368" s="1" t="s">
        <v>50</v>
      </c>
      <c r="J368" s="1" t="s">
        <v>4</v>
      </c>
      <c r="K368" s="1" t="s">
        <v>8</v>
      </c>
      <c r="L368" s="1">
        <v>0.15</v>
      </c>
      <c r="M368" s="1">
        <v>0.17</v>
      </c>
      <c r="N368" s="1" t="s">
        <v>63</v>
      </c>
      <c r="O368" s="1" t="s">
        <v>449</v>
      </c>
      <c r="P368" s="1">
        <v>1000</v>
      </c>
      <c r="T368"/>
    </row>
    <row r="369" spans="9:20">
      <c r="I369" s="1" t="s">
        <v>50</v>
      </c>
      <c r="J369" s="1" t="s">
        <v>5</v>
      </c>
      <c r="K369" s="1" t="s">
        <v>8</v>
      </c>
      <c r="L369" s="1">
        <v>0.15</v>
      </c>
      <c r="M369" s="1">
        <v>0.17</v>
      </c>
      <c r="N369" s="1" t="s">
        <v>63</v>
      </c>
      <c r="O369" s="1" t="s">
        <v>450</v>
      </c>
      <c r="P369" s="1">
        <v>1000</v>
      </c>
      <c r="T369"/>
    </row>
    <row r="370" spans="9:20">
      <c r="I370" s="1" t="s">
        <v>50</v>
      </c>
      <c r="J370" s="1" t="s">
        <v>6</v>
      </c>
      <c r="K370" s="1" t="s">
        <v>8</v>
      </c>
      <c r="L370" s="1">
        <v>0.15</v>
      </c>
      <c r="M370" s="1">
        <v>0.17</v>
      </c>
      <c r="N370" s="1" t="s">
        <v>63</v>
      </c>
      <c r="O370" s="1" t="s">
        <v>451</v>
      </c>
      <c r="P370" s="1">
        <v>880</v>
      </c>
      <c r="T370"/>
    </row>
    <row r="371" spans="9:20">
      <c r="I371" s="1" t="s">
        <v>50</v>
      </c>
      <c r="J371" s="1" t="s">
        <v>7</v>
      </c>
      <c r="K371" s="1" t="s">
        <v>8</v>
      </c>
      <c r="L371" s="1">
        <v>0.15</v>
      </c>
      <c r="M371" s="1">
        <v>0.17</v>
      </c>
      <c r="N371" s="1" t="s">
        <v>63</v>
      </c>
      <c r="O371" s="1" t="s">
        <v>452</v>
      </c>
      <c r="P371" s="1">
        <v>770</v>
      </c>
      <c r="T371"/>
    </row>
    <row r="372" spans="9:20">
      <c r="I372" s="1" t="s">
        <v>50</v>
      </c>
      <c r="J372" s="1" t="s">
        <v>75</v>
      </c>
      <c r="K372" s="1" t="s">
        <v>8</v>
      </c>
      <c r="L372" s="1">
        <v>0.15</v>
      </c>
      <c r="M372" s="1">
        <v>0.17</v>
      </c>
      <c r="N372" s="1" t="s">
        <v>63</v>
      </c>
      <c r="O372" s="1" t="s">
        <v>453</v>
      </c>
      <c r="P372" s="1">
        <v>680</v>
      </c>
      <c r="T372"/>
    </row>
    <row r="373" spans="9:20">
      <c r="I373" s="1" t="s">
        <v>50</v>
      </c>
      <c r="J373" s="1" t="s">
        <v>78</v>
      </c>
      <c r="K373" s="1" t="s">
        <v>8</v>
      </c>
      <c r="L373" s="1">
        <v>0.15</v>
      </c>
      <c r="M373" s="1">
        <v>0.17</v>
      </c>
      <c r="N373" s="1" t="s">
        <v>63</v>
      </c>
      <c r="O373" s="1" t="s">
        <v>454</v>
      </c>
      <c r="P373" s="1">
        <v>580</v>
      </c>
      <c r="T373"/>
    </row>
    <row r="374" spans="9:20">
      <c r="I374" s="1" t="s">
        <v>50</v>
      </c>
      <c r="J374" s="1" t="s">
        <v>81</v>
      </c>
      <c r="K374" s="1" t="s">
        <v>8</v>
      </c>
      <c r="L374" s="1">
        <v>0.15</v>
      </c>
      <c r="M374" s="1">
        <v>0.17</v>
      </c>
      <c r="N374" s="1" t="s">
        <v>63</v>
      </c>
      <c r="O374" s="1" t="s">
        <v>455</v>
      </c>
      <c r="P374" s="1">
        <v>480</v>
      </c>
      <c r="T374"/>
    </row>
    <row r="375" spans="9:20">
      <c r="I375" s="1" t="s">
        <v>50</v>
      </c>
      <c r="J375" s="1" t="s">
        <v>84</v>
      </c>
      <c r="K375" s="1" t="s">
        <v>8</v>
      </c>
      <c r="L375" s="1">
        <v>0.15</v>
      </c>
      <c r="M375" s="1">
        <v>0.17</v>
      </c>
      <c r="N375" s="1" t="s">
        <v>63</v>
      </c>
      <c r="O375" s="1" t="s">
        <v>456</v>
      </c>
      <c r="P375" s="1">
        <v>400</v>
      </c>
      <c r="T375"/>
    </row>
    <row r="376" spans="9:20">
      <c r="I376" s="1" t="s">
        <v>50</v>
      </c>
      <c r="J376" s="1" t="s">
        <v>1</v>
      </c>
      <c r="K376" s="1" t="s">
        <v>9</v>
      </c>
      <c r="L376" s="1">
        <v>0.15</v>
      </c>
      <c r="M376" s="1">
        <v>0.17</v>
      </c>
      <c r="N376" s="1" t="s">
        <v>63</v>
      </c>
      <c r="O376" s="1" t="s">
        <v>457</v>
      </c>
      <c r="P376" s="1">
        <v>1130</v>
      </c>
      <c r="T376"/>
    </row>
    <row r="377" spans="9:20">
      <c r="I377" s="1" t="s">
        <v>50</v>
      </c>
      <c r="J377" s="1" t="s">
        <v>2</v>
      </c>
      <c r="K377" s="1" t="s">
        <v>9</v>
      </c>
      <c r="L377" s="1">
        <v>0.15</v>
      </c>
      <c r="M377" s="1">
        <v>0.17</v>
      </c>
      <c r="N377" s="1" t="s">
        <v>63</v>
      </c>
      <c r="O377" s="1" t="s">
        <v>458</v>
      </c>
      <c r="P377" s="1">
        <v>1130</v>
      </c>
      <c r="T377"/>
    </row>
    <row r="378" spans="9:20">
      <c r="I378" s="1" t="s">
        <v>50</v>
      </c>
      <c r="J378" s="1" t="s">
        <v>3</v>
      </c>
      <c r="K378" s="1" t="s">
        <v>9</v>
      </c>
      <c r="L378" s="1">
        <v>0.15</v>
      </c>
      <c r="M378" s="1">
        <v>0.17</v>
      </c>
      <c r="N378" s="1" t="s">
        <v>63</v>
      </c>
      <c r="O378" s="1" t="s">
        <v>459</v>
      </c>
      <c r="P378" s="1">
        <v>1130</v>
      </c>
      <c r="T378"/>
    </row>
    <row r="379" spans="9:20">
      <c r="I379" s="1" t="s">
        <v>50</v>
      </c>
      <c r="J379" s="1" t="s">
        <v>4</v>
      </c>
      <c r="K379" s="1" t="s">
        <v>9</v>
      </c>
      <c r="L379" s="1">
        <v>0.15</v>
      </c>
      <c r="M379" s="1">
        <v>0.17</v>
      </c>
      <c r="N379" s="1" t="s">
        <v>63</v>
      </c>
      <c r="O379" s="1" t="s">
        <v>460</v>
      </c>
      <c r="P379" s="1">
        <v>1000</v>
      </c>
      <c r="T379"/>
    </row>
    <row r="380" spans="9:20">
      <c r="I380" s="1" t="s">
        <v>50</v>
      </c>
      <c r="J380" s="1" t="s">
        <v>5</v>
      </c>
      <c r="K380" s="1" t="s">
        <v>9</v>
      </c>
      <c r="L380" s="1">
        <v>0.15</v>
      </c>
      <c r="M380" s="1">
        <v>0.17</v>
      </c>
      <c r="N380" s="1" t="s">
        <v>63</v>
      </c>
      <c r="O380" s="1" t="s">
        <v>461</v>
      </c>
      <c r="P380" s="1">
        <v>1000</v>
      </c>
      <c r="T380"/>
    </row>
    <row r="381" spans="9:20">
      <c r="I381" s="1" t="s">
        <v>50</v>
      </c>
      <c r="J381" s="1" t="s">
        <v>6</v>
      </c>
      <c r="K381" s="1" t="s">
        <v>9</v>
      </c>
      <c r="L381" s="1">
        <v>0.15</v>
      </c>
      <c r="M381" s="1">
        <v>0.17</v>
      </c>
      <c r="N381" s="1" t="s">
        <v>63</v>
      </c>
      <c r="O381" s="1" t="s">
        <v>462</v>
      </c>
      <c r="P381" s="1">
        <v>880</v>
      </c>
      <c r="T381"/>
    </row>
    <row r="382" spans="9:20">
      <c r="I382" s="1" t="s">
        <v>50</v>
      </c>
      <c r="J382" s="1" t="s">
        <v>7</v>
      </c>
      <c r="K382" s="1" t="s">
        <v>9</v>
      </c>
      <c r="L382" s="1">
        <v>0.15</v>
      </c>
      <c r="M382" s="1">
        <v>0.17</v>
      </c>
      <c r="N382" s="1" t="s">
        <v>63</v>
      </c>
      <c r="O382" s="1" t="s">
        <v>463</v>
      </c>
      <c r="P382" s="1">
        <v>770</v>
      </c>
      <c r="T382"/>
    </row>
    <row r="383" spans="9:20">
      <c r="I383" s="1" t="s">
        <v>50</v>
      </c>
      <c r="J383" s="1" t="s">
        <v>75</v>
      </c>
      <c r="K383" s="1" t="s">
        <v>9</v>
      </c>
      <c r="L383" s="1">
        <v>0.15</v>
      </c>
      <c r="M383" s="1">
        <v>0.17</v>
      </c>
      <c r="N383" s="1" t="s">
        <v>63</v>
      </c>
      <c r="O383" s="1" t="s">
        <v>464</v>
      </c>
      <c r="P383" s="1">
        <v>680</v>
      </c>
      <c r="T383"/>
    </row>
    <row r="384" spans="9:20">
      <c r="I384" s="1" t="s">
        <v>50</v>
      </c>
      <c r="J384" s="1" t="s">
        <v>78</v>
      </c>
      <c r="K384" s="1" t="s">
        <v>9</v>
      </c>
      <c r="L384" s="1">
        <v>0.15</v>
      </c>
      <c r="M384" s="1">
        <v>0.17</v>
      </c>
      <c r="N384" s="1" t="s">
        <v>63</v>
      </c>
      <c r="O384" s="1" t="s">
        <v>465</v>
      </c>
      <c r="P384" s="1">
        <v>580</v>
      </c>
      <c r="T384"/>
    </row>
    <row r="385" spans="9:20">
      <c r="I385" s="1" t="s">
        <v>50</v>
      </c>
      <c r="J385" s="1" t="s">
        <v>81</v>
      </c>
      <c r="K385" s="1" t="s">
        <v>9</v>
      </c>
      <c r="L385" s="1">
        <v>0.15</v>
      </c>
      <c r="M385" s="1">
        <v>0.17</v>
      </c>
      <c r="N385" s="1" t="s">
        <v>63</v>
      </c>
      <c r="O385" s="1" t="s">
        <v>466</v>
      </c>
      <c r="P385" s="1">
        <v>480</v>
      </c>
      <c r="T385"/>
    </row>
    <row r="386" spans="9:20">
      <c r="I386" s="1" t="s">
        <v>50</v>
      </c>
      <c r="J386" s="1" t="s">
        <v>84</v>
      </c>
      <c r="K386" s="1" t="s">
        <v>9</v>
      </c>
      <c r="L386" s="1">
        <v>0.15</v>
      </c>
      <c r="M386" s="1">
        <v>0.17</v>
      </c>
      <c r="N386" s="1" t="s">
        <v>63</v>
      </c>
      <c r="O386" s="1" t="s">
        <v>467</v>
      </c>
      <c r="P386" s="1">
        <v>400</v>
      </c>
      <c r="T386"/>
    </row>
    <row r="387" spans="9:20">
      <c r="I387" s="1" t="s">
        <v>50</v>
      </c>
      <c r="J387" s="1" t="s">
        <v>1</v>
      </c>
      <c r="K387" s="1" t="s">
        <v>10</v>
      </c>
      <c r="L387" s="1">
        <v>0.15</v>
      </c>
      <c r="M387" s="1">
        <v>0.17</v>
      </c>
      <c r="N387" s="1" t="s">
        <v>63</v>
      </c>
      <c r="O387" s="1" t="s">
        <v>468</v>
      </c>
      <c r="P387" s="1">
        <v>1130</v>
      </c>
      <c r="T387"/>
    </row>
    <row r="388" spans="9:20">
      <c r="I388" s="1" t="s">
        <v>50</v>
      </c>
      <c r="J388" s="1" t="s">
        <v>2</v>
      </c>
      <c r="K388" s="1" t="s">
        <v>10</v>
      </c>
      <c r="L388" s="1">
        <v>0.15</v>
      </c>
      <c r="M388" s="1">
        <v>0.17</v>
      </c>
      <c r="N388" s="1" t="s">
        <v>63</v>
      </c>
      <c r="O388" s="1" t="s">
        <v>469</v>
      </c>
      <c r="P388" s="1">
        <v>1130</v>
      </c>
      <c r="T388"/>
    </row>
    <row r="389" spans="9:20">
      <c r="I389" s="1" t="s">
        <v>50</v>
      </c>
      <c r="J389" s="1" t="s">
        <v>3</v>
      </c>
      <c r="K389" s="1" t="s">
        <v>10</v>
      </c>
      <c r="L389" s="1">
        <v>0.15</v>
      </c>
      <c r="M389" s="1">
        <v>0.17</v>
      </c>
      <c r="N389" s="1" t="s">
        <v>63</v>
      </c>
      <c r="O389" s="1" t="s">
        <v>470</v>
      </c>
      <c r="P389" s="1">
        <v>1130</v>
      </c>
      <c r="T389"/>
    </row>
    <row r="390" spans="9:20">
      <c r="I390" s="1" t="s">
        <v>50</v>
      </c>
      <c r="J390" s="1" t="s">
        <v>4</v>
      </c>
      <c r="K390" s="1" t="s">
        <v>10</v>
      </c>
      <c r="L390" s="1">
        <v>0.15</v>
      </c>
      <c r="M390" s="1">
        <v>0.17</v>
      </c>
      <c r="N390" s="1" t="s">
        <v>63</v>
      </c>
      <c r="O390" s="1" t="s">
        <v>471</v>
      </c>
      <c r="P390" s="1">
        <v>1000</v>
      </c>
      <c r="T390"/>
    </row>
    <row r="391" spans="9:20">
      <c r="I391" s="1" t="s">
        <v>50</v>
      </c>
      <c r="J391" s="1" t="s">
        <v>5</v>
      </c>
      <c r="K391" s="1" t="s">
        <v>10</v>
      </c>
      <c r="L391" s="1">
        <v>0.15</v>
      </c>
      <c r="M391" s="1">
        <v>0.17</v>
      </c>
      <c r="N391" s="1" t="s">
        <v>63</v>
      </c>
      <c r="O391" s="1" t="s">
        <v>472</v>
      </c>
      <c r="P391" s="1">
        <v>1000</v>
      </c>
      <c r="T391"/>
    </row>
    <row r="392" spans="9:20">
      <c r="I392" s="1" t="s">
        <v>50</v>
      </c>
      <c r="J392" s="1" t="s">
        <v>6</v>
      </c>
      <c r="K392" s="1" t="s">
        <v>10</v>
      </c>
      <c r="L392" s="1">
        <v>0.15</v>
      </c>
      <c r="M392" s="1">
        <v>0.17</v>
      </c>
      <c r="N392" s="1" t="s">
        <v>63</v>
      </c>
      <c r="O392" s="1" t="s">
        <v>473</v>
      </c>
      <c r="P392" s="1">
        <v>880</v>
      </c>
      <c r="T392"/>
    </row>
    <row r="393" spans="9:20">
      <c r="I393" s="1" t="s">
        <v>50</v>
      </c>
      <c r="J393" s="1" t="s">
        <v>7</v>
      </c>
      <c r="K393" s="1" t="s">
        <v>10</v>
      </c>
      <c r="L393" s="1">
        <v>0.15</v>
      </c>
      <c r="M393" s="1">
        <v>0.17</v>
      </c>
      <c r="N393" s="1" t="s">
        <v>63</v>
      </c>
      <c r="O393" s="1" t="s">
        <v>474</v>
      </c>
      <c r="P393" s="1">
        <v>770</v>
      </c>
      <c r="T393"/>
    </row>
    <row r="394" spans="9:20">
      <c r="I394" s="1" t="s">
        <v>50</v>
      </c>
      <c r="J394" s="1" t="s">
        <v>75</v>
      </c>
      <c r="K394" s="1" t="s">
        <v>10</v>
      </c>
      <c r="L394" s="1">
        <v>0.15</v>
      </c>
      <c r="M394" s="1">
        <v>0.17</v>
      </c>
      <c r="N394" s="1" t="s">
        <v>63</v>
      </c>
      <c r="O394" s="1" t="s">
        <v>475</v>
      </c>
      <c r="P394" s="1">
        <v>680</v>
      </c>
      <c r="T394"/>
    </row>
    <row r="395" spans="9:20">
      <c r="I395" s="1" t="s">
        <v>50</v>
      </c>
      <c r="J395" s="1" t="s">
        <v>78</v>
      </c>
      <c r="K395" s="1" t="s">
        <v>10</v>
      </c>
      <c r="L395" s="1">
        <v>0.15</v>
      </c>
      <c r="M395" s="1">
        <v>0.17</v>
      </c>
      <c r="N395" s="1" t="s">
        <v>63</v>
      </c>
      <c r="O395" s="1" t="s">
        <v>476</v>
      </c>
      <c r="P395" s="1">
        <v>580</v>
      </c>
      <c r="T395"/>
    </row>
    <row r="396" spans="9:20">
      <c r="I396" s="1" t="s">
        <v>50</v>
      </c>
      <c r="J396" s="1" t="s">
        <v>81</v>
      </c>
      <c r="K396" s="1" t="s">
        <v>10</v>
      </c>
      <c r="L396" s="1">
        <v>0.15</v>
      </c>
      <c r="M396" s="1">
        <v>0.17</v>
      </c>
      <c r="N396" s="1" t="s">
        <v>63</v>
      </c>
      <c r="O396" s="1" t="s">
        <v>477</v>
      </c>
      <c r="P396" s="1">
        <v>480</v>
      </c>
      <c r="T396"/>
    </row>
    <row r="397" spans="9:20">
      <c r="I397" s="1" t="s">
        <v>50</v>
      </c>
      <c r="J397" s="1" t="s">
        <v>84</v>
      </c>
      <c r="K397" s="1" t="s">
        <v>10</v>
      </c>
      <c r="L397" s="1">
        <v>0.15</v>
      </c>
      <c r="M397" s="1">
        <v>0.17</v>
      </c>
      <c r="N397" s="1" t="s">
        <v>63</v>
      </c>
      <c r="O397" s="1" t="s">
        <v>478</v>
      </c>
      <c r="P397" s="1">
        <v>400</v>
      </c>
      <c r="T397"/>
    </row>
    <row r="398" spans="9:20">
      <c r="I398" s="1" t="s">
        <v>50</v>
      </c>
      <c r="J398" s="1" t="s">
        <v>1</v>
      </c>
      <c r="K398" s="1" t="s">
        <v>11</v>
      </c>
      <c r="L398" s="1">
        <v>0.15</v>
      </c>
      <c r="M398" s="1">
        <v>0.17</v>
      </c>
      <c r="N398" s="1" t="s">
        <v>63</v>
      </c>
      <c r="O398" s="1" t="s">
        <v>479</v>
      </c>
      <c r="P398" s="1">
        <v>960</v>
      </c>
      <c r="T398"/>
    </row>
    <row r="399" spans="9:20">
      <c r="I399" s="1" t="s">
        <v>50</v>
      </c>
      <c r="J399" s="1" t="s">
        <v>2</v>
      </c>
      <c r="K399" s="1" t="s">
        <v>11</v>
      </c>
      <c r="L399" s="1">
        <v>0.15</v>
      </c>
      <c r="M399" s="1">
        <v>0.17</v>
      </c>
      <c r="N399" s="1" t="s">
        <v>63</v>
      </c>
      <c r="O399" s="1" t="s">
        <v>480</v>
      </c>
      <c r="P399" s="1">
        <v>960</v>
      </c>
      <c r="T399"/>
    </row>
    <row r="400" spans="9:20">
      <c r="I400" s="1" t="s">
        <v>50</v>
      </c>
      <c r="J400" s="1" t="s">
        <v>3</v>
      </c>
      <c r="K400" s="1" t="s">
        <v>11</v>
      </c>
      <c r="L400" s="1">
        <v>0.15</v>
      </c>
      <c r="M400" s="1">
        <v>0.17</v>
      </c>
      <c r="N400" s="1" t="s">
        <v>63</v>
      </c>
      <c r="O400" s="1" t="s">
        <v>481</v>
      </c>
      <c r="P400" s="1">
        <v>960</v>
      </c>
      <c r="T400"/>
    </row>
    <row r="401" spans="9:20">
      <c r="I401" s="1" t="s">
        <v>50</v>
      </c>
      <c r="J401" s="1" t="s">
        <v>4</v>
      </c>
      <c r="K401" s="1" t="s">
        <v>11</v>
      </c>
      <c r="L401" s="1">
        <v>0.15</v>
      </c>
      <c r="M401" s="1">
        <v>0.17</v>
      </c>
      <c r="N401" s="1" t="s">
        <v>63</v>
      </c>
      <c r="O401" s="1" t="s">
        <v>482</v>
      </c>
      <c r="P401" s="1">
        <v>860</v>
      </c>
      <c r="T401"/>
    </row>
    <row r="402" spans="9:20">
      <c r="I402" s="1" t="s">
        <v>50</v>
      </c>
      <c r="J402" s="1" t="s">
        <v>5</v>
      </c>
      <c r="K402" s="1" t="s">
        <v>11</v>
      </c>
      <c r="L402" s="1">
        <v>0.15</v>
      </c>
      <c r="M402" s="1">
        <v>0.17</v>
      </c>
      <c r="N402" s="1" t="s">
        <v>63</v>
      </c>
      <c r="O402" s="1" t="s">
        <v>483</v>
      </c>
      <c r="P402" s="1">
        <v>860</v>
      </c>
      <c r="T402"/>
    </row>
    <row r="403" spans="9:20">
      <c r="I403" s="1" t="s">
        <v>50</v>
      </c>
      <c r="J403" s="1" t="s">
        <v>6</v>
      </c>
      <c r="K403" s="1" t="s">
        <v>11</v>
      </c>
      <c r="L403" s="1">
        <v>0.15</v>
      </c>
      <c r="M403" s="1">
        <v>0.17</v>
      </c>
      <c r="N403" s="1" t="s">
        <v>63</v>
      </c>
      <c r="O403" s="1" t="s">
        <v>484</v>
      </c>
      <c r="P403" s="1">
        <v>770</v>
      </c>
      <c r="T403"/>
    </row>
    <row r="404" spans="9:20">
      <c r="I404" s="1" t="s">
        <v>50</v>
      </c>
      <c r="J404" s="1" t="s">
        <v>7</v>
      </c>
      <c r="K404" s="1" t="s">
        <v>11</v>
      </c>
      <c r="L404" s="1">
        <v>0.15</v>
      </c>
      <c r="M404" s="1">
        <v>0.17</v>
      </c>
      <c r="N404" s="1" t="s">
        <v>63</v>
      </c>
      <c r="O404" s="1" t="s">
        <v>485</v>
      </c>
      <c r="P404" s="1">
        <v>680</v>
      </c>
      <c r="T404"/>
    </row>
    <row r="405" spans="9:20">
      <c r="I405" s="1" t="s">
        <v>50</v>
      </c>
      <c r="J405" s="1" t="s">
        <v>75</v>
      </c>
      <c r="K405" s="1" t="s">
        <v>11</v>
      </c>
      <c r="L405" s="1">
        <v>0.15</v>
      </c>
      <c r="M405" s="1">
        <v>0.17</v>
      </c>
      <c r="N405" s="1" t="s">
        <v>63</v>
      </c>
      <c r="O405" s="1" t="s">
        <v>486</v>
      </c>
      <c r="P405" s="1">
        <v>590</v>
      </c>
      <c r="T405"/>
    </row>
    <row r="406" spans="9:20">
      <c r="I406" s="1" t="s">
        <v>50</v>
      </c>
      <c r="J406" s="1" t="s">
        <v>78</v>
      </c>
      <c r="K406" s="1" t="s">
        <v>11</v>
      </c>
      <c r="L406" s="1">
        <v>0.15</v>
      </c>
      <c r="M406" s="1">
        <v>0.17</v>
      </c>
      <c r="N406" s="1" t="s">
        <v>63</v>
      </c>
      <c r="O406" s="1" t="s">
        <v>487</v>
      </c>
      <c r="P406" s="1">
        <v>510</v>
      </c>
      <c r="T406"/>
    </row>
    <row r="407" spans="9:20">
      <c r="I407" s="1" t="s">
        <v>50</v>
      </c>
      <c r="J407" s="1" t="s">
        <v>81</v>
      </c>
      <c r="K407" s="1" t="s">
        <v>11</v>
      </c>
      <c r="L407" s="1">
        <v>0.15</v>
      </c>
      <c r="M407" s="1">
        <v>0.17</v>
      </c>
      <c r="N407" s="1" t="s">
        <v>63</v>
      </c>
      <c r="O407" s="1" t="s">
        <v>488</v>
      </c>
      <c r="P407" s="1">
        <v>420</v>
      </c>
      <c r="T407"/>
    </row>
    <row r="408" spans="9:20">
      <c r="I408" s="1" t="s">
        <v>50</v>
      </c>
      <c r="J408" s="1" t="s">
        <v>84</v>
      </c>
      <c r="K408" s="1" t="s">
        <v>11</v>
      </c>
      <c r="L408" s="1">
        <v>0.15</v>
      </c>
      <c r="M408" s="1">
        <v>0.17</v>
      </c>
      <c r="N408" s="1" t="s">
        <v>63</v>
      </c>
      <c r="O408" s="1" t="s">
        <v>489</v>
      </c>
      <c r="P408" s="1">
        <v>360</v>
      </c>
      <c r="T408"/>
    </row>
    <row r="409" spans="9:20">
      <c r="I409" s="1" t="s">
        <v>50</v>
      </c>
      <c r="J409" s="1" t="s">
        <v>1</v>
      </c>
      <c r="K409" s="1" t="s">
        <v>12</v>
      </c>
      <c r="L409" s="1">
        <v>0.15</v>
      </c>
      <c r="M409" s="1">
        <v>0.17</v>
      </c>
      <c r="N409" s="1" t="s">
        <v>63</v>
      </c>
      <c r="O409" s="1" t="s">
        <v>490</v>
      </c>
      <c r="P409" s="1">
        <v>960</v>
      </c>
      <c r="T409"/>
    </row>
    <row r="410" spans="9:20">
      <c r="I410" s="1" t="s">
        <v>50</v>
      </c>
      <c r="J410" s="1" t="s">
        <v>2</v>
      </c>
      <c r="K410" s="1" t="s">
        <v>12</v>
      </c>
      <c r="L410" s="1">
        <v>0.15</v>
      </c>
      <c r="M410" s="1">
        <v>0.17</v>
      </c>
      <c r="N410" s="1" t="s">
        <v>63</v>
      </c>
      <c r="O410" s="1" t="s">
        <v>491</v>
      </c>
      <c r="P410" s="1">
        <v>960</v>
      </c>
      <c r="T410"/>
    </row>
    <row r="411" spans="9:20">
      <c r="I411" s="1" t="s">
        <v>50</v>
      </c>
      <c r="J411" s="1" t="s">
        <v>3</v>
      </c>
      <c r="K411" s="1" t="s">
        <v>12</v>
      </c>
      <c r="L411" s="1">
        <v>0.15</v>
      </c>
      <c r="M411" s="1">
        <v>0.17</v>
      </c>
      <c r="N411" s="1" t="s">
        <v>63</v>
      </c>
      <c r="O411" s="1" t="s">
        <v>492</v>
      </c>
      <c r="P411" s="1">
        <v>960</v>
      </c>
      <c r="T411"/>
    </row>
    <row r="412" spans="9:20">
      <c r="I412" s="1" t="s">
        <v>50</v>
      </c>
      <c r="J412" s="1" t="s">
        <v>4</v>
      </c>
      <c r="K412" s="1" t="s">
        <v>12</v>
      </c>
      <c r="L412" s="1">
        <v>0.15</v>
      </c>
      <c r="M412" s="1">
        <v>0.17</v>
      </c>
      <c r="N412" s="1" t="s">
        <v>63</v>
      </c>
      <c r="O412" s="1" t="s">
        <v>493</v>
      </c>
      <c r="P412" s="1">
        <v>860</v>
      </c>
      <c r="T412"/>
    </row>
    <row r="413" spans="9:20">
      <c r="I413" s="1" t="s">
        <v>50</v>
      </c>
      <c r="J413" s="1" t="s">
        <v>5</v>
      </c>
      <c r="K413" s="1" t="s">
        <v>12</v>
      </c>
      <c r="L413" s="1">
        <v>0.15</v>
      </c>
      <c r="M413" s="1">
        <v>0.17</v>
      </c>
      <c r="N413" s="1" t="s">
        <v>63</v>
      </c>
      <c r="O413" s="1" t="s">
        <v>494</v>
      </c>
      <c r="P413" s="1">
        <v>860</v>
      </c>
      <c r="T413"/>
    </row>
    <row r="414" spans="9:20">
      <c r="I414" s="1" t="s">
        <v>50</v>
      </c>
      <c r="J414" s="1" t="s">
        <v>6</v>
      </c>
      <c r="K414" s="1" t="s">
        <v>12</v>
      </c>
      <c r="L414" s="1">
        <v>0.15</v>
      </c>
      <c r="M414" s="1">
        <v>0.17</v>
      </c>
      <c r="N414" s="1" t="s">
        <v>63</v>
      </c>
      <c r="O414" s="1" t="s">
        <v>495</v>
      </c>
      <c r="P414" s="1">
        <v>770</v>
      </c>
      <c r="T414"/>
    </row>
    <row r="415" spans="9:20">
      <c r="I415" s="1" t="s">
        <v>50</v>
      </c>
      <c r="J415" s="1" t="s">
        <v>7</v>
      </c>
      <c r="K415" s="1" t="s">
        <v>12</v>
      </c>
      <c r="L415" s="1">
        <v>0.15</v>
      </c>
      <c r="M415" s="1">
        <v>0.17</v>
      </c>
      <c r="N415" s="1" t="s">
        <v>63</v>
      </c>
      <c r="O415" s="1" t="s">
        <v>496</v>
      </c>
      <c r="P415" s="1">
        <v>680</v>
      </c>
      <c r="T415"/>
    </row>
    <row r="416" spans="9:20">
      <c r="I416" s="1" t="s">
        <v>50</v>
      </c>
      <c r="J416" s="1" t="s">
        <v>75</v>
      </c>
      <c r="K416" s="1" t="s">
        <v>12</v>
      </c>
      <c r="L416" s="1">
        <v>0.15</v>
      </c>
      <c r="M416" s="1">
        <v>0.17</v>
      </c>
      <c r="N416" s="1" t="s">
        <v>63</v>
      </c>
      <c r="O416" s="1" t="s">
        <v>497</v>
      </c>
      <c r="P416" s="1">
        <v>590</v>
      </c>
      <c r="T416"/>
    </row>
    <row r="417" spans="9:20">
      <c r="I417" s="1" t="s">
        <v>50</v>
      </c>
      <c r="J417" s="1" t="s">
        <v>78</v>
      </c>
      <c r="K417" s="1" t="s">
        <v>12</v>
      </c>
      <c r="L417" s="1">
        <v>0.15</v>
      </c>
      <c r="M417" s="1">
        <v>0.17</v>
      </c>
      <c r="N417" s="1" t="s">
        <v>63</v>
      </c>
      <c r="O417" s="1" t="s">
        <v>498</v>
      </c>
      <c r="P417" s="1">
        <v>510</v>
      </c>
      <c r="T417"/>
    </row>
    <row r="418" spans="9:20">
      <c r="I418" s="1" t="s">
        <v>50</v>
      </c>
      <c r="J418" s="1" t="s">
        <v>81</v>
      </c>
      <c r="K418" s="1" t="s">
        <v>12</v>
      </c>
      <c r="L418" s="1">
        <v>0.15</v>
      </c>
      <c r="M418" s="1">
        <v>0.17</v>
      </c>
      <c r="N418" s="1" t="s">
        <v>63</v>
      </c>
      <c r="O418" s="1" t="s">
        <v>499</v>
      </c>
      <c r="P418" s="1">
        <v>420</v>
      </c>
      <c r="T418"/>
    </row>
    <row r="419" spans="9:20">
      <c r="I419" s="1" t="s">
        <v>50</v>
      </c>
      <c r="J419" s="1" t="s">
        <v>84</v>
      </c>
      <c r="K419" s="1" t="s">
        <v>12</v>
      </c>
      <c r="L419" s="1">
        <v>0.15</v>
      </c>
      <c r="M419" s="1">
        <v>0.17</v>
      </c>
      <c r="N419" s="1" t="s">
        <v>63</v>
      </c>
      <c r="O419" s="1" t="s">
        <v>500</v>
      </c>
      <c r="P419" s="1">
        <v>360</v>
      </c>
      <c r="T419"/>
    </row>
    <row r="420" spans="9:20">
      <c r="I420" s="1" t="s">
        <v>50</v>
      </c>
      <c r="J420" s="1" t="s">
        <v>1</v>
      </c>
      <c r="K420" s="1" t="s">
        <v>13</v>
      </c>
      <c r="L420" s="1">
        <v>0.15</v>
      </c>
      <c r="M420" s="1">
        <v>0.17</v>
      </c>
      <c r="N420" s="1" t="s">
        <v>63</v>
      </c>
      <c r="O420" s="1" t="s">
        <v>501</v>
      </c>
      <c r="P420" s="1">
        <v>780</v>
      </c>
      <c r="T420"/>
    </row>
    <row r="421" spans="9:20">
      <c r="I421" s="1" t="s">
        <v>50</v>
      </c>
      <c r="J421" s="1" t="s">
        <v>2</v>
      </c>
      <c r="K421" s="1" t="s">
        <v>13</v>
      </c>
      <c r="L421" s="1">
        <v>0.15</v>
      </c>
      <c r="M421" s="1">
        <v>0.17</v>
      </c>
      <c r="N421" s="1" t="s">
        <v>63</v>
      </c>
      <c r="O421" s="1" t="s">
        <v>502</v>
      </c>
      <c r="P421" s="1">
        <v>780</v>
      </c>
      <c r="T421"/>
    </row>
    <row r="422" spans="9:20">
      <c r="I422" s="1" t="s">
        <v>50</v>
      </c>
      <c r="J422" s="1" t="s">
        <v>3</v>
      </c>
      <c r="K422" s="1" t="s">
        <v>13</v>
      </c>
      <c r="L422" s="1">
        <v>0.15</v>
      </c>
      <c r="M422" s="1">
        <v>0.17</v>
      </c>
      <c r="N422" s="1" t="s">
        <v>63</v>
      </c>
      <c r="O422" s="1" t="s">
        <v>503</v>
      </c>
      <c r="P422" s="1">
        <v>780</v>
      </c>
      <c r="T422"/>
    </row>
    <row r="423" spans="9:20">
      <c r="I423" s="1" t="s">
        <v>50</v>
      </c>
      <c r="J423" s="1" t="s">
        <v>4</v>
      </c>
      <c r="K423" s="1" t="s">
        <v>13</v>
      </c>
      <c r="L423" s="1">
        <v>0.15</v>
      </c>
      <c r="M423" s="1">
        <v>0.17</v>
      </c>
      <c r="N423" s="1" t="s">
        <v>63</v>
      </c>
      <c r="O423" s="1" t="s">
        <v>504</v>
      </c>
      <c r="P423" s="1">
        <v>700</v>
      </c>
      <c r="T423"/>
    </row>
    <row r="424" spans="9:20">
      <c r="I424" s="1" t="s">
        <v>50</v>
      </c>
      <c r="J424" s="1" t="s">
        <v>5</v>
      </c>
      <c r="K424" s="1" t="s">
        <v>13</v>
      </c>
      <c r="L424" s="1">
        <v>0.15</v>
      </c>
      <c r="M424" s="1">
        <v>0.17</v>
      </c>
      <c r="N424" s="1" t="s">
        <v>63</v>
      </c>
      <c r="O424" s="1" t="s">
        <v>505</v>
      </c>
      <c r="P424" s="1">
        <v>700</v>
      </c>
      <c r="T424"/>
    </row>
    <row r="425" spans="9:20">
      <c r="I425" s="1" t="s">
        <v>50</v>
      </c>
      <c r="J425" s="1" t="s">
        <v>6</v>
      </c>
      <c r="K425" s="1" t="s">
        <v>13</v>
      </c>
      <c r="L425" s="1">
        <v>0.15</v>
      </c>
      <c r="M425" s="1">
        <v>0.17</v>
      </c>
      <c r="N425" s="1" t="s">
        <v>63</v>
      </c>
      <c r="O425" s="1" t="s">
        <v>506</v>
      </c>
      <c r="P425" s="1">
        <v>630</v>
      </c>
      <c r="T425"/>
    </row>
    <row r="426" spans="9:20">
      <c r="I426" s="1" t="s">
        <v>50</v>
      </c>
      <c r="J426" s="1" t="s">
        <v>7</v>
      </c>
      <c r="K426" s="1" t="s">
        <v>13</v>
      </c>
      <c r="L426" s="1">
        <v>0.15</v>
      </c>
      <c r="M426" s="1">
        <v>0.17</v>
      </c>
      <c r="N426" s="1" t="s">
        <v>63</v>
      </c>
      <c r="O426" s="1" t="s">
        <v>507</v>
      </c>
      <c r="P426" s="1">
        <v>560</v>
      </c>
      <c r="T426"/>
    </row>
    <row r="427" spans="9:20">
      <c r="I427" s="1" t="s">
        <v>50</v>
      </c>
      <c r="J427" s="1" t="s">
        <v>75</v>
      </c>
      <c r="K427" s="1" t="s">
        <v>13</v>
      </c>
      <c r="L427" s="1">
        <v>0.15</v>
      </c>
      <c r="M427" s="1">
        <v>0.17</v>
      </c>
      <c r="N427" s="1" t="s">
        <v>63</v>
      </c>
      <c r="O427" s="1" t="s">
        <v>508</v>
      </c>
      <c r="P427" s="1">
        <v>480</v>
      </c>
      <c r="T427"/>
    </row>
    <row r="428" spans="9:20">
      <c r="I428" s="1" t="s">
        <v>50</v>
      </c>
      <c r="J428" s="1" t="s">
        <v>78</v>
      </c>
      <c r="K428" s="1" t="s">
        <v>13</v>
      </c>
      <c r="L428" s="1">
        <v>0.15</v>
      </c>
      <c r="M428" s="1">
        <v>0.17</v>
      </c>
      <c r="N428" s="1" t="s">
        <v>63</v>
      </c>
      <c r="O428" s="1" t="s">
        <v>509</v>
      </c>
      <c r="P428" s="1">
        <v>430</v>
      </c>
      <c r="T428"/>
    </row>
    <row r="429" spans="9:20">
      <c r="I429" s="1" t="s">
        <v>50</v>
      </c>
      <c r="J429" s="1" t="s">
        <v>81</v>
      </c>
      <c r="K429" s="1" t="s">
        <v>13</v>
      </c>
      <c r="L429" s="1">
        <v>0.15</v>
      </c>
      <c r="M429" s="1">
        <v>0.17</v>
      </c>
      <c r="N429" s="1" t="s">
        <v>63</v>
      </c>
      <c r="O429" s="1" t="s">
        <v>510</v>
      </c>
      <c r="P429" s="1">
        <v>360</v>
      </c>
      <c r="T429"/>
    </row>
    <row r="430" spans="9:20">
      <c r="I430" s="1" t="s">
        <v>50</v>
      </c>
      <c r="J430" s="1" t="s">
        <v>84</v>
      </c>
      <c r="K430" s="1" t="s">
        <v>13</v>
      </c>
      <c r="L430" s="1">
        <v>0.15</v>
      </c>
      <c r="M430" s="1">
        <v>0.17</v>
      </c>
      <c r="N430" s="1" t="s">
        <v>63</v>
      </c>
      <c r="O430" s="1" t="s">
        <v>511</v>
      </c>
      <c r="P430" s="1">
        <v>310</v>
      </c>
      <c r="T430"/>
    </row>
    <row r="431" spans="9:20">
      <c r="I431" s="1" t="s">
        <v>50</v>
      </c>
      <c r="J431" s="1" t="s">
        <v>1</v>
      </c>
      <c r="K431" s="1" t="s">
        <v>14</v>
      </c>
      <c r="L431" s="1">
        <v>0.15</v>
      </c>
      <c r="M431" s="1">
        <v>0.17</v>
      </c>
      <c r="N431" s="1" t="s">
        <v>63</v>
      </c>
      <c r="O431" s="1" t="s">
        <v>512</v>
      </c>
      <c r="P431" s="1">
        <v>780</v>
      </c>
      <c r="T431"/>
    </row>
    <row r="432" spans="9:20">
      <c r="I432" s="1" t="s">
        <v>50</v>
      </c>
      <c r="J432" s="1" t="s">
        <v>2</v>
      </c>
      <c r="K432" s="1" t="s">
        <v>14</v>
      </c>
      <c r="L432" s="1">
        <v>0.15</v>
      </c>
      <c r="M432" s="1">
        <v>0.17</v>
      </c>
      <c r="N432" s="1" t="s">
        <v>63</v>
      </c>
      <c r="O432" s="1" t="s">
        <v>513</v>
      </c>
      <c r="P432" s="1">
        <v>780</v>
      </c>
      <c r="T432"/>
    </row>
    <row r="433" spans="9:20">
      <c r="I433" s="1" t="s">
        <v>50</v>
      </c>
      <c r="J433" s="1" t="s">
        <v>3</v>
      </c>
      <c r="K433" s="1" t="s">
        <v>14</v>
      </c>
      <c r="L433" s="1">
        <v>0.15</v>
      </c>
      <c r="M433" s="1">
        <v>0.17</v>
      </c>
      <c r="N433" s="1" t="s">
        <v>63</v>
      </c>
      <c r="O433" s="1" t="s">
        <v>514</v>
      </c>
      <c r="P433" s="1">
        <v>780</v>
      </c>
      <c r="T433"/>
    </row>
    <row r="434" spans="9:20">
      <c r="I434" s="1" t="s">
        <v>50</v>
      </c>
      <c r="J434" s="1" t="s">
        <v>4</v>
      </c>
      <c r="K434" s="1" t="s">
        <v>14</v>
      </c>
      <c r="L434" s="1">
        <v>0.15</v>
      </c>
      <c r="M434" s="1">
        <v>0.17</v>
      </c>
      <c r="N434" s="1" t="s">
        <v>63</v>
      </c>
      <c r="O434" s="1" t="s">
        <v>515</v>
      </c>
      <c r="P434" s="1">
        <v>700</v>
      </c>
      <c r="T434"/>
    </row>
    <row r="435" spans="9:20">
      <c r="I435" s="1" t="s">
        <v>50</v>
      </c>
      <c r="J435" s="1" t="s">
        <v>5</v>
      </c>
      <c r="K435" s="1" t="s">
        <v>14</v>
      </c>
      <c r="L435" s="1">
        <v>0.15</v>
      </c>
      <c r="M435" s="1">
        <v>0.17</v>
      </c>
      <c r="N435" s="1" t="s">
        <v>63</v>
      </c>
      <c r="O435" s="1" t="s">
        <v>516</v>
      </c>
      <c r="P435" s="1">
        <v>700</v>
      </c>
      <c r="T435"/>
    </row>
    <row r="436" spans="9:20">
      <c r="I436" s="1" t="s">
        <v>50</v>
      </c>
      <c r="J436" s="1" t="s">
        <v>6</v>
      </c>
      <c r="K436" s="1" t="s">
        <v>14</v>
      </c>
      <c r="L436" s="1">
        <v>0.15</v>
      </c>
      <c r="M436" s="1">
        <v>0.17</v>
      </c>
      <c r="N436" s="1" t="s">
        <v>63</v>
      </c>
      <c r="O436" s="1" t="s">
        <v>517</v>
      </c>
      <c r="P436" s="1">
        <v>630</v>
      </c>
      <c r="T436"/>
    </row>
    <row r="437" spans="9:20">
      <c r="I437" s="1" t="s">
        <v>50</v>
      </c>
      <c r="J437" s="1" t="s">
        <v>7</v>
      </c>
      <c r="K437" s="1" t="s">
        <v>14</v>
      </c>
      <c r="L437" s="1">
        <v>0.15</v>
      </c>
      <c r="M437" s="1">
        <v>0.17</v>
      </c>
      <c r="N437" s="1" t="s">
        <v>63</v>
      </c>
      <c r="O437" s="1" t="s">
        <v>518</v>
      </c>
      <c r="P437" s="1">
        <v>560</v>
      </c>
      <c r="T437"/>
    </row>
    <row r="438" spans="9:20">
      <c r="I438" s="1" t="s">
        <v>50</v>
      </c>
      <c r="J438" s="1" t="s">
        <v>75</v>
      </c>
      <c r="K438" s="1" t="s">
        <v>14</v>
      </c>
      <c r="L438" s="1">
        <v>0.15</v>
      </c>
      <c r="M438" s="1">
        <v>0.17</v>
      </c>
      <c r="N438" s="1" t="s">
        <v>63</v>
      </c>
      <c r="O438" s="1" t="s">
        <v>519</v>
      </c>
      <c r="P438" s="1">
        <v>480</v>
      </c>
      <c r="T438"/>
    </row>
    <row r="439" spans="9:20">
      <c r="I439" s="1" t="s">
        <v>50</v>
      </c>
      <c r="J439" s="1" t="s">
        <v>78</v>
      </c>
      <c r="K439" s="1" t="s">
        <v>14</v>
      </c>
      <c r="L439" s="1">
        <v>0.15</v>
      </c>
      <c r="M439" s="1">
        <v>0.17</v>
      </c>
      <c r="N439" s="1" t="s">
        <v>63</v>
      </c>
      <c r="O439" s="1" t="s">
        <v>520</v>
      </c>
      <c r="P439" s="1">
        <v>430</v>
      </c>
      <c r="T439"/>
    </row>
    <row r="440" spans="9:20">
      <c r="I440" s="1" t="s">
        <v>50</v>
      </c>
      <c r="J440" s="1" t="s">
        <v>81</v>
      </c>
      <c r="K440" s="1" t="s">
        <v>14</v>
      </c>
      <c r="L440" s="1">
        <v>0.15</v>
      </c>
      <c r="M440" s="1">
        <v>0.17</v>
      </c>
      <c r="N440" s="1" t="s">
        <v>63</v>
      </c>
      <c r="O440" s="1" t="s">
        <v>521</v>
      </c>
      <c r="P440" s="1">
        <v>360</v>
      </c>
      <c r="T440"/>
    </row>
    <row r="441" spans="9:20">
      <c r="I441" s="1" t="s">
        <v>50</v>
      </c>
      <c r="J441" s="1" t="s">
        <v>84</v>
      </c>
      <c r="K441" s="1" t="s">
        <v>14</v>
      </c>
      <c r="L441" s="1">
        <v>0.15</v>
      </c>
      <c r="M441" s="1">
        <v>0.17</v>
      </c>
      <c r="N441" s="1" t="s">
        <v>63</v>
      </c>
      <c r="O441" s="1" t="s">
        <v>522</v>
      </c>
      <c r="P441" s="1">
        <v>310</v>
      </c>
      <c r="T441"/>
    </row>
    <row r="442" spans="9:20">
      <c r="I442" s="1" t="s">
        <v>50</v>
      </c>
      <c r="J442" s="1" t="s">
        <v>1</v>
      </c>
      <c r="K442" s="1" t="s">
        <v>15</v>
      </c>
      <c r="L442" s="1">
        <v>0.15</v>
      </c>
      <c r="M442" s="1">
        <v>0.17</v>
      </c>
      <c r="N442" s="1" t="s">
        <v>63</v>
      </c>
      <c r="O442" s="1" t="s">
        <v>523</v>
      </c>
      <c r="P442" s="1">
        <v>620</v>
      </c>
      <c r="T442"/>
    </row>
    <row r="443" spans="9:20">
      <c r="I443" s="1" t="s">
        <v>50</v>
      </c>
      <c r="J443" s="1" t="s">
        <v>2</v>
      </c>
      <c r="K443" s="1" t="s">
        <v>15</v>
      </c>
      <c r="L443" s="1">
        <v>0.15</v>
      </c>
      <c r="M443" s="1">
        <v>0.17</v>
      </c>
      <c r="N443" s="1" t="s">
        <v>63</v>
      </c>
      <c r="O443" s="1" t="s">
        <v>524</v>
      </c>
      <c r="P443" s="1">
        <v>620</v>
      </c>
      <c r="T443"/>
    </row>
    <row r="444" spans="9:20">
      <c r="I444" s="1" t="s">
        <v>50</v>
      </c>
      <c r="J444" s="1" t="s">
        <v>3</v>
      </c>
      <c r="K444" s="1" t="s">
        <v>15</v>
      </c>
      <c r="L444" s="1">
        <v>0.15</v>
      </c>
      <c r="M444" s="1">
        <v>0.17</v>
      </c>
      <c r="N444" s="1" t="s">
        <v>63</v>
      </c>
      <c r="O444" s="1" t="s">
        <v>525</v>
      </c>
      <c r="P444" s="1">
        <v>620</v>
      </c>
      <c r="T444"/>
    </row>
    <row r="445" spans="9:20">
      <c r="I445" s="1" t="s">
        <v>50</v>
      </c>
      <c r="J445" s="1" t="s">
        <v>4</v>
      </c>
      <c r="K445" s="1" t="s">
        <v>15</v>
      </c>
      <c r="L445" s="1">
        <v>0.15</v>
      </c>
      <c r="M445" s="1">
        <v>0.17</v>
      </c>
      <c r="N445" s="1" t="s">
        <v>63</v>
      </c>
      <c r="O445" s="1" t="s">
        <v>526</v>
      </c>
      <c r="P445" s="1">
        <v>540</v>
      </c>
      <c r="T445"/>
    </row>
    <row r="446" spans="9:20">
      <c r="I446" s="1" t="s">
        <v>50</v>
      </c>
      <c r="J446" s="1" t="s">
        <v>5</v>
      </c>
      <c r="K446" s="1" t="s">
        <v>15</v>
      </c>
      <c r="L446" s="1">
        <v>0.15</v>
      </c>
      <c r="M446" s="1">
        <v>0.17</v>
      </c>
      <c r="N446" s="1" t="s">
        <v>63</v>
      </c>
      <c r="O446" s="1" t="s">
        <v>527</v>
      </c>
      <c r="P446" s="1">
        <v>540</v>
      </c>
      <c r="T446"/>
    </row>
    <row r="447" spans="9:20">
      <c r="I447" s="1" t="s">
        <v>50</v>
      </c>
      <c r="J447" s="1" t="s">
        <v>6</v>
      </c>
      <c r="K447" s="1" t="s">
        <v>15</v>
      </c>
      <c r="L447" s="1">
        <v>0.15</v>
      </c>
      <c r="M447" s="1">
        <v>0.17</v>
      </c>
      <c r="N447" s="1" t="s">
        <v>63</v>
      </c>
      <c r="O447" s="1" t="s">
        <v>528</v>
      </c>
      <c r="P447" s="1">
        <v>470</v>
      </c>
      <c r="T447"/>
    </row>
    <row r="448" spans="9:20">
      <c r="I448" s="1" t="s">
        <v>50</v>
      </c>
      <c r="J448" s="1" t="s">
        <v>7</v>
      </c>
      <c r="K448" s="1" t="s">
        <v>15</v>
      </c>
      <c r="L448" s="1">
        <v>0.15</v>
      </c>
      <c r="M448" s="1">
        <v>0.17</v>
      </c>
      <c r="N448" s="1" t="s">
        <v>63</v>
      </c>
      <c r="O448" s="1" t="s">
        <v>529</v>
      </c>
      <c r="P448" s="1">
        <v>410</v>
      </c>
      <c r="T448"/>
    </row>
    <row r="449" spans="9:20">
      <c r="I449" s="1" t="s">
        <v>50</v>
      </c>
      <c r="J449" s="1" t="s">
        <v>75</v>
      </c>
      <c r="K449" s="1" t="s">
        <v>15</v>
      </c>
      <c r="L449" s="1">
        <v>0.15</v>
      </c>
      <c r="M449" s="1">
        <v>0.17</v>
      </c>
      <c r="N449" s="1" t="s">
        <v>63</v>
      </c>
      <c r="O449" s="1" t="s">
        <v>530</v>
      </c>
      <c r="P449" s="1">
        <v>360</v>
      </c>
      <c r="T449"/>
    </row>
    <row r="450" spans="9:20">
      <c r="I450" s="1" t="s">
        <v>50</v>
      </c>
      <c r="J450" s="1" t="s">
        <v>78</v>
      </c>
      <c r="K450" s="1" t="s">
        <v>15</v>
      </c>
      <c r="L450" s="1">
        <v>0.15</v>
      </c>
      <c r="M450" s="1">
        <v>0.17</v>
      </c>
      <c r="N450" s="1" t="s">
        <v>63</v>
      </c>
      <c r="O450" s="1" t="s">
        <v>531</v>
      </c>
      <c r="P450" s="1">
        <v>320</v>
      </c>
      <c r="T450"/>
    </row>
    <row r="451" spans="9:20">
      <c r="I451" s="1" t="s">
        <v>50</v>
      </c>
      <c r="J451" s="1" t="s">
        <v>81</v>
      </c>
      <c r="K451" s="1" t="s">
        <v>15</v>
      </c>
      <c r="L451" s="1">
        <v>0.15</v>
      </c>
      <c r="M451" s="1">
        <v>0.17</v>
      </c>
      <c r="N451" s="1" t="s">
        <v>63</v>
      </c>
      <c r="O451" s="1" t="s">
        <v>532</v>
      </c>
      <c r="P451" s="1">
        <v>270</v>
      </c>
      <c r="T451"/>
    </row>
    <row r="452" spans="9:20">
      <c r="I452" s="1" t="s">
        <v>50</v>
      </c>
      <c r="J452" s="1" t="s">
        <v>84</v>
      </c>
      <c r="K452" s="1" t="s">
        <v>15</v>
      </c>
      <c r="L452" s="1">
        <v>0.15</v>
      </c>
      <c r="M452" s="1">
        <v>0.17</v>
      </c>
      <c r="N452" s="1" t="s">
        <v>63</v>
      </c>
      <c r="O452" s="1" t="s">
        <v>533</v>
      </c>
      <c r="P452" s="1">
        <v>230</v>
      </c>
      <c r="T452"/>
    </row>
    <row r="453" spans="9:20">
      <c r="I453" s="1" t="s">
        <v>50</v>
      </c>
      <c r="J453" s="1" t="s">
        <v>1</v>
      </c>
      <c r="K453" s="1" t="s">
        <v>16</v>
      </c>
      <c r="L453" s="1">
        <v>0.15</v>
      </c>
      <c r="M453" s="1">
        <v>0.17</v>
      </c>
      <c r="N453" s="1" t="s">
        <v>63</v>
      </c>
      <c r="O453" s="1" t="s">
        <v>534</v>
      </c>
      <c r="P453" s="1">
        <v>620</v>
      </c>
      <c r="T453"/>
    </row>
    <row r="454" spans="9:20">
      <c r="I454" s="1" t="s">
        <v>50</v>
      </c>
      <c r="J454" s="1" t="s">
        <v>2</v>
      </c>
      <c r="K454" s="1" t="s">
        <v>16</v>
      </c>
      <c r="L454" s="1">
        <v>0.15</v>
      </c>
      <c r="M454" s="1">
        <v>0.17</v>
      </c>
      <c r="N454" s="1" t="s">
        <v>63</v>
      </c>
      <c r="O454" s="1" t="s">
        <v>535</v>
      </c>
      <c r="P454" s="1">
        <v>620</v>
      </c>
      <c r="T454"/>
    </row>
    <row r="455" spans="9:20">
      <c r="I455" s="1" t="s">
        <v>50</v>
      </c>
      <c r="J455" s="1" t="s">
        <v>3</v>
      </c>
      <c r="K455" s="1" t="s">
        <v>16</v>
      </c>
      <c r="L455" s="1">
        <v>0.15</v>
      </c>
      <c r="M455" s="1">
        <v>0.17</v>
      </c>
      <c r="N455" s="1" t="s">
        <v>63</v>
      </c>
      <c r="O455" s="1" t="s">
        <v>536</v>
      </c>
      <c r="P455" s="1">
        <v>620</v>
      </c>
      <c r="T455"/>
    </row>
    <row r="456" spans="9:20">
      <c r="I456" s="1" t="s">
        <v>50</v>
      </c>
      <c r="J456" s="1" t="s">
        <v>4</v>
      </c>
      <c r="K456" s="1" t="s">
        <v>16</v>
      </c>
      <c r="L456" s="1">
        <v>0.15</v>
      </c>
      <c r="M456" s="1">
        <v>0.17</v>
      </c>
      <c r="N456" s="1" t="s">
        <v>63</v>
      </c>
      <c r="O456" s="1" t="s">
        <v>537</v>
      </c>
      <c r="P456" s="1">
        <v>540</v>
      </c>
      <c r="T456"/>
    </row>
    <row r="457" spans="9:20">
      <c r="I457" s="1" t="s">
        <v>50</v>
      </c>
      <c r="J457" s="1" t="s">
        <v>5</v>
      </c>
      <c r="K457" s="1" t="s">
        <v>16</v>
      </c>
      <c r="L457" s="1">
        <v>0.15</v>
      </c>
      <c r="M457" s="1">
        <v>0.17</v>
      </c>
      <c r="N457" s="1" t="s">
        <v>63</v>
      </c>
      <c r="O457" s="1" t="s">
        <v>538</v>
      </c>
      <c r="P457" s="1">
        <v>540</v>
      </c>
      <c r="T457"/>
    </row>
    <row r="458" spans="9:20">
      <c r="I458" s="1" t="s">
        <v>50</v>
      </c>
      <c r="J458" s="1" t="s">
        <v>6</v>
      </c>
      <c r="K458" s="1" t="s">
        <v>16</v>
      </c>
      <c r="L458" s="1">
        <v>0.15</v>
      </c>
      <c r="M458" s="1">
        <v>0.17</v>
      </c>
      <c r="N458" s="1" t="s">
        <v>63</v>
      </c>
      <c r="O458" s="1" t="s">
        <v>539</v>
      </c>
      <c r="P458" s="1">
        <v>470</v>
      </c>
      <c r="T458"/>
    </row>
    <row r="459" spans="9:20">
      <c r="I459" s="1" t="s">
        <v>50</v>
      </c>
      <c r="J459" s="1" t="s">
        <v>7</v>
      </c>
      <c r="K459" s="1" t="s">
        <v>16</v>
      </c>
      <c r="L459" s="1">
        <v>0.15</v>
      </c>
      <c r="M459" s="1">
        <v>0.17</v>
      </c>
      <c r="N459" s="1" t="s">
        <v>63</v>
      </c>
      <c r="O459" s="1" t="s">
        <v>540</v>
      </c>
      <c r="P459" s="1">
        <v>410</v>
      </c>
      <c r="T459"/>
    </row>
    <row r="460" spans="9:20">
      <c r="I460" s="1" t="s">
        <v>50</v>
      </c>
      <c r="J460" s="1" t="s">
        <v>75</v>
      </c>
      <c r="K460" s="1" t="s">
        <v>16</v>
      </c>
      <c r="L460" s="1">
        <v>0.15</v>
      </c>
      <c r="M460" s="1">
        <v>0.17</v>
      </c>
      <c r="N460" s="1" t="s">
        <v>63</v>
      </c>
      <c r="O460" s="1" t="s">
        <v>541</v>
      </c>
      <c r="P460" s="1">
        <v>360</v>
      </c>
      <c r="T460"/>
    </row>
    <row r="461" spans="9:20">
      <c r="I461" s="1" t="s">
        <v>50</v>
      </c>
      <c r="J461" s="1" t="s">
        <v>78</v>
      </c>
      <c r="K461" s="1" t="s">
        <v>16</v>
      </c>
      <c r="L461" s="1">
        <v>0.15</v>
      </c>
      <c r="M461" s="1">
        <v>0.17</v>
      </c>
      <c r="N461" s="1" t="s">
        <v>63</v>
      </c>
      <c r="O461" s="1" t="s">
        <v>542</v>
      </c>
      <c r="P461" s="1">
        <v>320</v>
      </c>
      <c r="T461"/>
    </row>
    <row r="462" spans="9:20">
      <c r="I462" s="1" t="s">
        <v>50</v>
      </c>
      <c r="J462" s="1" t="s">
        <v>81</v>
      </c>
      <c r="K462" s="1" t="s">
        <v>16</v>
      </c>
      <c r="L462" s="1">
        <v>0.15</v>
      </c>
      <c r="M462" s="1">
        <v>0.17</v>
      </c>
      <c r="N462" s="1" t="s">
        <v>63</v>
      </c>
      <c r="O462" s="1" t="s">
        <v>543</v>
      </c>
      <c r="P462" s="1">
        <v>270</v>
      </c>
      <c r="T462"/>
    </row>
    <row r="463" spans="9:20">
      <c r="I463" s="1" t="s">
        <v>50</v>
      </c>
      <c r="J463" s="1" t="s">
        <v>84</v>
      </c>
      <c r="K463" s="1" t="s">
        <v>16</v>
      </c>
      <c r="L463" s="1">
        <v>0.15</v>
      </c>
      <c r="M463" s="1">
        <v>0.17</v>
      </c>
      <c r="N463" s="1" t="s">
        <v>63</v>
      </c>
      <c r="O463" s="1" t="s">
        <v>544</v>
      </c>
      <c r="P463" s="1">
        <v>230</v>
      </c>
      <c r="T463"/>
    </row>
    <row r="464" spans="9:20">
      <c r="I464" s="1" t="s">
        <v>50</v>
      </c>
      <c r="J464" s="1" t="s">
        <v>1</v>
      </c>
      <c r="K464" s="1" t="s">
        <v>17</v>
      </c>
      <c r="L464" s="1">
        <v>0.15</v>
      </c>
      <c r="M464" s="1">
        <v>0.17</v>
      </c>
      <c r="N464" s="1" t="s">
        <v>63</v>
      </c>
      <c r="O464" s="1" t="s">
        <v>545</v>
      </c>
      <c r="P464" s="1">
        <v>450</v>
      </c>
      <c r="T464"/>
    </row>
    <row r="465" spans="9:20">
      <c r="I465" s="1" t="s">
        <v>50</v>
      </c>
      <c r="J465" s="1" t="s">
        <v>2</v>
      </c>
      <c r="K465" s="1" t="s">
        <v>17</v>
      </c>
      <c r="L465" s="1">
        <v>0.15</v>
      </c>
      <c r="M465" s="1">
        <v>0.17</v>
      </c>
      <c r="N465" s="1" t="s">
        <v>63</v>
      </c>
      <c r="O465" s="1" t="s">
        <v>546</v>
      </c>
      <c r="P465" s="1">
        <v>450</v>
      </c>
      <c r="T465"/>
    </row>
    <row r="466" spans="9:20">
      <c r="I466" s="1" t="s">
        <v>50</v>
      </c>
      <c r="J466" s="1" t="s">
        <v>3</v>
      </c>
      <c r="K466" s="1" t="s">
        <v>17</v>
      </c>
      <c r="L466" s="1">
        <v>0.15</v>
      </c>
      <c r="M466" s="1">
        <v>0.17</v>
      </c>
      <c r="N466" s="1" t="s">
        <v>63</v>
      </c>
      <c r="O466" s="1" t="s">
        <v>547</v>
      </c>
      <c r="P466" s="1">
        <v>450</v>
      </c>
      <c r="T466"/>
    </row>
    <row r="467" spans="9:20">
      <c r="I467" s="1" t="s">
        <v>50</v>
      </c>
      <c r="J467" s="1" t="s">
        <v>4</v>
      </c>
      <c r="K467" s="1" t="s">
        <v>17</v>
      </c>
      <c r="L467" s="1">
        <v>0.15</v>
      </c>
      <c r="M467" s="1">
        <v>0.17</v>
      </c>
      <c r="N467" s="1" t="s">
        <v>63</v>
      </c>
      <c r="O467" s="1" t="s">
        <v>548</v>
      </c>
      <c r="P467" s="1">
        <v>390</v>
      </c>
      <c r="T467"/>
    </row>
    <row r="468" spans="9:20">
      <c r="I468" s="1" t="s">
        <v>50</v>
      </c>
      <c r="J468" s="1" t="s">
        <v>5</v>
      </c>
      <c r="K468" s="1" t="s">
        <v>17</v>
      </c>
      <c r="L468" s="1">
        <v>0.15</v>
      </c>
      <c r="M468" s="1">
        <v>0.17</v>
      </c>
      <c r="N468" s="1" t="s">
        <v>63</v>
      </c>
      <c r="O468" s="1" t="s">
        <v>549</v>
      </c>
      <c r="P468" s="1">
        <v>390</v>
      </c>
      <c r="T468"/>
    </row>
    <row r="469" spans="9:20">
      <c r="I469" s="1" t="s">
        <v>50</v>
      </c>
      <c r="J469" s="1" t="s">
        <v>6</v>
      </c>
      <c r="K469" s="1" t="s">
        <v>17</v>
      </c>
      <c r="L469" s="1">
        <v>0.15</v>
      </c>
      <c r="M469" s="1">
        <v>0.17</v>
      </c>
      <c r="N469" s="1" t="s">
        <v>63</v>
      </c>
      <c r="O469" s="1" t="s">
        <v>550</v>
      </c>
      <c r="P469" s="1">
        <v>340</v>
      </c>
      <c r="T469"/>
    </row>
    <row r="470" spans="9:20">
      <c r="I470" s="1" t="s">
        <v>50</v>
      </c>
      <c r="J470" s="1" t="s">
        <v>7</v>
      </c>
      <c r="K470" s="1" t="s">
        <v>17</v>
      </c>
      <c r="L470" s="1">
        <v>0.15</v>
      </c>
      <c r="M470" s="1">
        <v>0.17</v>
      </c>
      <c r="N470" s="1" t="s">
        <v>63</v>
      </c>
      <c r="O470" s="1" t="s">
        <v>551</v>
      </c>
      <c r="P470" s="1">
        <v>300</v>
      </c>
      <c r="T470"/>
    </row>
    <row r="471" spans="9:20">
      <c r="I471" s="1" t="s">
        <v>50</v>
      </c>
      <c r="J471" s="1" t="s">
        <v>75</v>
      </c>
      <c r="K471" s="1" t="s">
        <v>17</v>
      </c>
      <c r="L471" s="1">
        <v>0.15</v>
      </c>
      <c r="M471" s="1">
        <v>0.17</v>
      </c>
      <c r="N471" s="1" t="s">
        <v>63</v>
      </c>
      <c r="O471" s="1" t="s">
        <v>552</v>
      </c>
      <c r="P471" s="1">
        <v>270</v>
      </c>
      <c r="T471"/>
    </row>
    <row r="472" spans="9:20">
      <c r="I472" s="1" t="s">
        <v>50</v>
      </c>
      <c r="J472" s="1" t="s">
        <v>78</v>
      </c>
      <c r="K472" s="1" t="s">
        <v>17</v>
      </c>
      <c r="L472" s="1">
        <v>0.15</v>
      </c>
      <c r="M472" s="1">
        <v>0.17</v>
      </c>
      <c r="N472" s="1" t="s">
        <v>63</v>
      </c>
      <c r="O472" s="1" t="s">
        <v>553</v>
      </c>
      <c r="P472" s="1">
        <v>230</v>
      </c>
      <c r="T472"/>
    </row>
    <row r="473" spans="9:20">
      <c r="I473" s="1" t="s">
        <v>50</v>
      </c>
      <c r="J473" s="1" t="s">
        <v>81</v>
      </c>
      <c r="K473" s="1" t="s">
        <v>17</v>
      </c>
      <c r="L473" s="1">
        <v>0.15</v>
      </c>
      <c r="M473" s="1">
        <v>0.17</v>
      </c>
      <c r="N473" s="1" t="s">
        <v>63</v>
      </c>
      <c r="O473" s="1" t="s">
        <v>554</v>
      </c>
      <c r="P473" s="1">
        <v>190</v>
      </c>
      <c r="T473"/>
    </row>
    <row r="474" spans="9:20">
      <c r="I474" s="1" t="s">
        <v>50</v>
      </c>
      <c r="J474" s="1" t="s">
        <v>84</v>
      </c>
      <c r="K474" s="1" t="s">
        <v>17</v>
      </c>
      <c r="L474" s="1">
        <v>0.15</v>
      </c>
      <c r="M474" s="1">
        <v>0.17</v>
      </c>
      <c r="N474" s="1" t="s">
        <v>63</v>
      </c>
      <c r="O474" s="1" t="s">
        <v>555</v>
      </c>
      <c r="P474" s="1">
        <v>160</v>
      </c>
      <c r="T474"/>
    </row>
    <row r="475" spans="9:20">
      <c r="I475" s="1" t="s">
        <v>50</v>
      </c>
      <c r="J475" s="1" t="s">
        <v>1</v>
      </c>
      <c r="K475" s="1" t="s">
        <v>193</v>
      </c>
      <c r="L475" s="1">
        <v>0.15</v>
      </c>
      <c r="M475" s="1">
        <v>0.17</v>
      </c>
      <c r="N475" s="1" t="s">
        <v>63</v>
      </c>
      <c r="O475" s="1" t="s">
        <v>556</v>
      </c>
      <c r="P475" s="1">
        <v>450</v>
      </c>
      <c r="T475"/>
    </row>
    <row r="476" spans="9:20">
      <c r="I476" s="1" t="s">
        <v>50</v>
      </c>
      <c r="J476" s="1" t="s">
        <v>2</v>
      </c>
      <c r="K476" s="1" t="s">
        <v>193</v>
      </c>
      <c r="L476" s="1">
        <v>0.15</v>
      </c>
      <c r="M476" s="1">
        <v>0.17</v>
      </c>
      <c r="N476" s="1" t="s">
        <v>63</v>
      </c>
      <c r="O476" s="1" t="s">
        <v>557</v>
      </c>
      <c r="P476" s="1">
        <v>450</v>
      </c>
      <c r="T476"/>
    </row>
    <row r="477" spans="9:20">
      <c r="I477" s="1" t="s">
        <v>50</v>
      </c>
      <c r="J477" s="1" t="s">
        <v>3</v>
      </c>
      <c r="K477" s="1" t="s">
        <v>193</v>
      </c>
      <c r="L477" s="1">
        <v>0.15</v>
      </c>
      <c r="M477" s="1">
        <v>0.17</v>
      </c>
      <c r="N477" s="1" t="s">
        <v>63</v>
      </c>
      <c r="O477" s="1" t="s">
        <v>558</v>
      </c>
      <c r="P477" s="1">
        <v>450</v>
      </c>
      <c r="T477"/>
    </row>
    <row r="478" spans="9:20">
      <c r="I478" s="1" t="s">
        <v>50</v>
      </c>
      <c r="J478" s="1" t="s">
        <v>4</v>
      </c>
      <c r="K478" s="1" t="s">
        <v>193</v>
      </c>
      <c r="L478" s="1">
        <v>0.15</v>
      </c>
      <c r="M478" s="1">
        <v>0.17</v>
      </c>
      <c r="N478" s="1" t="s">
        <v>63</v>
      </c>
      <c r="O478" s="1" t="s">
        <v>559</v>
      </c>
      <c r="P478" s="1">
        <v>390</v>
      </c>
      <c r="T478"/>
    </row>
    <row r="479" spans="9:20">
      <c r="I479" s="1" t="s">
        <v>50</v>
      </c>
      <c r="J479" s="1" t="s">
        <v>5</v>
      </c>
      <c r="K479" s="1" t="s">
        <v>193</v>
      </c>
      <c r="L479" s="1">
        <v>0.15</v>
      </c>
      <c r="M479" s="1">
        <v>0.17</v>
      </c>
      <c r="N479" s="1" t="s">
        <v>63</v>
      </c>
      <c r="O479" s="1" t="s">
        <v>560</v>
      </c>
      <c r="P479" s="1">
        <v>390</v>
      </c>
      <c r="T479"/>
    </row>
    <row r="480" spans="9:20">
      <c r="I480" s="1" t="s">
        <v>50</v>
      </c>
      <c r="J480" s="1" t="s">
        <v>6</v>
      </c>
      <c r="K480" s="1" t="s">
        <v>193</v>
      </c>
      <c r="L480" s="1">
        <v>0.15</v>
      </c>
      <c r="M480" s="1">
        <v>0.17</v>
      </c>
      <c r="N480" s="1" t="s">
        <v>63</v>
      </c>
      <c r="O480" s="1" t="s">
        <v>561</v>
      </c>
      <c r="P480" s="1">
        <v>340</v>
      </c>
      <c r="T480"/>
    </row>
    <row r="481" spans="9:20">
      <c r="I481" s="1" t="s">
        <v>50</v>
      </c>
      <c r="J481" s="1" t="s">
        <v>7</v>
      </c>
      <c r="K481" s="1" t="s">
        <v>193</v>
      </c>
      <c r="L481" s="1">
        <v>0.15</v>
      </c>
      <c r="M481" s="1">
        <v>0.17</v>
      </c>
      <c r="N481" s="1" t="s">
        <v>63</v>
      </c>
      <c r="O481" s="1" t="s">
        <v>562</v>
      </c>
      <c r="P481" s="1">
        <v>300</v>
      </c>
      <c r="T481"/>
    </row>
    <row r="482" spans="9:20">
      <c r="I482" s="1" t="s">
        <v>50</v>
      </c>
      <c r="J482" s="1" t="s">
        <v>75</v>
      </c>
      <c r="K482" s="1" t="s">
        <v>193</v>
      </c>
      <c r="L482" s="1">
        <v>0.15</v>
      </c>
      <c r="M482" s="1">
        <v>0.17</v>
      </c>
      <c r="N482" s="1" t="s">
        <v>63</v>
      </c>
      <c r="O482" s="1" t="s">
        <v>563</v>
      </c>
      <c r="P482" s="1">
        <v>270</v>
      </c>
      <c r="T482"/>
    </row>
    <row r="483" spans="9:20">
      <c r="I483" s="1" t="s">
        <v>50</v>
      </c>
      <c r="J483" s="1" t="s">
        <v>78</v>
      </c>
      <c r="K483" s="1" t="s">
        <v>193</v>
      </c>
      <c r="L483" s="1">
        <v>0.15</v>
      </c>
      <c r="M483" s="1">
        <v>0.17</v>
      </c>
      <c r="N483" s="1" t="s">
        <v>63</v>
      </c>
      <c r="O483" s="1" t="s">
        <v>564</v>
      </c>
      <c r="P483" s="1">
        <v>230</v>
      </c>
      <c r="T483"/>
    </row>
    <row r="484" spans="9:20">
      <c r="I484" s="1" t="s">
        <v>50</v>
      </c>
      <c r="J484" s="1" t="s">
        <v>81</v>
      </c>
      <c r="K484" s="1" t="s">
        <v>193</v>
      </c>
      <c r="L484" s="1">
        <v>0.15</v>
      </c>
      <c r="M484" s="1">
        <v>0.17</v>
      </c>
      <c r="N484" s="1" t="s">
        <v>63</v>
      </c>
      <c r="O484" s="1" t="s">
        <v>565</v>
      </c>
      <c r="P484" s="1">
        <v>190</v>
      </c>
      <c r="T484"/>
    </row>
    <row r="485" spans="9:20">
      <c r="I485" s="1" t="s">
        <v>50</v>
      </c>
      <c r="J485" s="1" t="s">
        <v>84</v>
      </c>
      <c r="K485" s="1" t="s">
        <v>193</v>
      </c>
      <c r="L485" s="1">
        <v>0.15</v>
      </c>
      <c r="M485" s="1">
        <v>0.17</v>
      </c>
      <c r="N485" s="1" t="s">
        <v>63</v>
      </c>
      <c r="O485" s="1" t="s">
        <v>566</v>
      </c>
      <c r="P485" s="1">
        <v>160</v>
      </c>
      <c r="T485"/>
    </row>
    <row r="486" spans="9:20">
      <c r="I486" s="1" t="s">
        <v>50</v>
      </c>
      <c r="J486" s="1" t="s">
        <v>1</v>
      </c>
      <c r="K486" s="1" t="s">
        <v>8</v>
      </c>
      <c r="L486" s="1">
        <v>0.18</v>
      </c>
      <c r="M486" s="1">
        <v>0.22</v>
      </c>
      <c r="N486" s="1" t="s">
        <v>67</v>
      </c>
      <c r="O486" s="1" t="s">
        <v>567</v>
      </c>
      <c r="P486" s="1">
        <v>1230</v>
      </c>
      <c r="T486"/>
    </row>
    <row r="487" spans="9:20">
      <c r="I487" s="1" t="s">
        <v>50</v>
      </c>
      <c r="J487" s="1" t="s">
        <v>2</v>
      </c>
      <c r="K487" s="1" t="s">
        <v>8</v>
      </c>
      <c r="L487" s="1">
        <v>0.18</v>
      </c>
      <c r="M487" s="1">
        <v>0.22</v>
      </c>
      <c r="N487" s="1" t="s">
        <v>67</v>
      </c>
      <c r="O487" s="1" t="s">
        <v>568</v>
      </c>
      <c r="P487" s="1">
        <v>1230</v>
      </c>
      <c r="T487"/>
    </row>
    <row r="488" spans="9:20">
      <c r="I488" s="1" t="s">
        <v>50</v>
      </c>
      <c r="J488" s="1" t="s">
        <v>3</v>
      </c>
      <c r="K488" s="1" t="s">
        <v>8</v>
      </c>
      <c r="L488" s="1">
        <v>0.18</v>
      </c>
      <c r="M488" s="1">
        <v>0.22</v>
      </c>
      <c r="N488" s="1" t="s">
        <v>67</v>
      </c>
      <c r="O488" s="1" t="s">
        <v>569</v>
      </c>
      <c r="P488" s="1">
        <v>1230</v>
      </c>
      <c r="T488"/>
    </row>
    <row r="489" spans="9:20">
      <c r="I489" s="1" t="s">
        <v>50</v>
      </c>
      <c r="J489" s="1" t="s">
        <v>4</v>
      </c>
      <c r="K489" s="1" t="s">
        <v>8</v>
      </c>
      <c r="L489" s="1">
        <v>0.18</v>
      </c>
      <c r="M489" s="1">
        <v>0.22</v>
      </c>
      <c r="N489" s="1" t="s">
        <v>67</v>
      </c>
      <c r="O489" s="1" t="s">
        <v>570</v>
      </c>
      <c r="P489" s="1">
        <v>1110</v>
      </c>
      <c r="T489"/>
    </row>
    <row r="490" spans="9:20">
      <c r="I490" s="1" t="s">
        <v>50</v>
      </c>
      <c r="J490" s="1" t="s">
        <v>5</v>
      </c>
      <c r="K490" s="1" t="s">
        <v>8</v>
      </c>
      <c r="L490" s="1">
        <v>0.18</v>
      </c>
      <c r="M490" s="1">
        <v>0.22</v>
      </c>
      <c r="N490" s="1" t="s">
        <v>67</v>
      </c>
      <c r="O490" s="1" t="s">
        <v>571</v>
      </c>
      <c r="P490" s="1">
        <v>1110</v>
      </c>
      <c r="T490"/>
    </row>
    <row r="491" spans="9:20">
      <c r="I491" s="1" t="s">
        <v>50</v>
      </c>
      <c r="J491" s="1" t="s">
        <v>6</v>
      </c>
      <c r="K491" s="1" t="s">
        <v>8</v>
      </c>
      <c r="L491" s="1">
        <v>0.18</v>
      </c>
      <c r="M491" s="1">
        <v>0.22</v>
      </c>
      <c r="N491" s="1" t="s">
        <v>67</v>
      </c>
      <c r="O491" s="1" t="s">
        <v>572</v>
      </c>
      <c r="P491" s="1">
        <v>980</v>
      </c>
      <c r="T491"/>
    </row>
    <row r="492" spans="9:20">
      <c r="I492" s="1" t="s">
        <v>50</v>
      </c>
      <c r="J492" s="1" t="s">
        <v>7</v>
      </c>
      <c r="K492" s="1" t="s">
        <v>8</v>
      </c>
      <c r="L492" s="1">
        <v>0.18</v>
      </c>
      <c r="M492" s="1">
        <v>0.22</v>
      </c>
      <c r="N492" s="1" t="s">
        <v>67</v>
      </c>
      <c r="O492" s="1" t="s">
        <v>573</v>
      </c>
      <c r="P492" s="1">
        <v>850</v>
      </c>
      <c r="T492"/>
    </row>
    <row r="493" spans="9:20">
      <c r="I493" s="1" t="s">
        <v>50</v>
      </c>
      <c r="J493" s="1" t="s">
        <v>75</v>
      </c>
      <c r="K493" s="1" t="s">
        <v>8</v>
      </c>
      <c r="L493" s="1">
        <v>0.18</v>
      </c>
      <c r="M493" s="1">
        <v>0.22</v>
      </c>
      <c r="N493" s="1" t="s">
        <v>67</v>
      </c>
      <c r="O493" s="1" t="s">
        <v>574</v>
      </c>
      <c r="P493" s="1">
        <v>750</v>
      </c>
      <c r="T493"/>
    </row>
    <row r="494" spans="9:20">
      <c r="I494" s="1" t="s">
        <v>50</v>
      </c>
      <c r="J494" s="1" t="s">
        <v>78</v>
      </c>
      <c r="K494" s="1" t="s">
        <v>8</v>
      </c>
      <c r="L494" s="1">
        <v>0.18</v>
      </c>
      <c r="M494" s="1">
        <v>0.22</v>
      </c>
      <c r="N494" s="1" t="s">
        <v>67</v>
      </c>
      <c r="O494" s="1" t="s">
        <v>575</v>
      </c>
      <c r="P494" s="1">
        <v>630</v>
      </c>
      <c r="T494"/>
    </row>
    <row r="495" spans="9:20">
      <c r="I495" s="1" t="s">
        <v>50</v>
      </c>
      <c r="J495" s="1" t="s">
        <v>81</v>
      </c>
      <c r="K495" s="1" t="s">
        <v>8</v>
      </c>
      <c r="L495" s="1">
        <v>0.18</v>
      </c>
      <c r="M495" s="1">
        <v>0.22</v>
      </c>
      <c r="N495" s="1" t="s">
        <v>67</v>
      </c>
      <c r="O495" s="1" t="s">
        <v>576</v>
      </c>
      <c r="P495" s="1">
        <v>520</v>
      </c>
      <c r="T495"/>
    </row>
    <row r="496" spans="9:20">
      <c r="I496" s="1" t="s">
        <v>50</v>
      </c>
      <c r="J496" s="1" t="s">
        <v>84</v>
      </c>
      <c r="K496" s="1" t="s">
        <v>8</v>
      </c>
      <c r="L496" s="1">
        <v>0.18</v>
      </c>
      <c r="M496" s="1">
        <v>0.22</v>
      </c>
      <c r="N496" s="1" t="s">
        <v>67</v>
      </c>
      <c r="O496" s="1" t="s">
        <v>577</v>
      </c>
      <c r="P496" s="1">
        <v>440</v>
      </c>
      <c r="T496"/>
    </row>
    <row r="497" spans="9:20">
      <c r="I497" s="1" t="s">
        <v>50</v>
      </c>
      <c r="J497" s="1" t="s">
        <v>1</v>
      </c>
      <c r="K497" s="1" t="s">
        <v>9</v>
      </c>
      <c r="L497" s="1">
        <v>0.18</v>
      </c>
      <c r="M497" s="1">
        <v>0.22</v>
      </c>
      <c r="N497" s="1" t="s">
        <v>67</v>
      </c>
      <c r="O497" s="1" t="s">
        <v>578</v>
      </c>
      <c r="P497" s="1">
        <v>1230</v>
      </c>
      <c r="T497"/>
    </row>
    <row r="498" spans="9:20">
      <c r="I498" s="1" t="s">
        <v>50</v>
      </c>
      <c r="J498" s="1" t="s">
        <v>2</v>
      </c>
      <c r="K498" s="1" t="s">
        <v>9</v>
      </c>
      <c r="L498" s="1">
        <v>0.18</v>
      </c>
      <c r="M498" s="1">
        <v>0.22</v>
      </c>
      <c r="N498" s="1" t="s">
        <v>67</v>
      </c>
      <c r="O498" s="1" t="s">
        <v>579</v>
      </c>
      <c r="P498" s="1">
        <v>1230</v>
      </c>
      <c r="T498"/>
    </row>
    <row r="499" spans="9:20">
      <c r="I499" s="1" t="s">
        <v>50</v>
      </c>
      <c r="J499" s="1" t="s">
        <v>3</v>
      </c>
      <c r="K499" s="1" t="s">
        <v>9</v>
      </c>
      <c r="L499" s="1">
        <v>0.18</v>
      </c>
      <c r="M499" s="1">
        <v>0.22</v>
      </c>
      <c r="N499" s="1" t="s">
        <v>67</v>
      </c>
      <c r="O499" s="1" t="s">
        <v>580</v>
      </c>
      <c r="P499" s="1">
        <v>1230</v>
      </c>
      <c r="T499"/>
    </row>
    <row r="500" spans="9:20">
      <c r="I500" s="1" t="s">
        <v>50</v>
      </c>
      <c r="J500" s="1" t="s">
        <v>4</v>
      </c>
      <c r="K500" s="1" t="s">
        <v>9</v>
      </c>
      <c r="L500" s="1">
        <v>0.18</v>
      </c>
      <c r="M500" s="1">
        <v>0.22</v>
      </c>
      <c r="N500" s="1" t="s">
        <v>67</v>
      </c>
      <c r="O500" s="1" t="s">
        <v>581</v>
      </c>
      <c r="P500" s="1">
        <v>1110</v>
      </c>
      <c r="T500"/>
    </row>
    <row r="501" spans="9:20">
      <c r="I501" s="1" t="s">
        <v>50</v>
      </c>
      <c r="J501" s="1" t="s">
        <v>5</v>
      </c>
      <c r="K501" s="1" t="s">
        <v>9</v>
      </c>
      <c r="L501" s="1">
        <v>0.18</v>
      </c>
      <c r="M501" s="1">
        <v>0.22</v>
      </c>
      <c r="N501" s="1" t="s">
        <v>67</v>
      </c>
      <c r="O501" s="1" t="s">
        <v>582</v>
      </c>
      <c r="P501" s="1">
        <v>1110</v>
      </c>
      <c r="T501"/>
    </row>
    <row r="502" spans="9:20">
      <c r="I502" s="1" t="s">
        <v>50</v>
      </c>
      <c r="J502" s="1" t="s">
        <v>6</v>
      </c>
      <c r="K502" s="1" t="s">
        <v>9</v>
      </c>
      <c r="L502" s="1">
        <v>0.18</v>
      </c>
      <c r="M502" s="1">
        <v>0.22</v>
      </c>
      <c r="N502" s="1" t="s">
        <v>67</v>
      </c>
      <c r="O502" s="1" t="s">
        <v>583</v>
      </c>
      <c r="P502" s="1">
        <v>980</v>
      </c>
      <c r="T502"/>
    </row>
    <row r="503" spans="9:20">
      <c r="I503" s="1" t="s">
        <v>50</v>
      </c>
      <c r="J503" s="1" t="s">
        <v>7</v>
      </c>
      <c r="K503" s="1" t="s">
        <v>9</v>
      </c>
      <c r="L503" s="1">
        <v>0.18</v>
      </c>
      <c r="M503" s="1">
        <v>0.22</v>
      </c>
      <c r="N503" s="1" t="s">
        <v>67</v>
      </c>
      <c r="O503" s="1" t="s">
        <v>584</v>
      </c>
      <c r="P503" s="1">
        <v>850</v>
      </c>
      <c r="T503"/>
    </row>
    <row r="504" spans="9:20">
      <c r="I504" s="1" t="s">
        <v>50</v>
      </c>
      <c r="J504" s="1" t="s">
        <v>75</v>
      </c>
      <c r="K504" s="1" t="s">
        <v>9</v>
      </c>
      <c r="L504" s="1">
        <v>0.18</v>
      </c>
      <c r="M504" s="1">
        <v>0.22</v>
      </c>
      <c r="N504" s="1" t="s">
        <v>67</v>
      </c>
      <c r="O504" s="1" t="s">
        <v>585</v>
      </c>
      <c r="P504" s="1">
        <v>750</v>
      </c>
      <c r="T504"/>
    </row>
    <row r="505" spans="9:20">
      <c r="I505" s="1" t="s">
        <v>50</v>
      </c>
      <c r="J505" s="1" t="s">
        <v>78</v>
      </c>
      <c r="K505" s="1" t="s">
        <v>9</v>
      </c>
      <c r="L505" s="1">
        <v>0.18</v>
      </c>
      <c r="M505" s="1">
        <v>0.22</v>
      </c>
      <c r="N505" s="1" t="s">
        <v>67</v>
      </c>
      <c r="O505" s="1" t="s">
        <v>586</v>
      </c>
      <c r="P505" s="1">
        <v>630</v>
      </c>
      <c r="T505"/>
    </row>
    <row r="506" spans="9:20">
      <c r="I506" s="1" t="s">
        <v>50</v>
      </c>
      <c r="J506" s="1" t="s">
        <v>81</v>
      </c>
      <c r="K506" s="1" t="s">
        <v>9</v>
      </c>
      <c r="L506" s="1">
        <v>0.18</v>
      </c>
      <c r="M506" s="1">
        <v>0.22</v>
      </c>
      <c r="N506" s="1" t="s">
        <v>67</v>
      </c>
      <c r="O506" s="1" t="s">
        <v>587</v>
      </c>
      <c r="P506" s="1">
        <v>520</v>
      </c>
      <c r="T506"/>
    </row>
    <row r="507" spans="9:20">
      <c r="I507" s="1" t="s">
        <v>50</v>
      </c>
      <c r="J507" s="1" t="s">
        <v>84</v>
      </c>
      <c r="K507" s="1" t="s">
        <v>9</v>
      </c>
      <c r="L507" s="1">
        <v>0.18</v>
      </c>
      <c r="M507" s="1">
        <v>0.22</v>
      </c>
      <c r="N507" s="1" t="s">
        <v>67</v>
      </c>
      <c r="O507" s="1" t="s">
        <v>588</v>
      </c>
      <c r="P507" s="1">
        <v>440</v>
      </c>
      <c r="T507"/>
    </row>
    <row r="508" spans="9:20">
      <c r="I508" s="1" t="s">
        <v>50</v>
      </c>
      <c r="J508" s="1" t="s">
        <v>1</v>
      </c>
      <c r="K508" s="1" t="s">
        <v>10</v>
      </c>
      <c r="L508" s="1">
        <v>0.18</v>
      </c>
      <c r="M508" s="1">
        <v>0.22</v>
      </c>
      <c r="N508" s="1" t="s">
        <v>67</v>
      </c>
      <c r="O508" s="1" t="s">
        <v>589</v>
      </c>
      <c r="P508" s="1">
        <v>1230</v>
      </c>
      <c r="T508"/>
    </row>
    <row r="509" spans="9:20">
      <c r="I509" s="1" t="s">
        <v>50</v>
      </c>
      <c r="J509" s="1" t="s">
        <v>2</v>
      </c>
      <c r="K509" s="1" t="s">
        <v>10</v>
      </c>
      <c r="L509" s="1">
        <v>0.18</v>
      </c>
      <c r="M509" s="1">
        <v>0.22</v>
      </c>
      <c r="N509" s="1" t="s">
        <v>67</v>
      </c>
      <c r="O509" s="1" t="s">
        <v>590</v>
      </c>
      <c r="P509" s="1">
        <v>1230</v>
      </c>
      <c r="T509"/>
    </row>
    <row r="510" spans="9:20">
      <c r="I510" s="1" t="s">
        <v>50</v>
      </c>
      <c r="J510" s="1" t="s">
        <v>3</v>
      </c>
      <c r="K510" s="1" t="s">
        <v>10</v>
      </c>
      <c r="L510" s="1">
        <v>0.18</v>
      </c>
      <c r="M510" s="1">
        <v>0.22</v>
      </c>
      <c r="N510" s="1" t="s">
        <v>67</v>
      </c>
      <c r="O510" s="1" t="s">
        <v>591</v>
      </c>
      <c r="P510" s="1">
        <v>1230</v>
      </c>
      <c r="T510"/>
    </row>
    <row r="511" spans="9:20">
      <c r="I511" s="1" t="s">
        <v>50</v>
      </c>
      <c r="J511" s="1" t="s">
        <v>4</v>
      </c>
      <c r="K511" s="1" t="s">
        <v>10</v>
      </c>
      <c r="L511" s="1">
        <v>0.18</v>
      </c>
      <c r="M511" s="1">
        <v>0.22</v>
      </c>
      <c r="N511" s="1" t="s">
        <v>67</v>
      </c>
      <c r="O511" s="1" t="s">
        <v>592</v>
      </c>
      <c r="P511" s="1">
        <v>1110</v>
      </c>
      <c r="T511"/>
    </row>
    <row r="512" spans="9:20">
      <c r="I512" s="1" t="s">
        <v>50</v>
      </c>
      <c r="J512" s="1" t="s">
        <v>5</v>
      </c>
      <c r="K512" s="1" t="s">
        <v>10</v>
      </c>
      <c r="L512" s="1">
        <v>0.18</v>
      </c>
      <c r="M512" s="1">
        <v>0.22</v>
      </c>
      <c r="N512" s="1" t="s">
        <v>67</v>
      </c>
      <c r="O512" s="1" t="s">
        <v>593</v>
      </c>
      <c r="P512" s="1">
        <v>1110</v>
      </c>
      <c r="T512"/>
    </row>
    <row r="513" spans="9:20">
      <c r="I513" s="1" t="s">
        <v>50</v>
      </c>
      <c r="J513" s="1" t="s">
        <v>6</v>
      </c>
      <c r="K513" s="1" t="s">
        <v>10</v>
      </c>
      <c r="L513" s="1">
        <v>0.18</v>
      </c>
      <c r="M513" s="1">
        <v>0.22</v>
      </c>
      <c r="N513" s="1" t="s">
        <v>67</v>
      </c>
      <c r="O513" s="1" t="s">
        <v>594</v>
      </c>
      <c r="P513" s="1">
        <v>980</v>
      </c>
      <c r="T513"/>
    </row>
    <row r="514" spans="9:20">
      <c r="I514" s="1" t="s">
        <v>50</v>
      </c>
      <c r="J514" s="1" t="s">
        <v>7</v>
      </c>
      <c r="K514" s="1" t="s">
        <v>10</v>
      </c>
      <c r="L514" s="1">
        <v>0.18</v>
      </c>
      <c r="M514" s="1">
        <v>0.22</v>
      </c>
      <c r="N514" s="1" t="s">
        <v>67</v>
      </c>
      <c r="O514" s="1" t="s">
        <v>595</v>
      </c>
      <c r="P514" s="1">
        <v>850</v>
      </c>
      <c r="T514"/>
    </row>
    <row r="515" spans="9:20">
      <c r="I515" s="1" t="s">
        <v>50</v>
      </c>
      <c r="J515" s="1" t="s">
        <v>75</v>
      </c>
      <c r="K515" s="1" t="s">
        <v>10</v>
      </c>
      <c r="L515" s="1">
        <v>0.18</v>
      </c>
      <c r="M515" s="1">
        <v>0.22</v>
      </c>
      <c r="N515" s="1" t="s">
        <v>67</v>
      </c>
      <c r="O515" s="1" t="s">
        <v>596</v>
      </c>
      <c r="P515" s="1">
        <v>750</v>
      </c>
      <c r="T515"/>
    </row>
    <row r="516" spans="9:20">
      <c r="I516" s="1" t="s">
        <v>50</v>
      </c>
      <c r="J516" s="1" t="s">
        <v>78</v>
      </c>
      <c r="K516" s="1" t="s">
        <v>10</v>
      </c>
      <c r="L516" s="1">
        <v>0.18</v>
      </c>
      <c r="M516" s="1">
        <v>0.22</v>
      </c>
      <c r="N516" s="1" t="s">
        <v>67</v>
      </c>
      <c r="O516" s="1" t="s">
        <v>597</v>
      </c>
      <c r="P516" s="1">
        <v>630</v>
      </c>
      <c r="T516"/>
    </row>
    <row r="517" spans="9:20">
      <c r="I517" s="1" t="s">
        <v>50</v>
      </c>
      <c r="J517" s="1" t="s">
        <v>81</v>
      </c>
      <c r="K517" s="1" t="s">
        <v>10</v>
      </c>
      <c r="L517" s="1">
        <v>0.18</v>
      </c>
      <c r="M517" s="1">
        <v>0.22</v>
      </c>
      <c r="N517" s="1" t="s">
        <v>67</v>
      </c>
      <c r="O517" s="1" t="s">
        <v>598</v>
      </c>
      <c r="P517" s="1">
        <v>520</v>
      </c>
      <c r="T517"/>
    </row>
    <row r="518" spans="9:20">
      <c r="I518" s="1" t="s">
        <v>50</v>
      </c>
      <c r="J518" s="1" t="s">
        <v>84</v>
      </c>
      <c r="K518" s="1" t="s">
        <v>10</v>
      </c>
      <c r="L518" s="1">
        <v>0.18</v>
      </c>
      <c r="M518" s="1">
        <v>0.22</v>
      </c>
      <c r="N518" s="1" t="s">
        <v>67</v>
      </c>
      <c r="O518" s="1" t="s">
        <v>599</v>
      </c>
      <c r="P518" s="1">
        <v>440</v>
      </c>
      <c r="T518"/>
    </row>
    <row r="519" spans="9:20">
      <c r="I519" s="1" t="s">
        <v>50</v>
      </c>
      <c r="J519" s="1" t="s">
        <v>1</v>
      </c>
      <c r="K519" s="1" t="s">
        <v>11</v>
      </c>
      <c r="L519" s="1">
        <v>0.18</v>
      </c>
      <c r="M519" s="1">
        <v>0.22</v>
      </c>
      <c r="N519" s="1" t="s">
        <v>67</v>
      </c>
      <c r="O519" s="1" t="s">
        <v>600</v>
      </c>
      <c r="P519" s="1">
        <v>1060</v>
      </c>
      <c r="T519"/>
    </row>
    <row r="520" spans="9:20">
      <c r="I520" s="1" t="s">
        <v>50</v>
      </c>
      <c r="J520" s="1" t="s">
        <v>2</v>
      </c>
      <c r="K520" s="1" t="s">
        <v>11</v>
      </c>
      <c r="L520" s="1">
        <v>0.18</v>
      </c>
      <c r="M520" s="1">
        <v>0.22</v>
      </c>
      <c r="N520" s="1" t="s">
        <v>67</v>
      </c>
      <c r="O520" s="1" t="s">
        <v>601</v>
      </c>
      <c r="P520" s="1">
        <v>1060</v>
      </c>
      <c r="T520"/>
    </row>
    <row r="521" spans="9:20">
      <c r="I521" s="1" t="s">
        <v>50</v>
      </c>
      <c r="J521" s="1" t="s">
        <v>3</v>
      </c>
      <c r="K521" s="1" t="s">
        <v>11</v>
      </c>
      <c r="L521" s="1">
        <v>0.18</v>
      </c>
      <c r="M521" s="1">
        <v>0.22</v>
      </c>
      <c r="N521" s="1" t="s">
        <v>67</v>
      </c>
      <c r="O521" s="1" t="s">
        <v>602</v>
      </c>
      <c r="P521" s="1">
        <v>1060</v>
      </c>
      <c r="T521"/>
    </row>
    <row r="522" spans="9:20">
      <c r="I522" s="1" t="s">
        <v>50</v>
      </c>
      <c r="J522" s="1" t="s">
        <v>4</v>
      </c>
      <c r="K522" s="1" t="s">
        <v>11</v>
      </c>
      <c r="L522" s="1">
        <v>0.18</v>
      </c>
      <c r="M522" s="1">
        <v>0.22</v>
      </c>
      <c r="N522" s="1" t="s">
        <v>67</v>
      </c>
      <c r="O522" s="1" t="s">
        <v>603</v>
      </c>
      <c r="P522" s="1">
        <v>960</v>
      </c>
      <c r="T522"/>
    </row>
    <row r="523" spans="9:20">
      <c r="I523" s="1" t="s">
        <v>50</v>
      </c>
      <c r="J523" s="1" t="s">
        <v>5</v>
      </c>
      <c r="K523" s="1" t="s">
        <v>11</v>
      </c>
      <c r="L523" s="1">
        <v>0.18</v>
      </c>
      <c r="M523" s="1">
        <v>0.22</v>
      </c>
      <c r="N523" s="1" t="s">
        <v>67</v>
      </c>
      <c r="O523" s="1" t="s">
        <v>604</v>
      </c>
      <c r="P523" s="1">
        <v>960</v>
      </c>
      <c r="T523"/>
    </row>
    <row r="524" spans="9:20">
      <c r="I524" s="1" t="s">
        <v>50</v>
      </c>
      <c r="J524" s="1" t="s">
        <v>6</v>
      </c>
      <c r="K524" s="1" t="s">
        <v>11</v>
      </c>
      <c r="L524" s="1">
        <v>0.18</v>
      </c>
      <c r="M524" s="1">
        <v>0.22</v>
      </c>
      <c r="N524" s="1" t="s">
        <v>67</v>
      </c>
      <c r="O524" s="1" t="s">
        <v>605</v>
      </c>
      <c r="P524" s="1">
        <v>860</v>
      </c>
      <c r="T524"/>
    </row>
    <row r="525" spans="9:20">
      <c r="I525" s="1" t="s">
        <v>50</v>
      </c>
      <c r="J525" s="1" t="s">
        <v>7</v>
      </c>
      <c r="K525" s="1" t="s">
        <v>11</v>
      </c>
      <c r="L525" s="1">
        <v>0.18</v>
      </c>
      <c r="M525" s="1">
        <v>0.22</v>
      </c>
      <c r="N525" s="1" t="s">
        <v>67</v>
      </c>
      <c r="O525" s="1" t="s">
        <v>606</v>
      </c>
      <c r="P525" s="1">
        <v>750</v>
      </c>
      <c r="T525"/>
    </row>
    <row r="526" spans="9:20">
      <c r="I526" s="1" t="s">
        <v>50</v>
      </c>
      <c r="J526" s="1" t="s">
        <v>75</v>
      </c>
      <c r="K526" s="1" t="s">
        <v>11</v>
      </c>
      <c r="L526" s="1">
        <v>0.18</v>
      </c>
      <c r="M526" s="1">
        <v>0.22</v>
      </c>
      <c r="N526" s="1" t="s">
        <v>67</v>
      </c>
      <c r="O526" s="1" t="s">
        <v>607</v>
      </c>
      <c r="P526" s="1">
        <v>670</v>
      </c>
      <c r="T526"/>
    </row>
    <row r="527" spans="9:20">
      <c r="I527" s="1" t="s">
        <v>50</v>
      </c>
      <c r="J527" s="1" t="s">
        <v>78</v>
      </c>
      <c r="K527" s="1" t="s">
        <v>11</v>
      </c>
      <c r="L527" s="1">
        <v>0.18</v>
      </c>
      <c r="M527" s="1">
        <v>0.22</v>
      </c>
      <c r="N527" s="1" t="s">
        <v>67</v>
      </c>
      <c r="O527" s="1" t="s">
        <v>608</v>
      </c>
      <c r="P527" s="1">
        <v>570</v>
      </c>
      <c r="T527"/>
    </row>
    <row r="528" spans="9:20">
      <c r="I528" s="1" t="s">
        <v>50</v>
      </c>
      <c r="J528" s="1" t="s">
        <v>81</v>
      </c>
      <c r="K528" s="1" t="s">
        <v>11</v>
      </c>
      <c r="L528" s="1">
        <v>0.18</v>
      </c>
      <c r="M528" s="1">
        <v>0.22</v>
      </c>
      <c r="N528" s="1" t="s">
        <v>67</v>
      </c>
      <c r="O528" s="1" t="s">
        <v>609</v>
      </c>
      <c r="P528" s="1">
        <v>470</v>
      </c>
      <c r="T528"/>
    </row>
    <row r="529" spans="9:20">
      <c r="I529" s="1" t="s">
        <v>50</v>
      </c>
      <c r="J529" s="1" t="s">
        <v>84</v>
      </c>
      <c r="K529" s="1" t="s">
        <v>11</v>
      </c>
      <c r="L529" s="1">
        <v>0.18</v>
      </c>
      <c r="M529" s="1">
        <v>0.22</v>
      </c>
      <c r="N529" s="1" t="s">
        <v>67</v>
      </c>
      <c r="O529" s="1" t="s">
        <v>610</v>
      </c>
      <c r="P529" s="1">
        <v>400</v>
      </c>
      <c r="T529"/>
    </row>
    <row r="530" spans="9:20">
      <c r="I530" s="1" t="s">
        <v>50</v>
      </c>
      <c r="J530" s="1" t="s">
        <v>1</v>
      </c>
      <c r="K530" s="1" t="s">
        <v>12</v>
      </c>
      <c r="L530" s="1">
        <v>0.18</v>
      </c>
      <c r="M530" s="1">
        <v>0.22</v>
      </c>
      <c r="N530" s="1" t="s">
        <v>67</v>
      </c>
      <c r="O530" s="1" t="s">
        <v>611</v>
      </c>
      <c r="P530" s="1">
        <v>1060</v>
      </c>
      <c r="T530"/>
    </row>
    <row r="531" spans="9:20">
      <c r="I531" s="1" t="s">
        <v>50</v>
      </c>
      <c r="J531" s="1" t="s">
        <v>2</v>
      </c>
      <c r="K531" s="1" t="s">
        <v>12</v>
      </c>
      <c r="L531" s="1">
        <v>0.18</v>
      </c>
      <c r="M531" s="1">
        <v>0.22</v>
      </c>
      <c r="N531" s="1" t="s">
        <v>67</v>
      </c>
      <c r="O531" s="1" t="s">
        <v>612</v>
      </c>
      <c r="P531" s="1">
        <v>1060</v>
      </c>
      <c r="T531"/>
    </row>
    <row r="532" spans="9:20">
      <c r="I532" s="1" t="s">
        <v>50</v>
      </c>
      <c r="J532" s="1" t="s">
        <v>3</v>
      </c>
      <c r="K532" s="1" t="s">
        <v>12</v>
      </c>
      <c r="L532" s="1">
        <v>0.18</v>
      </c>
      <c r="M532" s="1">
        <v>0.22</v>
      </c>
      <c r="N532" s="1" t="s">
        <v>67</v>
      </c>
      <c r="O532" s="1" t="s">
        <v>613</v>
      </c>
      <c r="P532" s="1">
        <v>1060</v>
      </c>
      <c r="T532"/>
    </row>
    <row r="533" spans="9:20">
      <c r="I533" s="1" t="s">
        <v>50</v>
      </c>
      <c r="J533" s="1" t="s">
        <v>4</v>
      </c>
      <c r="K533" s="1" t="s">
        <v>12</v>
      </c>
      <c r="L533" s="1">
        <v>0.18</v>
      </c>
      <c r="M533" s="1">
        <v>0.22</v>
      </c>
      <c r="N533" s="1" t="s">
        <v>67</v>
      </c>
      <c r="O533" s="1" t="s">
        <v>614</v>
      </c>
      <c r="P533" s="1">
        <v>960</v>
      </c>
      <c r="T533"/>
    </row>
    <row r="534" spans="9:20">
      <c r="I534" s="1" t="s">
        <v>50</v>
      </c>
      <c r="J534" s="1" t="s">
        <v>5</v>
      </c>
      <c r="K534" s="1" t="s">
        <v>12</v>
      </c>
      <c r="L534" s="1">
        <v>0.18</v>
      </c>
      <c r="M534" s="1">
        <v>0.22</v>
      </c>
      <c r="N534" s="1" t="s">
        <v>67</v>
      </c>
      <c r="O534" s="1" t="s">
        <v>615</v>
      </c>
      <c r="P534" s="1">
        <v>960</v>
      </c>
      <c r="T534"/>
    </row>
    <row r="535" spans="9:20">
      <c r="I535" s="1" t="s">
        <v>50</v>
      </c>
      <c r="J535" s="1" t="s">
        <v>6</v>
      </c>
      <c r="K535" s="1" t="s">
        <v>12</v>
      </c>
      <c r="L535" s="1">
        <v>0.18</v>
      </c>
      <c r="M535" s="1">
        <v>0.22</v>
      </c>
      <c r="N535" s="1" t="s">
        <v>67</v>
      </c>
      <c r="O535" s="1" t="s">
        <v>616</v>
      </c>
      <c r="P535" s="1">
        <v>860</v>
      </c>
      <c r="T535"/>
    </row>
    <row r="536" spans="9:20">
      <c r="I536" s="1" t="s">
        <v>50</v>
      </c>
      <c r="J536" s="1" t="s">
        <v>7</v>
      </c>
      <c r="K536" s="1" t="s">
        <v>12</v>
      </c>
      <c r="L536" s="1">
        <v>0.18</v>
      </c>
      <c r="M536" s="1">
        <v>0.22</v>
      </c>
      <c r="N536" s="1" t="s">
        <v>67</v>
      </c>
      <c r="O536" s="1" t="s">
        <v>617</v>
      </c>
      <c r="P536" s="1">
        <v>750</v>
      </c>
      <c r="T536"/>
    </row>
    <row r="537" spans="9:20">
      <c r="I537" s="1" t="s">
        <v>50</v>
      </c>
      <c r="J537" s="1" t="s">
        <v>75</v>
      </c>
      <c r="K537" s="1" t="s">
        <v>12</v>
      </c>
      <c r="L537" s="1">
        <v>0.18</v>
      </c>
      <c r="M537" s="1">
        <v>0.22</v>
      </c>
      <c r="N537" s="1" t="s">
        <v>67</v>
      </c>
      <c r="O537" s="1" t="s">
        <v>618</v>
      </c>
      <c r="P537" s="1">
        <v>670</v>
      </c>
      <c r="T537"/>
    </row>
    <row r="538" spans="9:20">
      <c r="I538" s="1" t="s">
        <v>50</v>
      </c>
      <c r="J538" s="1" t="s">
        <v>78</v>
      </c>
      <c r="K538" s="1" t="s">
        <v>12</v>
      </c>
      <c r="L538" s="1">
        <v>0.18</v>
      </c>
      <c r="M538" s="1">
        <v>0.22</v>
      </c>
      <c r="N538" s="1" t="s">
        <v>67</v>
      </c>
      <c r="O538" s="1" t="s">
        <v>619</v>
      </c>
      <c r="P538" s="1">
        <v>570</v>
      </c>
      <c r="T538"/>
    </row>
    <row r="539" spans="9:20">
      <c r="I539" s="1" t="s">
        <v>50</v>
      </c>
      <c r="J539" s="1" t="s">
        <v>81</v>
      </c>
      <c r="K539" s="1" t="s">
        <v>12</v>
      </c>
      <c r="L539" s="1">
        <v>0.18</v>
      </c>
      <c r="M539" s="1">
        <v>0.22</v>
      </c>
      <c r="N539" s="1" t="s">
        <v>67</v>
      </c>
      <c r="O539" s="1" t="s">
        <v>620</v>
      </c>
      <c r="P539" s="1">
        <v>470</v>
      </c>
      <c r="T539"/>
    </row>
    <row r="540" spans="9:20">
      <c r="I540" s="1" t="s">
        <v>50</v>
      </c>
      <c r="J540" s="1" t="s">
        <v>84</v>
      </c>
      <c r="K540" s="1" t="s">
        <v>12</v>
      </c>
      <c r="L540" s="1">
        <v>0.18</v>
      </c>
      <c r="M540" s="1">
        <v>0.22</v>
      </c>
      <c r="N540" s="1" t="s">
        <v>67</v>
      </c>
      <c r="O540" s="1" t="s">
        <v>621</v>
      </c>
      <c r="P540" s="1">
        <v>400</v>
      </c>
      <c r="T540"/>
    </row>
    <row r="541" spans="9:20">
      <c r="I541" s="1" t="s">
        <v>50</v>
      </c>
      <c r="J541" s="1" t="s">
        <v>1</v>
      </c>
      <c r="K541" s="1" t="s">
        <v>13</v>
      </c>
      <c r="L541" s="1">
        <v>0.18</v>
      </c>
      <c r="M541" s="1">
        <v>0.22</v>
      </c>
      <c r="N541" s="1" t="s">
        <v>67</v>
      </c>
      <c r="O541" s="1" t="s">
        <v>622</v>
      </c>
      <c r="P541" s="1">
        <v>890</v>
      </c>
      <c r="T541"/>
    </row>
    <row r="542" spans="9:20">
      <c r="I542" s="1" t="s">
        <v>50</v>
      </c>
      <c r="J542" s="1" t="s">
        <v>2</v>
      </c>
      <c r="K542" s="1" t="s">
        <v>13</v>
      </c>
      <c r="L542" s="1">
        <v>0.18</v>
      </c>
      <c r="M542" s="1">
        <v>0.22</v>
      </c>
      <c r="N542" s="1" t="s">
        <v>67</v>
      </c>
      <c r="O542" s="1" t="s">
        <v>623</v>
      </c>
      <c r="P542" s="1">
        <v>890</v>
      </c>
      <c r="T542"/>
    </row>
    <row r="543" spans="9:20">
      <c r="I543" s="1" t="s">
        <v>50</v>
      </c>
      <c r="J543" s="1" t="s">
        <v>3</v>
      </c>
      <c r="K543" s="1" t="s">
        <v>13</v>
      </c>
      <c r="L543" s="1">
        <v>0.18</v>
      </c>
      <c r="M543" s="1">
        <v>0.22</v>
      </c>
      <c r="N543" s="1" t="s">
        <v>67</v>
      </c>
      <c r="O543" s="1" t="s">
        <v>624</v>
      </c>
      <c r="P543" s="1">
        <v>890</v>
      </c>
      <c r="T543"/>
    </row>
    <row r="544" spans="9:20">
      <c r="I544" s="1" t="s">
        <v>50</v>
      </c>
      <c r="J544" s="1" t="s">
        <v>4</v>
      </c>
      <c r="K544" s="1" t="s">
        <v>13</v>
      </c>
      <c r="L544" s="1">
        <v>0.18</v>
      </c>
      <c r="M544" s="1">
        <v>0.22</v>
      </c>
      <c r="N544" s="1" t="s">
        <v>67</v>
      </c>
      <c r="O544" s="1" t="s">
        <v>625</v>
      </c>
      <c r="P544" s="1">
        <v>780</v>
      </c>
      <c r="T544"/>
    </row>
    <row r="545" spans="9:20">
      <c r="I545" s="1" t="s">
        <v>50</v>
      </c>
      <c r="J545" s="1" t="s">
        <v>5</v>
      </c>
      <c r="K545" s="1" t="s">
        <v>13</v>
      </c>
      <c r="L545" s="1">
        <v>0.18</v>
      </c>
      <c r="M545" s="1">
        <v>0.22</v>
      </c>
      <c r="N545" s="1" t="s">
        <v>67</v>
      </c>
      <c r="O545" s="1" t="s">
        <v>626</v>
      </c>
      <c r="P545" s="1">
        <v>780</v>
      </c>
      <c r="T545"/>
    </row>
    <row r="546" spans="9:20">
      <c r="I546" s="1" t="s">
        <v>50</v>
      </c>
      <c r="J546" s="1" t="s">
        <v>6</v>
      </c>
      <c r="K546" s="1" t="s">
        <v>13</v>
      </c>
      <c r="L546" s="1">
        <v>0.18</v>
      </c>
      <c r="M546" s="1">
        <v>0.22</v>
      </c>
      <c r="N546" s="1" t="s">
        <v>67</v>
      </c>
      <c r="O546" s="1" t="s">
        <v>627</v>
      </c>
      <c r="P546" s="1">
        <v>700</v>
      </c>
      <c r="T546"/>
    </row>
    <row r="547" spans="9:20">
      <c r="I547" s="1" t="s">
        <v>50</v>
      </c>
      <c r="J547" s="1" t="s">
        <v>7</v>
      </c>
      <c r="K547" s="1" t="s">
        <v>13</v>
      </c>
      <c r="L547" s="1">
        <v>0.18</v>
      </c>
      <c r="M547" s="1">
        <v>0.22</v>
      </c>
      <c r="N547" s="1" t="s">
        <v>67</v>
      </c>
      <c r="O547" s="1" t="s">
        <v>628</v>
      </c>
      <c r="P547" s="1">
        <v>610</v>
      </c>
      <c r="T547"/>
    </row>
    <row r="548" spans="9:20">
      <c r="I548" s="1" t="s">
        <v>50</v>
      </c>
      <c r="J548" s="1" t="s">
        <v>75</v>
      </c>
      <c r="K548" s="1" t="s">
        <v>13</v>
      </c>
      <c r="L548" s="1">
        <v>0.18</v>
      </c>
      <c r="M548" s="1">
        <v>0.22</v>
      </c>
      <c r="N548" s="1" t="s">
        <v>67</v>
      </c>
      <c r="O548" s="1" t="s">
        <v>629</v>
      </c>
      <c r="P548" s="1">
        <v>530</v>
      </c>
      <c r="T548"/>
    </row>
    <row r="549" spans="9:20">
      <c r="I549" s="1" t="s">
        <v>50</v>
      </c>
      <c r="J549" s="1" t="s">
        <v>78</v>
      </c>
      <c r="K549" s="1" t="s">
        <v>13</v>
      </c>
      <c r="L549" s="1">
        <v>0.18</v>
      </c>
      <c r="M549" s="1">
        <v>0.22</v>
      </c>
      <c r="N549" s="1" t="s">
        <v>67</v>
      </c>
      <c r="O549" s="1" t="s">
        <v>630</v>
      </c>
      <c r="P549" s="1">
        <v>470</v>
      </c>
      <c r="T549"/>
    </row>
    <row r="550" spans="9:20">
      <c r="I550" s="1" t="s">
        <v>50</v>
      </c>
      <c r="J550" s="1" t="s">
        <v>81</v>
      </c>
      <c r="K550" s="1" t="s">
        <v>13</v>
      </c>
      <c r="L550" s="1">
        <v>0.18</v>
      </c>
      <c r="M550" s="1">
        <v>0.22</v>
      </c>
      <c r="N550" s="1" t="s">
        <v>67</v>
      </c>
      <c r="O550" s="1" t="s">
        <v>631</v>
      </c>
      <c r="P550" s="1">
        <v>400</v>
      </c>
      <c r="T550"/>
    </row>
    <row r="551" spans="9:20">
      <c r="I551" s="1" t="s">
        <v>50</v>
      </c>
      <c r="J551" s="1" t="s">
        <v>84</v>
      </c>
      <c r="K551" s="1" t="s">
        <v>13</v>
      </c>
      <c r="L551" s="1">
        <v>0.18</v>
      </c>
      <c r="M551" s="1">
        <v>0.22</v>
      </c>
      <c r="N551" s="1" t="s">
        <v>67</v>
      </c>
      <c r="O551" s="1" t="s">
        <v>632</v>
      </c>
      <c r="P551" s="1">
        <v>340</v>
      </c>
      <c r="T551"/>
    </row>
    <row r="552" spans="9:20">
      <c r="I552" s="1" t="s">
        <v>50</v>
      </c>
      <c r="J552" s="1" t="s">
        <v>1</v>
      </c>
      <c r="K552" s="1" t="s">
        <v>14</v>
      </c>
      <c r="L552" s="1">
        <v>0.18</v>
      </c>
      <c r="M552" s="1">
        <v>0.22</v>
      </c>
      <c r="N552" s="1" t="s">
        <v>67</v>
      </c>
      <c r="O552" s="1" t="s">
        <v>633</v>
      </c>
      <c r="P552" s="1">
        <v>890</v>
      </c>
      <c r="T552"/>
    </row>
    <row r="553" spans="9:20">
      <c r="I553" s="1" t="s">
        <v>50</v>
      </c>
      <c r="J553" s="1" t="s">
        <v>2</v>
      </c>
      <c r="K553" s="1" t="s">
        <v>14</v>
      </c>
      <c r="L553" s="1">
        <v>0.18</v>
      </c>
      <c r="M553" s="1">
        <v>0.22</v>
      </c>
      <c r="N553" s="1" t="s">
        <v>67</v>
      </c>
      <c r="O553" s="1" t="s">
        <v>634</v>
      </c>
      <c r="P553" s="1">
        <v>890</v>
      </c>
      <c r="T553"/>
    </row>
    <row r="554" spans="9:20">
      <c r="I554" s="1" t="s">
        <v>50</v>
      </c>
      <c r="J554" s="1" t="s">
        <v>3</v>
      </c>
      <c r="K554" s="1" t="s">
        <v>14</v>
      </c>
      <c r="L554" s="1">
        <v>0.18</v>
      </c>
      <c r="M554" s="1">
        <v>0.22</v>
      </c>
      <c r="N554" s="1" t="s">
        <v>67</v>
      </c>
      <c r="O554" s="1" t="s">
        <v>635</v>
      </c>
      <c r="P554" s="1">
        <v>890</v>
      </c>
      <c r="T554"/>
    </row>
    <row r="555" spans="9:20">
      <c r="I555" s="1" t="s">
        <v>50</v>
      </c>
      <c r="J555" s="1" t="s">
        <v>4</v>
      </c>
      <c r="K555" s="1" t="s">
        <v>14</v>
      </c>
      <c r="L555" s="1">
        <v>0.18</v>
      </c>
      <c r="M555" s="1">
        <v>0.22</v>
      </c>
      <c r="N555" s="1" t="s">
        <v>67</v>
      </c>
      <c r="O555" s="1" t="s">
        <v>636</v>
      </c>
      <c r="P555" s="1">
        <v>780</v>
      </c>
      <c r="T555"/>
    </row>
    <row r="556" spans="9:20">
      <c r="I556" s="1" t="s">
        <v>50</v>
      </c>
      <c r="J556" s="1" t="s">
        <v>5</v>
      </c>
      <c r="K556" s="1" t="s">
        <v>14</v>
      </c>
      <c r="L556" s="1">
        <v>0.18</v>
      </c>
      <c r="M556" s="1">
        <v>0.22</v>
      </c>
      <c r="N556" s="1" t="s">
        <v>67</v>
      </c>
      <c r="O556" s="1" t="s">
        <v>637</v>
      </c>
      <c r="P556" s="1">
        <v>780</v>
      </c>
      <c r="T556"/>
    </row>
    <row r="557" spans="9:20">
      <c r="I557" s="1" t="s">
        <v>50</v>
      </c>
      <c r="J557" s="1" t="s">
        <v>6</v>
      </c>
      <c r="K557" s="1" t="s">
        <v>14</v>
      </c>
      <c r="L557" s="1">
        <v>0.18</v>
      </c>
      <c r="M557" s="1">
        <v>0.22</v>
      </c>
      <c r="N557" s="1" t="s">
        <v>67</v>
      </c>
      <c r="O557" s="1" t="s">
        <v>638</v>
      </c>
      <c r="P557" s="1">
        <v>700</v>
      </c>
      <c r="T557"/>
    </row>
    <row r="558" spans="9:20">
      <c r="I558" s="1" t="s">
        <v>50</v>
      </c>
      <c r="J558" s="1" t="s">
        <v>7</v>
      </c>
      <c r="K558" s="1" t="s">
        <v>14</v>
      </c>
      <c r="L558" s="1">
        <v>0.18</v>
      </c>
      <c r="M558" s="1">
        <v>0.22</v>
      </c>
      <c r="N558" s="1" t="s">
        <v>67</v>
      </c>
      <c r="O558" s="1" t="s">
        <v>639</v>
      </c>
      <c r="P558" s="1">
        <v>610</v>
      </c>
      <c r="T558"/>
    </row>
    <row r="559" spans="9:20">
      <c r="I559" s="1" t="s">
        <v>50</v>
      </c>
      <c r="J559" s="1" t="s">
        <v>75</v>
      </c>
      <c r="K559" s="1" t="s">
        <v>14</v>
      </c>
      <c r="L559" s="1">
        <v>0.18</v>
      </c>
      <c r="M559" s="1">
        <v>0.22</v>
      </c>
      <c r="N559" s="1" t="s">
        <v>67</v>
      </c>
      <c r="O559" s="1" t="s">
        <v>640</v>
      </c>
      <c r="P559" s="1">
        <v>530</v>
      </c>
      <c r="T559"/>
    </row>
    <row r="560" spans="9:20">
      <c r="I560" s="1" t="s">
        <v>50</v>
      </c>
      <c r="J560" s="1" t="s">
        <v>78</v>
      </c>
      <c r="K560" s="1" t="s">
        <v>14</v>
      </c>
      <c r="L560" s="1">
        <v>0.18</v>
      </c>
      <c r="M560" s="1">
        <v>0.22</v>
      </c>
      <c r="N560" s="1" t="s">
        <v>67</v>
      </c>
      <c r="O560" s="1" t="s">
        <v>641</v>
      </c>
      <c r="P560" s="1">
        <v>470</v>
      </c>
      <c r="T560"/>
    </row>
    <row r="561" spans="9:20">
      <c r="I561" s="1" t="s">
        <v>50</v>
      </c>
      <c r="J561" s="1" t="s">
        <v>81</v>
      </c>
      <c r="K561" s="1" t="s">
        <v>14</v>
      </c>
      <c r="L561" s="1">
        <v>0.18</v>
      </c>
      <c r="M561" s="1">
        <v>0.22</v>
      </c>
      <c r="N561" s="1" t="s">
        <v>67</v>
      </c>
      <c r="O561" s="1" t="s">
        <v>642</v>
      </c>
      <c r="P561" s="1">
        <v>400</v>
      </c>
      <c r="T561"/>
    </row>
    <row r="562" spans="9:20">
      <c r="I562" s="1" t="s">
        <v>50</v>
      </c>
      <c r="J562" s="1" t="s">
        <v>84</v>
      </c>
      <c r="K562" s="1" t="s">
        <v>14</v>
      </c>
      <c r="L562" s="1">
        <v>0.18</v>
      </c>
      <c r="M562" s="1">
        <v>0.22</v>
      </c>
      <c r="N562" s="1" t="s">
        <v>67</v>
      </c>
      <c r="O562" s="1" t="s">
        <v>643</v>
      </c>
      <c r="P562" s="1">
        <v>340</v>
      </c>
      <c r="T562"/>
    </row>
    <row r="563" spans="9:20">
      <c r="I563" s="1" t="s">
        <v>50</v>
      </c>
      <c r="J563" s="1" t="s">
        <v>1</v>
      </c>
      <c r="K563" s="1" t="s">
        <v>15</v>
      </c>
      <c r="L563" s="1">
        <v>0.18</v>
      </c>
      <c r="M563" s="1">
        <v>0.22</v>
      </c>
      <c r="N563" s="1" t="s">
        <v>67</v>
      </c>
      <c r="O563" s="1" t="s">
        <v>644</v>
      </c>
      <c r="P563" s="1">
        <v>730</v>
      </c>
      <c r="T563"/>
    </row>
    <row r="564" spans="9:20">
      <c r="I564" s="1" t="s">
        <v>50</v>
      </c>
      <c r="J564" s="1" t="s">
        <v>2</v>
      </c>
      <c r="K564" s="1" t="s">
        <v>15</v>
      </c>
      <c r="L564" s="1">
        <v>0.18</v>
      </c>
      <c r="M564" s="1">
        <v>0.22</v>
      </c>
      <c r="N564" s="1" t="s">
        <v>67</v>
      </c>
      <c r="O564" s="1" t="s">
        <v>645</v>
      </c>
      <c r="P564" s="1">
        <v>730</v>
      </c>
      <c r="T564"/>
    </row>
    <row r="565" spans="9:20">
      <c r="I565" s="1" t="s">
        <v>50</v>
      </c>
      <c r="J565" s="1" t="s">
        <v>3</v>
      </c>
      <c r="K565" s="1" t="s">
        <v>15</v>
      </c>
      <c r="L565" s="1">
        <v>0.18</v>
      </c>
      <c r="M565" s="1">
        <v>0.22</v>
      </c>
      <c r="N565" s="1" t="s">
        <v>67</v>
      </c>
      <c r="O565" s="1" t="s">
        <v>646</v>
      </c>
      <c r="P565" s="1">
        <v>730</v>
      </c>
      <c r="T565"/>
    </row>
    <row r="566" spans="9:20">
      <c r="I566" s="1" t="s">
        <v>50</v>
      </c>
      <c r="J566" s="1" t="s">
        <v>4</v>
      </c>
      <c r="K566" s="1" t="s">
        <v>15</v>
      </c>
      <c r="L566" s="1">
        <v>0.18</v>
      </c>
      <c r="M566" s="1">
        <v>0.22</v>
      </c>
      <c r="N566" s="1" t="s">
        <v>67</v>
      </c>
      <c r="O566" s="1" t="s">
        <v>647</v>
      </c>
      <c r="P566" s="1">
        <v>610</v>
      </c>
      <c r="T566"/>
    </row>
    <row r="567" spans="9:20">
      <c r="I567" s="1" t="s">
        <v>50</v>
      </c>
      <c r="J567" s="1" t="s">
        <v>5</v>
      </c>
      <c r="K567" s="1" t="s">
        <v>15</v>
      </c>
      <c r="L567" s="1">
        <v>0.18</v>
      </c>
      <c r="M567" s="1">
        <v>0.22</v>
      </c>
      <c r="N567" s="1" t="s">
        <v>67</v>
      </c>
      <c r="O567" s="1" t="s">
        <v>648</v>
      </c>
      <c r="P567" s="1">
        <v>610</v>
      </c>
      <c r="T567"/>
    </row>
    <row r="568" spans="9:20">
      <c r="I568" s="1" t="s">
        <v>50</v>
      </c>
      <c r="J568" s="1" t="s">
        <v>6</v>
      </c>
      <c r="K568" s="1" t="s">
        <v>15</v>
      </c>
      <c r="L568" s="1">
        <v>0.18</v>
      </c>
      <c r="M568" s="1">
        <v>0.22</v>
      </c>
      <c r="N568" s="1" t="s">
        <v>67</v>
      </c>
      <c r="O568" s="1" t="s">
        <v>649</v>
      </c>
      <c r="P568" s="1">
        <v>540</v>
      </c>
      <c r="T568"/>
    </row>
    <row r="569" spans="9:20">
      <c r="I569" s="1" t="s">
        <v>50</v>
      </c>
      <c r="J569" s="1" t="s">
        <v>7</v>
      </c>
      <c r="K569" s="1" t="s">
        <v>15</v>
      </c>
      <c r="L569" s="1">
        <v>0.18</v>
      </c>
      <c r="M569" s="1">
        <v>0.22</v>
      </c>
      <c r="N569" s="1" t="s">
        <v>67</v>
      </c>
      <c r="O569" s="1" t="s">
        <v>650</v>
      </c>
      <c r="P569" s="1">
        <v>460</v>
      </c>
      <c r="T569"/>
    </row>
    <row r="570" spans="9:20">
      <c r="I570" s="1" t="s">
        <v>50</v>
      </c>
      <c r="J570" s="1" t="s">
        <v>75</v>
      </c>
      <c r="K570" s="1" t="s">
        <v>15</v>
      </c>
      <c r="L570" s="1">
        <v>0.18</v>
      </c>
      <c r="M570" s="1">
        <v>0.22</v>
      </c>
      <c r="N570" s="1" t="s">
        <v>67</v>
      </c>
      <c r="O570" s="1" t="s">
        <v>651</v>
      </c>
      <c r="P570" s="1">
        <v>400</v>
      </c>
      <c r="T570"/>
    </row>
    <row r="571" spans="9:20">
      <c r="I571" s="1" t="s">
        <v>50</v>
      </c>
      <c r="J571" s="1" t="s">
        <v>78</v>
      </c>
      <c r="K571" s="1" t="s">
        <v>15</v>
      </c>
      <c r="L571" s="1">
        <v>0.18</v>
      </c>
      <c r="M571" s="1">
        <v>0.22</v>
      </c>
      <c r="N571" s="1" t="s">
        <v>67</v>
      </c>
      <c r="O571" s="1" t="s">
        <v>652</v>
      </c>
      <c r="P571" s="1">
        <v>350</v>
      </c>
      <c r="T571"/>
    </row>
    <row r="572" spans="9:20">
      <c r="I572" s="1" t="s">
        <v>50</v>
      </c>
      <c r="J572" s="1" t="s">
        <v>81</v>
      </c>
      <c r="K572" s="1" t="s">
        <v>15</v>
      </c>
      <c r="L572" s="1">
        <v>0.18</v>
      </c>
      <c r="M572" s="1">
        <v>0.22</v>
      </c>
      <c r="N572" s="1" t="s">
        <v>67</v>
      </c>
      <c r="O572" s="1" t="s">
        <v>653</v>
      </c>
      <c r="P572" s="1">
        <v>300</v>
      </c>
      <c r="T572"/>
    </row>
    <row r="573" spans="9:20">
      <c r="I573" s="1" t="s">
        <v>50</v>
      </c>
      <c r="J573" s="1" t="s">
        <v>84</v>
      </c>
      <c r="K573" s="1" t="s">
        <v>15</v>
      </c>
      <c r="L573" s="1">
        <v>0.18</v>
      </c>
      <c r="M573" s="1">
        <v>0.22</v>
      </c>
      <c r="N573" s="1" t="s">
        <v>67</v>
      </c>
      <c r="O573" s="1" t="s">
        <v>654</v>
      </c>
      <c r="P573" s="1">
        <v>250</v>
      </c>
      <c r="T573"/>
    </row>
    <row r="574" spans="9:20">
      <c r="I574" s="1" t="s">
        <v>50</v>
      </c>
      <c r="J574" s="1" t="s">
        <v>1</v>
      </c>
      <c r="K574" s="1" t="s">
        <v>16</v>
      </c>
      <c r="L574" s="1">
        <v>0.18</v>
      </c>
      <c r="M574" s="1">
        <v>0.22</v>
      </c>
      <c r="N574" s="1" t="s">
        <v>67</v>
      </c>
      <c r="O574" s="1" t="s">
        <v>655</v>
      </c>
      <c r="P574" s="1">
        <v>730</v>
      </c>
      <c r="T574"/>
    </row>
    <row r="575" spans="9:20">
      <c r="I575" s="1" t="s">
        <v>50</v>
      </c>
      <c r="J575" s="1" t="s">
        <v>2</v>
      </c>
      <c r="K575" s="1" t="s">
        <v>16</v>
      </c>
      <c r="L575" s="1">
        <v>0.18</v>
      </c>
      <c r="M575" s="1">
        <v>0.22</v>
      </c>
      <c r="N575" s="1" t="s">
        <v>67</v>
      </c>
      <c r="O575" s="1" t="s">
        <v>656</v>
      </c>
      <c r="P575" s="1">
        <v>730</v>
      </c>
      <c r="T575"/>
    </row>
    <row r="576" spans="9:20">
      <c r="I576" s="1" t="s">
        <v>50</v>
      </c>
      <c r="J576" s="1" t="s">
        <v>3</v>
      </c>
      <c r="K576" s="1" t="s">
        <v>16</v>
      </c>
      <c r="L576" s="1">
        <v>0.18</v>
      </c>
      <c r="M576" s="1">
        <v>0.22</v>
      </c>
      <c r="N576" s="1" t="s">
        <v>67</v>
      </c>
      <c r="O576" s="1" t="s">
        <v>657</v>
      </c>
      <c r="P576" s="1">
        <v>730</v>
      </c>
      <c r="T576"/>
    </row>
    <row r="577" spans="9:20">
      <c r="I577" s="1" t="s">
        <v>50</v>
      </c>
      <c r="J577" s="1" t="s">
        <v>4</v>
      </c>
      <c r="K577" s="1" t="s">
        <v>16</v>
      </c>
      <c r="L577" s="1">
        <v>0.18</v>
      </c>
      <c r="M577" s="1">
        <v>0.22</v>
      </c>
      <c r="N577" s="1" t="s">
        <v>67</v>
      </c>
      <c r="O577" s="1" t="s">
        <v>658</v>
      </c>
      <c r="P577" s="1">
        <v>610</v>
      </c>
      <c r="T577"/>
    </row>
    <row r="578" spans="9:20">
      <c r="I578" s="1" t="s">
        <v>50</v>
      </c>
      <c r="J578" s="1" t="s">
        <v>5</v>
      </c>
      <c r="K578" s="1" t="s">
        <v>16</v>
      </c>
      <c r="L578" s="1">
        <v>0.18</v>
      </c>
      <c r="M578" s="1">
        <v>0.22</v>
      </c>
      <c r="N578" s="1" t="s">
        <v>67</v>
      </c>
      <c r="O578" s="1" t="s">
        <v>659</v>
      </c>
      <c r="P578" s="1">
        <v>610</v>
      </c>
      <c r="T578"/>
    </row>
    <row r="579" spans="9:20">
      <c r="I579" s="1" t="s">
        <v>50</v>
      </c>
      <c r="J579" s="1" t="s">
        <v>6</v>
      </c>
      <c r="K579" s="1" t="s">
        <v>16</v>
      </c>
      <c r="L579" s="1">
        <v>0.18</v>
      </c>
      <c r="M579" s="1">
        <v>0.22</v>
      </c>
      <c r="N579" s="1" t="s">
        <v>67</v>
      </c>
      <c r="O579" s="1" t="s">
        <v>660</v>
      </c>
      <c r="P579" s="1">
        <v>540</v>
      </c>
      <c r="T579"/>
    </row>
    <row r="580" spans="9:20">
      <c r="I580" s="1" t="s">
        <v>50</v>
      </c>
      <c r="J580" s="1" t="s">
        <v>7</v>
      </c>
      <c r="K580" s="1" t="s">
        <v>16</v>
      </c>
      <c r="L580" s="1">
        <v>0.18</v>
      </c>
      <c r="M580" s="1">
        <v>0.22</v>
      </c>
      <c r="N580" s="1" t="s">
        <v>67</v>
      </c>
      <c r="O580" s="1" t="s">
        <v>661</v>
      </c>
      <c r="P580" s="1">
        <v>460</v>
      </c>
      <c r="T580"/>
    </row>
    <row r="581" spans="9:20">
      <c r="I581" s="1" t="s">
        <v>50</v>
      </c>
      <c r="J581" s="1" t="s">
        <v>75</v>
      </c>
      <c r="K581" s="1" t="s">
        <v>16</v>
      </c>
      <c r="L581" s="1">
        <v>0.18</v>
      </c>
      <c r="M581" s="1">
        <v>0.22</v>
      </c>
      <c r="N581" s="1" t="s">
        <v>67</v>
      </c>
      <c r="O581" s="1" t="s">
        <v>662</v>
      </c>
      <c r="P581" s="1">
        <v>400</v>
      </c>
      <c r="T581"/>
    </row>
    <row r="582" spans="9:20">
      <c r="I582" s="1" t="s">
        <v>50</v>
      </c>
      <c r="J582" s="1" t="s">
        <v>78</v>
      </c>
      <c r="K582" s="1" t="s">
        <v>16</v>
      </c>
      <c r="L582" s="1">
        <v>0.18</v>
      </c>
      <c r="M582" s="1">
        <v>0.22</v>
      </c>
      <c r="N582" s="1" t="s">
        <v>67</v>
      </c>
      <c r="O582" s="1" t="s">
        <v>663</v>
      </c>
      <c r="P582" s="1">
        <v>350</v>
      </c>
      <c r="T582"/>
    </row>
    <row r="583" spans="9:20">
      <c r="I583" s="1" t="s">
        <v>50</v>
      </c>
      <c r="J583" s="1" t="s">
        <v>81</v>
      </c>
      <c r="K583" s="1" t="s">
        <v>16</v>
      </c>
      <c r="L583" s="1">
        <v>0.18</v>
      </c>
      <c r="M583" s="1">
        <v>0.22</v>
      </c>
      <c r="N583" s="1" t="s">
        <v>67</v>
      </c>
      <c r="O583" s="1" t="s">
        <v>664</v>
      </c>
      <c r="P583" s="1">
        <v>300</v>
      </c>
      <c r="T583"/>
    </row>
    <row r="584" spans="9:20">
      <c r="I584" s="1" t="s">
        <v>50</v>
      </c>
      <c r="J584" s="1" t="s">
        <v>84</v>
      </c>
      <c r="K584" s="1" t="s">
        <v>16</v>
      </c>
      <c r="L584" s="1">
        <v>0.18</v>
      </c>
      <c r="M584" s="1">
        <v>0.22</v>
      </c>
      <c r="N584" s="1" t="s">
        <v>67</v>
      </c>
      <c r="O584" s="1" t="s">
        <v>665</v>
      </c>
      <c r="P584" s="1">
        <v>250</v>
      </c>
      <c r="T584"/>
    </row>
    <row r="585" spans="9:20">
      <c r="I585" s="1" t="s">
        <v>50</v>
      </c>
      <c r="J585" s="1" t="s">
        <v>1</v>
      </c>
      <c r="K585" s="1" t="s">
        <v>17</v>
      </c>
      <c r="L585" s="1">
        <v>0.18</v>
      </c>
      <c r="M585" s="1">
        <v>0.22</v>
      </c>
      <c r="N585" s="1" t="s">
        <v>67</v>
      </c>
      <c r="O585" s="1" t="s">
        <v>666</v>
      </c>
      <c r="P585" s="1">
        <v>550</v>
      </c>
      <c r="T585"/>
    </row>
    <row r="586" spans="9:20">
      <c r="I586" s="1" t="s">
        <v>50</v>
      </c>
      <c r="J586" s="1" t="s">
        <v>2</v>
      </c>
      <c r="K586" s="1" t="s">
        <v>17</v>
      </c>
      <c r="L586" s="1">
        <v>0.18</v>
      </c>
      <c r="M586" s="1">
        <v>0.22</v>
      </c>
      <c r="N586" s="1" t="s">
        <v>67</v>
      </c>
      <c r="O586" s="1" t="s">
        <v>667</v>
      </c>
      <c r="P586" s="1">
        <v>550</v>
      </c>
      <c r="T586"/>
    </row>
    <row r="587" spans="9:20">
      <c r="I587" s="1" t="s">
        <v>50</v>
      </c>
      <c r="J587" s="1" t="s">
        <v>3</v>
      </c>
      <c r="K587" s="1" t="s">
        <v>17</v>
      </c>
      <c r="L587" s="1">
        <v>0.18</v>
      </c>
      <c r="M587" s="1">
        <v>0.22</v>
      </c>
      <c r="N587" s="1" t="s">
        <v>67</v>
      </c>
      <c r="O587" s="1" t="s">
        <v>668</v>
      </c>
      <c r="P587" s="1">
        <v>550</v>
      </c>
      <c r="T587"/>
    </row>
    <row r="588" spans="9:20">
      <c r="I588" s="1" t="s">
        <v>50</v>
      </c>
      <c r="J588" s="1" t="s">
        <v>4</v>
      </c>
      <c r="K588" s="1" t="s">
        <v>17</v>
      </c>
      <c r="L588" s="1">
        <v>0.18</v>
      </c>
      <c r="M588" s="1">
        <v>0.22</v>
      </c>
      <c r="N588" s="1" t="s">
        <v>67</v>
      </c>
      <c r="O588" s="1" t="s">
        <v>669</v>
      </c>
      <c r="P588" s="1">
        <v>490</v>
      </c>
      <c r="T588"/>
    </row>
    <row r="589" spans="9:20">
      <c r="I589" s="1" t="s">
        <v>50</v>
      </c>
      <c r="J589" s="1" t="s">
        <v>5</v>
      </c>
      <c r="K589" s="1" t="s">
        <v>17</v>
      </c>
      <c r="L589" s="1">
        <v>0.18</v>
      </c>
      <c r="M589" s="1">
        <v>0.22</v>
      </c>
      <c r="N589" s="1" t="s">
        <v>67</v>
      </c>
      <c r="O589" s="1" t="s">
        <v>670</v>
      </c>
      <c r="P589" s="1">
        <v>490</v>
      </c>
      <c r="T589"/>
    </row>
    <row r="590" spans="9:20">
      <c r="I590" s="1" t="s">
        <v>50</v>
      </c>
      <c r="J590" s="1" t="s">
        <v>6</v>
      </c>
      <c r="K590" s="1" t="s">
        <v>17</v>
      </c>
      <c r="L590" s="1">
        <v>0.18</v>
      </c>
      <c r="M590" s="1">
        <v>0.22</v>
      </c>
      <c r="N590" s="1" t="s">
        <v>67</v>
      </c>
      <c r="O590" s="1" t="s">
        <v>671</v>
      </c>
      <c r="P590" s="1">
        <v>420</v>
      </c>
      <c r="T590"/>
    </row>
    <row r="591" spans="9:20">
      <c r="I591" s="1" t="s">
        <v>50</v>
      </c>
      <c r="J591" s="1" t="s">
        <v>7</v>
      </c>
      <c r="K591" s="1" t="s">
        <v>17</v>
      </c>
      <c r="L591" s="1">
        <v>0.18</v>
      </c>
      <c r="M591" s="1">
        <v>0.22</v>
      </c>
      <c r="N591" s="1" t="s">
        <v>67</v>
      </c>
      <c r="O591" s="1" t="s">
        <v>672</v>
      </c>
      <c r="P591" s="1">
        <v>350</v>
      </c>
      <c r="T591"/>
    </row>
    <row r="592" spans="9:20">
      <c r="I592" s="1" t="s">
        <v>50</v>
      </c>
      <c r="J592" s="1" t="s">
        <v>75</v>
      </c>
      <c r="K592" s="1" t="s">
        <v>17</v>
      </c>
      <c r="L592" s="1">
        <v>0.18</v>
      </c>
      <c r="M592" s="1">
        <v>0.22</v>
      </c>
      <c r="N592" s="1" t="s">
        <v>67</v>
      </c>
      <c r="O592" s="1" t="s">
        <v>673</v>
      </c>
      <c r="P592" s="1">
        <v>300</v>
      </c>
      <c r="T592"/>
    </row>
    <row r="593" spans="9:20">
      <c r="I593" s="1" t="s">
        <v>50</v>
      </c>
      <c r="J593" s="1" t="s">
        <v>78</v>
      </c>
      <c r="K593" s="1" t="s">
        <v>17</v>
      </c>
      <c r="L593" s="1">
        <v>0.18</v>
      </c>
      <c r="M593" s="1">
        <v>0.22</v>
      </c>
      <c r="N593" s="1" t="s">
        <v>67</v>
      </c>
      <c r="O593" s="1" t="s">
        <v>674</v>
      </c>
      <c r="P593" s="1">
        <v>260</v>
      </c>
      <c r="T593"/>
    </row>
    <row r="594" spans="9:20">
      <c r="I594" s="1" t="s">
        <v>50</v>
      </c>
      <c r="J594" s="1" t="s">
        <v>81</v>
      </c>
      <c r="K594" s="1" t="s">
        <v>17</v>
      </c>
      <c r="L594" s="1">
        <v>0.18</v>
      </c>
      <c r="M594" s="1">
        <v>0.22</v>
      </c>
      <c r="N594" s="1" t="s">
        <v>67</v>
      </c>
      <c r="O594" s="1" t="s">
        <v>675</v>
      </c>
      <c r="P594" s="1">
        <v>220</v>
      </c>
      <c r="T594"/>
    </row>
    <row r="595" spans="9:20">
      <c r="I595" s="1" t="s">
        <v>50</v>
      </c>
      <c r="J595" s="1" t="s">
        <v>84</v>
      </c>
      <c r="K595" s="1" t="s">
        <v>17</v>
      </c>
      <c r="L595" s="1">
        <v>0.18</v>
      </c>
      <c r="M595" s="1">
        <v>0.22</v>
      </c>
      <c r="N595" s="1" t="s">
        <v>67</v>
      </c>
      <c r="O595" s="1" t="s">
        <v>676</v>
      </c>
      <c r="P595" s="1">
        <v>180</v>
      </c>
      <c r="T595"/>
    </row>
    <row r="596" spans="9:20">
      <c r="I596" s="1" t="s">
        <v>50</v>
      </c>
      <c r="J596" s="1" t="s">
        <v>1</v>
      </c>
      <c r="K596" s="1" t="s">
        <v>193</v>
      </c>
      <c r="L596" s="1">
        <v>0.18</v>
      </c>
      <c r="M596" s="1">
        <v>0.22</v>
      </c>
      <c r="N596" s="1" t="s">
        <v>67</v>
      </c>
      <c r="O596" s="1" t="s">
        <v>677</v>
      </c>
      <c r="P596" s="1">
        <v>550</v>
      </c>
      <c r="T596"/>
    </row>
    <row r="597" spans="9:20">
      <c r="I597" s="1" t="s">
        <v>50</v>
      </c>
      <c r="J597" s="1" t="s">
        <v>2</v>
      </c>
      <c r="K597" s="1" t="s">
        <v>193</v>
      </c>
      <c r="L597" s="1">
        <v>0.18</v>
      </c>
      <c r="M597" s="1">
        <v>0.22</v>
      </c>
      <c r="N597" s="1" t="s">
        <v>67</v>
      </c>
      <c r="O597" s="1" t="s">
        <v>678</v>
      </c>
      <c r="P597" s="1">
        <v>550</v>
      </c>
      <c r="T597"/>
    </row>
    <row r="598" spans="9:20">
      <c r="I598" s="1" t="s">
        <v>50</v>
      </c>
      <c r="J598" s="1" t="s">
        <v>3</v>
      </c>
      <c r="K598" s="1" t="s">
        <v>193</v>
      </c>
      <c r="L598" s="1">
        <v>0.18</v>
      </c>
      <c r="M598" s="1">
        <v>0.22</v>
      </c>
      <c r="N598" s="1" t="s">
        <v>67</v>
      </c>
      <c r="O598" s="1" t="s">
        <v>679</v>
      </c>
      <c r="P598" s="1">
        <v>550</v>
      </c>
      <c r="T598"/>
    </row>
    <row r="599" spans="9:20">
      <c r="I599" s="1" t="s">
        <v>50</v>
      </c>
      <c r="J599" s="1" t="s">
        <v>4</v>
      </c>
      <c r="K599" s="1" t="s">
        <v>193</v>
      </c>
      <c r="L599" s="1">
        <v>0.18</v>
      </c>
      <c r="M599" s="1">
        <v>0.22</v>
      </c>
      <c r="N599" s="1" t="s">
        <v>67</v>
      </c>
      <c r="O599" s="1" t="s">
        <v>680</v>
      </c>
      <c r="P599" s="1">
        <v>490</v>
      </c>
      <c r="T599"/>
    </row>
    <row r="600" spans="9:20">
      <c r="I600" s="1" t="s">
        <v>50</v>
      </c>
      <c r="J600" s="1" t="s">
        <v>5</v>
      </c>
      <c r="K600" s="1" t="s">
        <v>193</v>
      </c>
      <c r="L600" s="1">
        <v>0.18</v>
      </c>
      <c r="M600" s="1">
        <v>0.22</v>
      </c>
      <c r="N600" s="1" t="s">
        <v>67</v>
      </c>
      <c r="O600" s="1" t="s">
        <v>681</v>
      </c>
      <c r="P600" s="1">
        <v>490</v>
      </c>
      <c r="T600"/>
    </row>
    <row r="601" spans="9:20">
      <c r="I601" s="1" t="s">
        <v>50</v>
      </c>
      <c r="J601" s="1" t="s">
        <v>6</v>
      </c>
      <c r="K601" s="1" t="s">
        <v>193</v>
      </c>
      <c r="L601" s="1">
        <v>0.18</v>
      </c>
      <c r="M601" s="1">
        <v>0.22</v>
      </c>
      <c r="N601" s="1" t="s">
        <v>67</v>
      </c>
      <c r="O601" s="1" t="s">
        <v>682</v>
      </c>
      <c r="P601" s="1">
        <v>420</v>
      </c>
      <c r="T601"/>
    </row>
    <row r="602" spans="9:20">
      <c r="I602" s="1" t="s">
        <v>50</v>
      </c>
      <c r="J602" s="1" t="s">
        <v>7</v>
      </c>
      <c r="K602" s="1" t="s">
        <v>193</v>
      </c>
      <c r="L602" s="1">
        <v>0.18</v>
      </c>
      <c r="M602" s="1">
        <v>0.22</v>
      </c>
      <c r="N602" s="1" t="s">
        <v>67</v>
      </c>
      <c r="O602" s="1" t="s">
        <v>683</v>
      </c>
      <c r="P602" s="1">
        <v>350</v>
      </c>
      <c r="T602"/>
    </row>
    <row r="603" spans="9:20">
      <c r="I603" s="1" t="s">
        <v>50</v>
      </c>
      <c r="J603" s="1" t="s">
        <v>75</v>
      </c>
      <c r="K603" s="1" t="s">
        <v>193</v>
      </c>
      <c r="L603" s="1">
        <v>0.18</v>
      </c>
      <c r="M603" s="1">
        <v>0.22</v>
      </c>
      <c r="N603" s="1" t="s">
        <v>67</v>
      </c>
      <c r="O603" s="1" t="s">
        <v>684</v>
      </c>
      <c r="P603" s="1">
        <v>300</v>
      </c>
      <c r="T603"/>
    </row>
    <row r="604" spans="9:20">
      <c r="I604" s="1" t="s">
        <v>50</v>
      </c>
      <c r="J604" s="1" t="s">
        <v>78</v>
      </c>
      <c r="K604" s="1" t="s">
        <v>193</v>
      </c>
      <c r="L604" s="1">
        <v>0.18</v>
      </c>
      <c r="M604" s="1">
        <v>0.22</v>
      </c>
      <c r="N604" s="1" t="s">
        <v>67</v>
      </c>
      <c r="O604" s="1" t="s">
        <v>685</v>
      </c>
      <c r="P604" s="1">
        <v>260</v>
      </c>
      <c r="T604"/>
    </row>
    <row r="605" spans="9:20">
      <c r="I605" s="1" t="s">
        <v>50</v>
      </c>
      <c r="J605" s="1" t="s">
        <v>81</v>
      </c>
      <c r="K605" s="1" t="s">
        <v>193</v>
      </c>
      <c r="L605" s="1">
        <v>0.18</v>
      </c>
      <c r="M605" s="1">
        <v>0.22</v>
      </c>
      <c r="N605" s="1" t="s">
        <v>67</v>
      </c>
      <c r="O605" s="1" t="s">
        <v>686</v>
      </c>
      <c r="P605" s="1">
        <v>220</v>
      </c>
      <c r="T605"/>
    </row>
    <row r="606" spans="9:20">
      <c r="I606" s="1" t="s">
        <v>50</v>
      </c>
      <c r="J606" s="1" t="s">
        <v>84</v>
      </c>
      <c r="K606" s="1" t="s">
        <v>193</v>
      </c>
      <c r="L606" s="1">
        <v>0.18</v>
      </c>
      <c r="M606" s="1">
        <v>0.22</v>
      </c>
      <c r="N606" s="1" t="s">
        <v>67</v>
      </c>
      <c r="O606" s="1" t="s">
        <v>687</v>
      </c>
      <c r="P606" s="1">
        <v>180</v>
      </c>
      <c r="T606"/>
    </row>
    <row r="607" spans="9:20">
      <c r="I607" s="1" t="s">
        <v>50</v>
      </c>
      <c r="J607" s="1" t="s">
        <v>1</v>
      </c>
      <c r="K607" s="1" t="s">
        <v>8</v>
      </c>
      <c r="L607" s="1">
        <v>0.23</v>
      </c>
      <c r="M607" s="1">
        <v>0.28999999999999998</v>
      </c>
      <c r="N607" s="1" t="s">
        <v>69</v>
      </c>
      <c r="O607" s="1" t="s">
        <v>688</v>
      </c>
      <c r="P607" s="1">
        <v>1500</v>
      </c>
      <c r="T607"/>
    </row>
    <row r="608" spans="9:20">
      <c r="I608" s="1" t="s">
        <v>50</v>
      </c>
      <c r="J608" s="1" t="s">
        <v>2</v>
      </c>
      <c r="K608" s="1" t="s">
        <v>8</v>
      </c>
      <c r="L608" s="1">
        <v>0.23</v>
      </c>
      <c r="M608" s="1">
        <v>0.28999999999999998</v>
      </c>
      <c r="N608" s="1" t="s">
        <v>69</v>
      </c>
      <c r="O608" s="1" t="s">
        <v>689</v>
      </c>
      <c r="P608" s="1">
        <v>1500</v>
      </c>
      <c r="T608"/>
    </row>
    <row r="609" spans="9:20">
      <c r="I609" s="1" t="s">
        <v>50</v>
      </c>
      <c r="J609" s="1" t="s">
        <v>3</v>
      </c>
      <c r="K609" s="1" t="s">
        <v>8</v>
      </c>
      <c r="L609" s="1">
        <v>0.23</v>
      </c>
      <c r="M609" s="1">
        <v>0.28999999999999998</v>
      </c>
      <c r="N609" s="1" t="s">
        <v>69</v>
      </c>
      <c r="O609" s="1" t="s">
        <v>690</v>
      </c>
      <c r="P609" s="1">
        <v>1500</v>
      </c>
      <c r="T609"/>
    </row>
    <row r="610" spans="9:20">
      <c r="I610" s="1" t="s">
        <v>50</v>
      </c>
      <c r="J610" s="1" t="s">
        <v>4</v>
      </c>
      <c r="K610" s="1" t="s">
        <v>8</v>
      </c>
      <c r="L610" s="1">
        <v>0.23</v>
      </c>
      <c r="M610" s="1">
        <v>0.28999999999999998</v>
      </c>
      <c r="N610" s="1" t="s">
        <v>69</v>
      </c>
      <c r="O610" s="1" t="s">
        <v>691</v>
      </c>
      <c r="P610" s="1">
        <v>1320</v>
      </c>
      <c r="T610"/>
    </row>
    <row r="611" spans="9:20">
      <c r="I611" s="1" t="s">
        <v>50</v>
      </c>
      <c r="J611" s="1" t="s">
        <v>5</v>
      </c>
      <c r="K611" s="1" t="s">
        <v>8</v>
      </c>
      <c r="L611" s="1">
        <v>0.23</v>
      </c>
      <c r="M611" s="1">
        <v>0.28999999999999998</v>
      </c>
      <c r="N611" s="1" t="s">
        <v>69</v>
      </c>
      <c r="O611" s="1" t="s">
        <v>692</v>
      </c>
      <c r="P611" s="1">
        <v>1320</v>
      </c>
      <c r="T611"/>
    </row>
    <row r="612" spans="9:20">
      <c r="I612" s="1" t="s">
        <v>50</v>
      </c>
      <c r="J612" s="1" t="s">
        <v>6</v>
      </c>
      <c r="K612" s="1" t="s">
        <v>8</v>
      </c>
      <c r="L612" s="1">
        <v>0.23</v>
      </c>
      <c r="M612" s="1">
        <v>0.28999999999999998</v>
      </c>
      <c r="N612" s="1" t="s">
        <v>69</v>
      </c>
      <c r="O612" s="1" t="s">
        <v>693</v>
      </c>
      <c r="P612" s="1">
        <v>1100</v>
      </c>
      <c r="T612"/>
    </row>
    <row r="613" spans="9:20">
      <c r="I613" s="1" t="s">
        <v>50</v>
      </c>
      <c r="J613" s="1" t="s">
        <v>7</v>
      </c>
      <c r="K613" s="1" t="s">
        <v>8</v>
      </c>
      <c r="L613" s="1">
        <v>0.23</v>
      </c>
      <c r="M613" s="1">
        <v>0.28999999999999998</v>
      </c>
      <c r="N613" s="1" t="s">
        <v>69</v>
      </c>
      <c r="O613" s="1" t="s">
        <v>694</v>
      </c>
      <c r="P613" s="1">
        <v>930</v>
      </c>
      <c r="T613"/>
    </row>
    <row r="614" spans="9:20">
      <c r="I614" s="1" t="s">
        <v>50</v>
      </c>
      <c r="J614" s="1" t="s">
        <v>75</v>
      </c>
      <c r="K614" s="1" t="s">
        <v>8</v>
      </c>
      <c r="L614" s="1">
        <v>0.23</v>
      </c>
      <c r="M614" s="1">
        <v>0.28999999999999998</v>
      </c>
      <c r="N614" s="1" t="s">
        <v>69</v>
      </c>
      <c r="O614" s="1" t="s">
        <v>695</v>
      </c>
      <c r="P614" s="1">
        <v>810</v>
      </c>
      <c r="T614"/>
    </row>
    <row r="615" spans="9:20">
      <c r="I615" s="1" t="s">
        <v>50</v>
      </c>
      <c r="J615" s="1" t="s">
        <v>78</v>
      </c>
      <c r="K615" s="1" t="s">
        <v>8</v>
      </c>
      <c r="L615" s="1">
        <v>0.23</v>
      </c>
      <c r="M615" s="1">
        <v>0.28999999999999998</v>
      </c>
      <c r="N615" s="1" t="s">
        <v>69</v>
      </c>
      <c r="O615" s="1" t="s">
        <v>696</v>
      </c>
      <c r="P615" s="1">
        <v>680</v>
      </c>
      <c r="T615"/>
    </row>
    <row r="616" spans="9:20">
      <c r="I616" s="1" t="s">
        <v>50</v>
      </c>
      <c r="J616" s="1" t="s">
        <v>81</v>
      </c>
      <c r="K616" s="1" t="s">
        <v>8</v>
      </c>
      <c r="L616" s="1">
        <v>0.23</v>
      </c>
      <c r="M616" s="1">
        <v>0.28999999999999998</v>
      </c>
      <c r="N616" s="1" t="s">
        <v>69</v>
      </c>
      <c r="O616" s="1" t="s">
        <v>697</v>
      </c>
      <c r="P616" s="1">
        <v>550</v>
      </c>
      <c r="T616"/>
    </row>
    <row r="617" spans="9:20">
      <c r="I617" s="1" t="s">
        <v>50</v>
      </c>
      <c r="J617" s="1" t="s">
        <v>84</v>
      </c>
      <c r="K617" s="1" t="s">
        <v>8</v>
      </c>
      <c r="L617" s="1">
        <v>0.23</v>
      </c>
      <c r="M617" s="1">
        <v>0.28999999999999998</v>
      </c>
      <c r="N617" s="1" t="s">
        <v>69</v>
      </c>
      <c r="O617" s="1" t="s">
        <v>698</v>
      </c>
      <c r="P617" s="1">
        <v>470</v>
      </c>
      <c r="T617"/>
    </row>
    <row r="618" spans="9:20">
      <c r="I618" s="1" t="s">
        <v>50</v>
      </c>
      <c r="J618" s="1" t="s">
        <v>1</v>
      </c>
      <c r="K618" s="1" t="s">
        <v>9</v>
      </c>
      <c r="L618" s="1">
        <v>0.23</v>
      </c>
      <c r="M618" s="1">
        <v>0.28999999999999998</v>
      </c>
      <c r="N618" s="1" t="s">
        <v>69</v>
      </c>
      <c r="O618" s="1" t="s">
        <v>699</v>
      </c>
      <c r="P618" s="1">
        <v>1500</v>
      </c>
      <c r="T618"/>
    </row>
    <row r="619" spans="9:20">
      <c r="I619" s="1" t="s">
        <v>50</v>
      </c>
      <c r="J619" s="1" t="s">
        <v>2</v>
      </c>
      <c r="K619" s="1" t="s">
        <v>9</v>
      </c>
      <c r="L619" s="1">
        <v>0.23</v>
      </c>
      <c r="M619" s="1">
        <v>0.28999999999999998</v>
      </c>
      <c r="N619" s="1" t="s">
        <v>69</v>
      </c>
      <c r="O619" s="1" t="s">
        <v>700</v>
      </c>
      <c r="P619" s="1">
        <v>1500</v>
      </c>
      <c r="T619"/>
    </row>
    <row r="620" spans="9:20">
      <c r="I620" s="1" t="s">
        <v>50</v>
      </c>
      <c r="J620" s="1" t="s">
        <v>3</v>
      </c>
      <c r="K620" s="1" t="s">
        <v>9</v>
      </c>
      <c r="L620" s="1">
        <v>0.23</v>
      </c>
      <c r="M620" s="1">
        <v>0.28999999999999998</v>
      </c>
      <c r="N620" s="1" t="s">
        <v>69</v>
      </c>
      <c r="O620" s="1" t="s">
        <v>701</v>
      </c>
      <c r="P620" s="1">
        <v>1500</v>
      </c>
      <c r="T620"/>
    </row>
    <row r="621" spans="9:20">
      <c r="I621" s="1" t="s">
        <v>50</v>
      </c>
      <c r="J621" s="1" t="s">
        <v>4</v>
      </c>
      <c r="K621" s="1" t="s">
        <v>9</v>
      </c>
      <c r="L621" s="1">
        <v>0.23</v>
      </c>
      <c r="M621" s="1">
        <v>0.28999999999999998</v>
      </c>
      <c r="N621" s="1" t="s">
        <v>69</v>
      </c>
      <c r="O621" s="1" t="s">
        <v>702</v>
      </c>
      <c r="P621" s="1">
        <v>1320</v>
      </c>
      <c r="T621"/>
    </row>
    <row r="622" spans="9:20">
      <c r="I622" s="1" t="s">
        <v>50</v>
      </c>
      <c r="J622" s="1" t="s">
        <v>5</v>
      </c>
      <c r="K622" s="1" t="s">
        <v>9</v>
      </c>
      <c r="L622" s="1">
        <v>0.23</v>
      </c>
      <c r="M622" s="1">
        <v>0.28999999999999998</v>
      </c>
      <c r="N622" s="1" t="s">
        <v>69</v>
      </c>
      <c r="O622" s="1" t="s">
        <v>703</v>
      </c>
      <c r="P622" s="1">
        <v>1320</v>
      </c>
      <c r="T622"/>
    </row>
    <row r="623" spans="9:20">
      <c r="I623" s="1" t="s">
        <v>50</v>
      </c>
      <c r="J623" s="1" t="s">
        <v>6</v>
      </c>
      <c r="K623" s="1" t="s">
        <v>9</v>
      </c>
      <c r="L623" s="1">
        <v>0.23</v>
      </c>
      <c r="M623" s="1">
        <v>0.28999999999999998</v>
      </c>
      <c r="N623" s="1" t="s">
        <v>69</v>
      </c>
      <c r="O623" s="1" t="s">
        <v>704</v>
      </c>
      <c r="P623" s="1">
        <v>1100</v>
      </c>
      <c r="T623"/>
    </row>
    <row r="624" spans="9:20">
      <c r="I624" s="1" t="s">
        <v>50</v>
      </c>
      <c r="J624" s="1" t="s">
        <v>7</v>
      </c>
      <c r="K624" s="1" t="s">
        <v>9</v>
      </c>
      <c r="L624" s="1">
        <v>0.23</v>
      </c>
      <c r="M624" s="1">
        <v>0.28999999999999998</v>
      </c>
      <c r="N624" s="1" t="s">
        <v>69</v>
      </c>
      <c r="O624" s="1" t="s">
        <v>705</v>
      </c>
      <c r="P624" s="1">
        <v>930</v>
      </c>
      <c r="T624"/>
    </row>
    <row r="625" spans="9:20">
      <c r="I625" s="1" t="s">
        <v>50</v>
      </c>
      <c r="J625" s="1" t="s">
        <v>75</v>
      </c>
      <c r="K625" s="1" t="s">
        <v>9</v>
      </c>
      <c r="L625" s="1">
        <v>0.23</v>
      </c>
      <c r="M625" s="1">
        <v>0.28999999999999998</v>
      </c>
      <c r="N625" s="1" t="s">
        <v>69</v>
      </c>
      <c r="O625" s="1" t="s">
        <v>706</v>
      </c>
      <c r="P625" s="1">
        <v>810</v>
      </c>
      <c r="T625"/>
    </row>
    <row r="626" spans="9:20">
      <c r="I626" s="1" t="s">
        <v>50</v>
      </c>
      <c r="J626" s="1" t="s">
        <v>78</v>
      </c>
      <c r="K626" s="1" t="s">
        <v>9</v>
      </c>
      <c r="L626" s="1">
        <v>0.23</v>
      </c>
      <c r="M626" s="1">
        <v>0.28999999999999998</v>
      </c>
      <c r="N626" s="1" t="s">
        <v>69</v>
      </c>
      <c r="O626" s="1" t="s">
        <v>707</v>
      </c>
      <c r="P626" s="1">
        <v>680</v>
      </c>
      <c r="T626"/>
    </row>
    <row r="627" spans="9:20">
      <c r="I627" s="1" t="s">
        <v>50</v>
      </c>
      <c r="J627" s="1" t="s">
        <v>81</v>
      </c>
      <c r="K627" s="1" t="s">
        <v>9</v>
      </c>
      <c r="L627" s="1">
        <v>0.23</v>
      </c>
      <c r="M627" s="1">
        <v>0.28999999999999998</v>
      </c>
      <c r="N627" s="1" t="s">
        <v>69</v>
      </c>
      <c r="O627" s="1" t="s">
        <v>708</v>
      </c>
      <c r="P627" s="1">
        <v>550</v>
      </c>
      <c r="T627"/>
    </row>
    <row r="628" spans="9:20">
      <c r="I628" s="1" t="s">
        <v>50</v>
      </c>
      <c r="J628" s="1" t="s">
        <v>84</v>
      </c>
      <c r="K628" s="1" t="s">
        <v>9</v>
      </c>
      <c r="L628" s="1">
        <v>0.23</v>
      </c>
      <c r="M628" s="1">
        <v>0.28999999999999998</v>
      </c>
      <c r="N628" s="1" t="s">
        <v>69</v>
      </c>
      <c r="O628" s="1" t="s">
        <v>709</v>
      </c>
      <c r="P628" s="1">
        <v>470</v>
      </c>
      <c r="T628"/>
    </row>
    <row r="629" spans="9:20">
      <c r="I629" s="1" t="s">
        <v>50</v>
      </c>
      <c r="J629" s="1" t="s">
        <v>1</v>
      </c>
      <c r="K629" s="1" t="s">
        <v>10</v>
      </c>
      <c r="L629" s="1">
        <v>0.23</v>
      </c>
      <c r="M629" s="1">
        <v>0.28999999999999998</v>
      </c>
      <c r="N629" s="1" t="s">
        <v>69</v>
      </c>
      <c r="O629" s="1" t="s">
        <v>710</v>
      </c>
      <c r="P629" s="1">
        <v>1500</v>
      </c>
      <c r="T629"/>
    </row>
    <row r="630" spans="9:20">
      <c r="I630" s="1" t="s">
        <v>50</v>
      </c>
      <c r="J630" s="1" t="s">
        <v>2</v>
      </c>
      <c r="K630" s="1" t="s">
        <v>10</v>
      </c>
      <c r="L630" s="1">
        <v>0.23</v>
      </c>
      <c r="M630" s="1">
        <v>0.28999999999999998</v>
      </c>
      <c r="N630" s="1" t="s">
        <v>69</v>
      </c>
      <c r="O630" s="1" t="s">
        <v>711</v>
      </c>
      <c r="P630" s="1">
        <v>1500</v>
      </c>
      <c r="T630"/>
    </row>
    <row r="631" spans="9:20">
      <c r="I631" s="1" t="s">
        <v>50</v>
      </c>
      <c r="J631" s="1" t="s">
        <v>3</v>
      </c>
      <c r="K631" s="1" t="s">
        <v>10</v>
      </c>
      <c r="L631" s="1">
        <v>0.23</v>
      </c>
      <c r="M631" s="1">
        <v>0.28999999999999998</v>
      </c>
      <c r="N631" s="1" t="s">
        <v>69</v>
      </c>
      <c r="O631" s="1" t="s">
        <v>712</v>
      </c>
      <c r="P631" s="1">
        <v>1500</v>
      </c>
      <c r="T631"/>
    </row>
    <row r="632" spans="9:20">
      <c r="I632" s="1" t="s">
        <v>50</v>
      </c>
      <c r="J632" s="1" t="s">
        <v>4</v>
      </c>
      <c r="K632" s="1" t="s">
        <v>10</v>
      </c>
      <c r="L632" s="1">
        <v>0.23</v>
      </c>
      <c r="M632" s="1">
        <v>0.28999999999999998</v>
      </c>
      <c r="N632" s="1" t="s">
        <v>69</v>
      </c>
      <c r="O632" s="1" t="s">
        <v>713</v>
      </c>
      <c r="P632" s="1">
        <v>1320</v>
      </c>
      <c r="T632"/>
    </row>
    <row r="633" spans="9:20">
      <c r="I633" s="1" t="s">
        <v>50</v>
      </c>
      <c r="J633" s="1" t="s">
        <v>5</v>
      </c>
      <c r="K633" s="1" t="s">
        <v>10</v>
      </c>
      <c r="L633" s="1">
        <v>0.23</v>
      </c>
      <c r="M633" s="1">
        <v>0.28999999999999998</v>
      </c>
      <c r="N633" s="1" t="s">
        <v>69</v>
      </c>
      <c r="O633" s="1" t="s">
        <v>714</v>
      </c>
      <c r="P633" s="1">
        <v>1320</v>
      </c>
      <c r="T633"/>
    </row>
    <row r="634" spans="9:20">
      <c r="I634" s="1" t="s">
        <v>50</v>
      </c>
      <c r="J634" s="1" t="s">
        <v>6</v>
      </c>
      <c r="K634" s="1" t="s">
        <v>10</v>
      </c>
      <c r="L634" s="1">
        <v>0.23</v>
      </c>
      <c r="M634" s="1">
        <v>0.28999999999999998</v>
      </c>
      <c r="N634" s="1" t="s">
        <v>69</v>
      </c>
      <c r="O634" s="1" t="s">
        <v>715</v>
      </c>
      <c r="P634" s="1">
        <v>1100</v>
      </c>
      <c r="T634"/>
    </row>
    <row r="635" spans="9:20">
      <c r="I635" s="1" t="s">
        <v>50</v>
      </c>
      <c r="J635" s="1" t="s">
        <v>7</v>
      </c>
      <c r="K635" s="1" t="s">
        <v>10</v>
      </c>
      <c r="L635" s="1">
        <v>0.23</v>
      </c>
      <c r="M635" s="1">
        <v>0.28999999999999998</v>
      </c>
      <c r="N635" s="1" t="s">
        <v>69</v>
      </c>
      <c r="O635" s="1" t="s">
        <v>716</v>
      </c>
      <c r="P635" s="1">
        <v>930</v>
      </c>
      <c r="T635"/>
    </row>
    <row r="636" spans="9:20">
      <c r="I636" s="1" t="s">
        <v>50</v>
      </c>
      <c r="J636" s="1" t="s">
        <v>75</v>
      </c>
      <c r="K636" s="1" t="s">
        <v>10</v>
      </c>
      <c r="L636" s="1">
        <v>0.23</v>
      </c>
      <c r="M636" s="1">
        <v>0.28999999999999998</v>
      </c>
      <c r="N636" s="1" t="s">
        <v>69</v>
      </c>
      <c r="O636" s="1" t="s">
        <v>717</v>
      </c>
      <c r="P636" s="1">
        <v>810</v>
      </c>
      <c r="T636"/>
    </row>
    <row r="637" spans="9:20">
      <c r="I637" s="1" t="s">
        <v>50</v>
      </c>
      <c r="J637" s="1" t="s">
        <v>78</v>
      </c>
      <c r="K637" s="1" t="s">
        <v>10</v>
      </c>
      <c r="L637" s="1">
        <v>0.23</v>
      </c>
      <c r="M637" s="1">
        <v>0.28999999999999998</v>
      </c>
      <c r="N637" s="1" t="s">
        <v>69</v>
      </c>
      <c r="O637" s="1" t="s">
        <v>718</v>
      </c>
      <c r="P637" s="1">
        <v>680</v>
      </c>
      <c r="T637"/>
    </row>
    <row r="638" spans="9:20">
      <c r="I638" s="1" t="s">
        <v>50</v>
      </c>
      <c r="J638" s="1" t="s">
        <v>81</v>
      </c>
      <c r="K638" s="1" t="s">
        <v>10</v>
      </c>
      <c r="L638" s="1">
        <v>0.23</v>
      </c>
      <c r="M638" s="1">
        <v>0.28999999999999998</v>
      </c>
      <c r="N638" s="1" t="s">
        <v>69</v>
      </c>
      <c r="O638" s="1" t="s">
        <v>719</v>
      </c>
      <c r="P638" s="1">
        <v>550</v>
      </c>
      <c r="T638"/>
    </row>
    <row r="639" spans="9:20">
      <c r="I639" s="1" t="s">
        <v>50</v>
      </c>
      <c r="J639" s="1" t="s">
        <v>84</v>
      </c>
      <c r="K639" s="1" t="s">
        <v>10</v>
      </c>
      <c r="L639" s="1">
        <v>0.23</v>
      </c>
      <c r="M639" s="1">
        <v>0.28999999999999998</v>
      </c>
      <c r="N639" s="1" t="s">
        <v>69</v>
      </c>
      <c r="O639" s="1" t="s">
        <v>720</v>
      </c>
      <c r="P639" s="1">
        <v>470</v>
      </c>
      <c r="T639"/>
    </row>
    <row r="640" spans="9:20">
      <c r="I640" s="1" t="s">
        <v>50</v>
      </c>
      <c r="J640" s="1" t="s">
        <v>1</v>
      </c>
      <c r="K640" s="1" t="s">
        <v>11</v>
      </c>
      <c r="L640" s="1">
        <v>0.23</v>
      </c>
      <c r="M640" s="1">
        <v>0.28999999999999998</v>
      </c>
      <c r="N640" s="1" t="s">
        <v>69</v>
      </c>
      <c r="O640" s="1" t="s">
        <v>721</v>
      </c>
      <c r="P640" s="1">
        <v>1240</v>
      </c>
      <c r="T640"/>
    </row>
    <row r="641" spans="9:20">
      <c r="I641" s="1" t="s">
        <v>50</v>
      </c>
      <c r="J641" s="1" t="s">
        <v>2</v>
      </c>
      <c r="K641" s="1" t="s">
        <v>11</v>
      </c>
      <c r="L641" s="1">
        <v>0.23</v>
      </c>
      <c r="M641" s="1">
        <v>0.28999999999999998</v>
      </c>
      <c r="N641" s="1" t="s">
        <v>69</v>
      </c>
      <c r="O641" s="1" t="s">
        <v>722</v>
      </c>
      <c r="P641" s="1">
        <v>1240</v>
      </c>
      <c r="T641"/>
    </row>
    <row r="642" spans="9:20">
      <c r="I642" s="1" t="s">
        <v>50</v>
      </c>
      <c r="J642" s="1" t="s">
        <v>3</v>
      </c>
      <c r="K642" s="1" t="s">
        <v>11</v>
      </c>
      <c r="L642" s="1">
        <v>0.23</v>
      </c>
      <c r="M642" s="1">
        <v>0.28999999999999998</v>
      </c>
      <c r="N642" s="1" t="s">
        <v>69</v>
      </c>
      <c r="O642" s="1" t="s">
        <v>723</v>
      </c>
      <c r="P642" s="1">
        <v>1240</v>
      </c>
      <c r="T642"/>
    </row>
    <row r="643" spans="9:20">
      <c r="I643" s="1" t="s">
        <v>50</v>
      </c>
      <c r="J643" s="1" t="s">
        <v>4</v>
      </c>
      <c r="K643" s="1" t="s">
        <v>11</v>
      </c>
      <c r="L643" s="1">
        <v>0.23</v>
      </c>
      <c r="M643" s="1">
        <v>0.28999999999999998</v>
      </c>
      <c r="N643" s="1" t="s">
        <v>69</v>
      </c>
      <c r="O643" s="1" t="s">
        <v>724</v>
      </c>
      <c r="P643" s="1">
        <v>1080</v>
      </c>
      <c r="T643"/>
    </row>
    <row r="644" spans="9:20">
      <c r="I644" s="1" t="s">
        <v>50</v>
      </c>
      <c r="J644" s="1" t="s">
        <v>5</v>
      </c>
      <c r="K644" s="1" t="s">
        <v>11</v>
      </c>
      <c r="L644" s="1">
        <v>0.23</v>
      </c>
      <c r="M644" s="1">
        <v>0.28999999999999998</v>
      </c>
      <c r="N644" s="1" t="s">
        <v>69</v>
      </c>
      <c r="O644" s="1" t="s">
        <v>725</v>
      </c>
      <c r="P644" s="1">
        <v>1080</v>
      </c>
      <c r="T644"/>
    </row>
    <row r="645" spans="9:20">
      <c r="I645" s="1" t="s">
        <v>50</v>
      </c>
      <c r="J645" s="1" t="s">
        <v>6</v>
      </c>
      <c r="K645" s="1" t="s">
        <v>11</v>
      </c>
      <c r="L645" s="1">
        <v>0.23</v>
      </c>
      <c r="M645" s="1">
        <v>0.28999999999999998</v>
      </c>
      <c r="N645" s="1" t="s">
        <v>69</v>
      </c>
      <c r="O645" s="1" t="s">
        <v>726</v>
      </c>
      <c r="P645" s="1">
        <v>940</v>
      </c>
      <c r="T645"/>
    </row>
    <row r="646" spans="9:20">
      <c r="I646" s="1" t="s">
        <v>50</v>
      </c>
      <c r="J646" s="1" t="s">
        <v>7</v>
      </c>
      <c r="K646" s="1" t="s">
        <v>11</v>
      </c>
      <c r="L646" s="1">
        <v>0.23</v>
      </c>
      <c r="M646" s="1">
        <v>0.28999999999999998</v>
      </c>
      <c r="N646" s="1" t="s">
        <v>69</v>
      </c>
      <c r="O646" s="1" t="s">
        <v>727</v>
      </c>
      <c r="P646" s="1">
        <v>800</v>
      </c>
      <c r="T646"/>
    </row>
    <row r="647" spans="9:20">
      <c r="I647" s="1" t="s">
        <v>50</v>
      </c>
      <c r="J647" s="1" t="s">
        <v>75</v>
      </c>
      <c r="K647" s="1" t="s">
        <v>11</v>
      </c>
      <c r="L647" s="1">
        <v>0.23</v>
      </c>
      <c r="M647" s="1">
        <v>0.28999999999999998</v>
      </c>
      <c r="N647" s="1" t="s">
        <v>69</v>
      </c>
      <c r="O647" s="1" t="s">
        <v>728</v>
      </c>
      <c r="P647" s="1">
        <v>710</v>
      </c>
      <c r="T647"/>
    </row>
    <row r="648" spans="9:20">
      <c r="I648" s="1" t="s">
        <v>50</v>
      </c>
      <c r="J648" s="1" t="s">
        <v>78</v>
      </c>
      <c r="K648" s="1" t="s">
        <v>11</v>
      </c>
      <c r="L648" s="1">
        <v>0.23</v>
      </c>
      <c r="M648" s="1">
        <v>0.28999999999999998</v>
      </c>
      <c r="N648" s="1" t="s">
        <v>69</v>
      </c>
      <c r="O648" s="1" t="s">
        <v>729</v>
      </c>
      <c r="P648" s="1">
        <v>610</v>
      </c>
      <c r="T648"/>
    </row>
    <row r="649" spans="9:20">
      <c r="I649" s="1" t="s">
        <v>50</v>
      </c>
      <c r="J649" s="1" t="s">
        <v>81</v>
      </c>
      <c r="K649" s="1" t="s">
        <v>11</v>
      </c>
      <c r="L649" s="1">
        <v>0.23</v>
      </c>
      <c r="M649" s="1">
        <v>0.28999999999999998</v>
      </c>
      <c r="N649" s="1" t="s">
        <v>69</v>
      </c>
      <c r="O649" s="1" t="s">
        <v>730</v>
      </c>
      <c r="P649" s="1">
        <v>500</v>
      </c>
      <c r="T649"/>
    </row>
    <row r="650" spans="9:20">
      <c r="I650" s="1" t="s">
        <v>50</v>
      </c>
      <c r="J650" s="1" t="s">
        <v>84</v>
      </c>
      <c r="K650" s="1" t="s">
        <v>11</v>
      </c>
      <c r="L650" s="1">
        <v>0.23</v>
      </c>
      <c r="M650" s="1">
        <v>0.28999999999999998</v>
      </c>
      <c r="N650" s="1" t="s">
        <v>69</v>
      </c>
      <c r="O650" s="1" t="s">
        <v>731</v>
      </c>
      <c r="P650" s="1">
        <v>430</v>
      </c>
      <c r="T650"/>
    </row>
    <row r="651" spans="9:20">
      <c r="I651" s="1" t="s">
        <v>50</v>
      </c>
      <c r="J651" s="1" t="s">
        <v>1</v>
      </c>
      <c r="K651" s="1" t="s">
        <v>12</v>
      </c>
      <c r="L651" s="1">
        <v>0.23</v>
      </c>
      <c r="M651" s="1">
        <v>0.28999999999999998</v>
      </c>
      <c r="N651" s="1" t="s">
        <v>69</v>
      </c>
      <c r="O651" s="1" t="s">
        <v>732</v>
      </c>
      <c r="P651" s="1">
        <v>1240</v>
      </c>
      <c r="T651"/>
    </row>
    <row r="652" spans="9:20">
      <c r="I652" s="1" t="s">
        <v>50</v>
      </c>
      <c r="J652" s="1" t="s">
        <v>2</v>
      </c>
      <c r="K652" s="1" t="s">
        <v>12</v>
      </c>
      <c r="L652" s="1">
        <v>0.23</v>
      </c>
      <c r="M652" s="1">
        <v>0.28999999999999998</v>
      </c>
      <c r="N652" s="1" t="s">
        <v>69</v>
      </c>
      <c r="O652" s="1" t="s">
        <v>733</v>
      </c>
      <c r="P652" s="1">
        <v>1240</v>
      </c>
      <c r="T652"/>
    </row>
    <row r="653" spans="9:20">
      <c r="I653" s="1" t="s">
        <v>50</v>
      </c>
      <c r="J653" s="1" t="s">
        <v>3</v>
      </c>
      <c r="K653" s="1" t="s">
        <v>12</v>
      </c>
      <c r="L653" s="1">
        <v>0.23</v>
      </c>
      <c r="M653" s="1">
        <v>0.28999999999999998</v>
      </c>
      <c r="N653" s="1" t="s">
        <v>69</v>
      </c>
      <c r="O653" s="1" t="s">
        <v>734</v>
      </c>
      <c r="P653" s="1">
        <v>1240</v>
      </c>
      <c r="T653"/>
    </row>
    <row r="654" spans="9:20">
      <c r="I654" s="1" t="s">
        <v>50</v>
      </c>
      <c r="J654" s="1" t="s">
        <v>4</v>
      </c>
      <c r="K654" s="1" t="s">
        <v>12</v>
      </c>
      <c r="L654" s="1">
        <v>0.23</v>
      </c>
      <c r="M654" s="1">
        <v>0.28999999999999998</v>
      </c>
      <c r="N654" s="1" t="s">
        <v>69</v>
      </c>
      <c r="O654" s="1" t="s">
        <v>735</v>
      </c>
      <c r="P654" s="1">
        <v>1080</v>
      </c>
      <c r="T654"/>
    </row>
    <row r="655" spans="9:20">
      <c r="I655" s="1" t="s">
        <v>50</v>
      </c>
      <c r="J655" s="1" t="s">
        <v>5</v>
      </c>
      <c r="K655" s="1" t="s">
        <v>12</v>
      </c>
      <c r="L655" s="1">
        <v>0.23</v>
      </c>
      <c r="M655" s="1">
        <v>0.28999999999999998</v>
      </c>
      <c r="N655" s="1" t="s">
        <v>69</v>
      </c>
      <c r="O655" s="1" t="s">
        <v>736</v>
      </c>
      <c r="P655" s="1">
        <v>1080</v>
      </c>
      <c r="T655"/>
    </row>
    <row r="656" spans="9:20">
      <c r="I656" s="1" t="s">
        <v>50</v>
      </c>
      <c r="J656" s="1" t="s">
        <v>6</v>
      </c>
      <c r="K656" s="1" t="s">
        <v>12</v>
      </c>
      <c r="L656" s="1">
        <v>0.23</v>
      </c>
      <c r="M656" s="1">
        <v>0.28999999999999998</v>
      </c>
      <c r="N656" s="1" t="s">
        <v>69</v>
      </c>
      <c r="O656" s="1" t="s">
        <v>737</v>
      </c>
      <c r="P656" s="1">
        <v>940</v>
      </c>
      <c r="T656"/>
    </row>
    <row r="657" spans="9:20">
      <c r="I657" s="1" t="s">
        <v>50</v>
      </c>
      <c r="J657" s="1" t="s">
        <v>7</v>
      </c>
      <c r="K657" s="1" t="s">
        <v>12</v>
      </c>
      <c r="L657" s="1">
        <v>0.23</v>
      </c>
      <c r="M657" s="1">
        <v>0.28999999999999998</v>
      </c>
      <c r="N657" s="1" t="s">
        <v>69</v>
      </c>
      <c r="O657" s="1" t="s">
        <v>738</v>
      </c>
      <c r="P657" s="1">
        <v>800</v>
      </c>
      <c r="T657"/>
    </row>
    <row r="658" spans="9:20">
      <c r="I658" s="1" t="s">
        <v>50</v>
      </c>
      <c r="J658" s="1" t="s">
        <v>75</v>
      </c>
      <c r="K658" s="1" t="s">
        <v>12</v>
      </c>
      <c r="L658" s="1">
        <v>0.23</v>
      </c>
      <c r="M658" s="1">
        <v>0.28999999999999998</v>
      </c>
      <c r="N658" s="1" t="s">
        <v>69</v>
      </c>
      <c r="O658" s="1" t="s">
        <v>739</v>
      </c>
      <c r="P658" s="1">
        <v>710</v>
      </c>
      <c r="T658"/>
    </row>
    <row r="659" spans="9:20">
      <c r="I659" s="1" t="s">
        <v>50</v>
      </c>
      <c r="J659" s="1" t="s">
        <v>78</v>
      </c>
      <c r="K659" s="1" t="s">
        <v>12</v>
      </c>
      <c r="L659" s="1">
        <v>0.23</v>
      </c>
      <c r="M659" s="1">
        <v>0.28999999999999998</v>
      </c>
      <c r="N659" s="1" t="s">
        <v>69</v>
      </c>
      <c r="O659" s="1" t="s">
        <v>740</v>
      </c>
      <c r="P659" s="1">
        <v>610</v>
      </c>
      <c r="T659"/>
    </row>
    <row r="660" spans="9:20">
      <c r="I660" s="1" t="s">
        <v>50</v>
      </c>
      <c r="J660" s="1" t="s">
        <v>81</v>
      </c>
      <c r="K660" s="1" t="s">
        <v>12</v>
      </c>
      <c r="L660" s="1">
        <v>0.23</v>
      </c>
      <c r="M660" s="1">
        <v>0.28999999999999998</v>
      </c>
      <c r="N660" s="1" t="s">
        <v>69</v>
      </c>
      <c r="O660" s="1" t="s">
        <v>741</v>
      </c>
      <c r="P660" s="1">
        <v>500</v>
      </c>
      <c r="T660"/>
    </row>
    <row r="661" spans="9:20">
      <c r="I661" s="1" t="s">
        <v>50</v>
      </c>
      <c r="J661" s="1" t="s">
        <v>84</v>
      </c>
      <c r="K661" s="1" t="s">
        <v>12</v>
      </c>
      <c r="L661" s="1">
        <v>0.23</v>
      </c>
      <c r="M661" s="1">
        <v>0.28999999999999998</v>
      </c>
      <c r="N661" s="1" t="s">
        <v>69</v>
      </c>
      <c r="O661" s="1" t="s">
        <v>742</v>
      </c>
      <c r="P661" s="1">
        <v>430</v>
      </c>
      <c r="T661"/>
    </row>
    <row r="662" spans="9:20">
      <c r="I662" s="1" t="s">
        <v>50</v>
      </c>
      <c r="J662" s="1" t="s">
        <v>1</v>
      </c>
      <c r="K662" s="1" t="s">
        <v>13</v>
      </c>
      <c r="L662" s="1">
        <v>0.23</v>
      </c>
      <c r="M662" s="1">
        <v>0.28999999999999998</v>
      </c>
      <c r="N662" s="1" t="s">
        <v>69</v>
      </c>
      <c r="O662" s="1" t="s">
        <v>743</v>
      </c>
      <c r="P662" s="1">
        <v>1010</v>
      </c>
      <c r="T662"/>
    </row>
    <row r="663" spans="9:20">
      <c r="I663" s="1" t="s">
        <v>50</v>
      </c>
      <c r="J663" s="1" t="s">
        <v>2</v>
      </c>
      <c r="K663" s="1" t="s">
        <v>13</v>
      </c>
      <c r="L663" s="1">
        <v>0.23</v>
      </c>
      <c r="M663" s="1">
        <v>0.28999999999999998</v>
      </c>
      <c r="N663" s="1" t="s">
        <v>69</v>
      </c>
      <c r="O663" s="1" t="s">
        <v>744</v>
      </c>
      <c r="P663" s="1">
        <v>1010</v>
      </c>
      <c r="T663"/>
    </row>
    <row r="664" spans="9:20">
      <c r="I664" s="1" t="s">
        <v>50</v>
      </c>
      <c r="J664" s="1" t="s">
        <v>3</v>
      </c>
      <c r="K664" s="1" t="s">
        <v>13</v>
      </c>
      <c r="L664" s="1">
        <v>0.23</v>
      </c>
      <c r="M664" s="1">
        <v>0.28999999999999998</v>
      </c>
      <c r="N664" s="1" t="s">
        <v>69</v>
      </c>
      <c r="O664" s="1" t="s">
        <v>745</v>
      </c>
      <c r="P664" s="1">
        <v>1010</v>
      </c>
      <c r="T664"/>
    </row>
    <row r="665" spans="9:20">
      <c r="I665" s="1" t="s">
        <v>50</v>
      </c>
      <c r="J665" s="1" t="s">
        <v>4</v>
      </c>
      <c r="K665" s="1" t="s">
        <v>13</v>
      </c>
      <c r="L665" s="1">
        <v>0.23</v>
      </c>
      <c r="M665" s="1">
        <v>0.28999999999999998</v>
      </c>
      <c r="N665" s="1" t="s">
        <v>69</v>
      </c>
      <c r="O665" s="1" t="s">
        <v>746</v>
      </c>
      <c r="P665" s="1">
        <v>860</v>
      </c>
      <c r="T665"/>
    </row>
    <row r="666" spans="9:20">
      <c r="I666" s="1" t="s">
        <v>50</v>
      </c>
      <c r="J666" s="1" t="s">
        <v>5</v>
      </c>
      <c r="K666" s="1" t="s">
        <v>13</v>
      </c>
      <c r="L666" s="1">
        <v>0.23</v>
      </c>
      <c r="M666" s="1">
        <v>0.28999999999999998</v>
      </c>
      <c r="N666" s="1" t="s">
        <v>69</v>
      </c>
      <c r="O666" s="1" t="s">
        <v>747</v>
      </c>
      <c r="P666" s="1">
        <v>860</v>
      </c>
      <c r="T666"/>
    </row>
    <row r="667" spans="9:20">
      <c r="I667" s="1" t="s">
        <v>50</v>
      </c>
      <c r="J667" s="1" t="s">
        <v>6</v>
      </c>
      <c r="K667" s="1" t="s">
        <v>13</v>
      </c>
      <c r="L667" s="1">
        <v>0.23</v>
      </c>
      <c r="M667" s="1">
        <v>0.28999999999999998</v>
      </c>
      <c r="N667" s="1" t="s">
        <v>69</v>
      </c>
      <c r="O667" s="1" t="s">
        <v>748</v>
      </c>
      <c r="P667" s="1">
        <v>750</v>
      </c>
      <c r="T667"/>
    </row>
    <row r="668" spans="9:20">
      <c r="I668" s="1" t="s">
        <v>50</v>
      </c>
      <c r="J668" s="1" t="s">
        <v>7</v>
      </c>
      <c r="K668" s="1" t="s">
        <v>13</v>
      </c>
      <c r="L668" s="1">
        <v>0.23</v>
      </c>
      <c r="M668" s="1">
        <v>0.28999999999999998</v>
      </c>
      <c r="N668" s="1" t="s">
        <v>69</v>
      </c>
      <c r="O668" s="1" t="s">
        <v>749</v>
      </c>
      <c r="P668" s="1">
        <v>650</v>
      </c>
      <c r="T668"/>
    </row>
    <row r="669" spans="9:20">
      <c r="I669" s="1" t="s">
        <v>50</v>
      </c>
      <c r="J669" s="1" t="s">
        <v>75</v>
      </c>
      <c r="K669" s="1" t="s">
        <v>13</v>
      </c>
      <c r="L669" s="1">
        <v>0.23</v>
      </c>
      <c r="M669" s="1">
        <v>0.28999999999999998</v>
      </c>
      <c r="N669" s="1" t="s">
        <v>69</v>
      </c>
      <c r="O669" s="1" t="s">
        <v>750</v>
      </c>
      <c r="P669" s="1">
        <v>570</v>
      </c>
      <c r="T669"/>
    </row>
    <row r="670" spans="9:20">
      <c r="I670" s="1" t="s">
        <v>50</v>
      </c>
      <c r="J670" s="1" t="s">
        <v>78</v>
      </c>
      <c r="K670" s="1" t="s">
        <v>13</v>
      </c>
      <c r="L670" s="1">
        <v>0.23</v>
      </c>
      <c r="M670" s="1">
        <v>0.28999999999999998</v>
      </c>
      <c r="N670" s="1" t="s">
        <v>69</v>
      </c>
      <c r="O670" s="1" t="s">
        <v>751</v>
      </c>
      <c r="P670" s="1">
        <v>500</v>
      </c>
      <c r="T670"/>
    </row>
    <row r="671" spans="9:20">
      <c r="I671" s="1" t="s">
        <v>50</v>
      </c>
      <c r="J671" s="1" t="s">
        <v>81</v>
      </c>
      <c r="K671" s="1" t="s">
        <v>13</v>
      </c>
      <c r="L671" s="1">
        <v>0.23</v>
      </c>
      <c r="M671" s="1">
        <v>0.28999999999999998</v>
      </c>
      <c r="N671" s="1" t="s">
        <v>69</v>
      </c>
      <c r="O671" s="1" t="s">
        <v>752</v>
      </c>
      <c r="P671" s="1">
        <v>430</v>
      </c>
      <c r="T671"/>
    </row>
    <row r="672" spans="9:20">
      <c r="I672" s="1" t="s">
        <v>50</v>
      </c>
      <c r="J672" s="1" t="s">
        <v>84</v>
      </c>
      <c r="K672" s="1" t="s">
        <v>13</v>
      </c>
      <c r="L672" s="1">
        <v>0.23</v>
      </c>
      <c r="M672" s="1">
        <v>0.28999999999999998</v>
      </c>
      <c r="N672" s="1" t="s">
        <v>69</v>
      </c>
      <c r="O672" s="1" t="s">
        <v>753</v>
      </c>
      <c r="P672" s="1">
        <v>360</v>
      </c>
      <c r="T672"/>
    </row>
    <row r="673" spans="9:20">
      <c r="I673" s="1" t="s">
        <v>50</v>
      </c>
      <c r="J673" s="1" t="s">
        <v>1</v>
      </c>
      <c r="K673" s="1" t="s">
        <v>14</v>
      </c>
      <c r="L673" s="1">
        <v>0.23</v>
      </c>
      <c r="M673" s="1">
        <v>0.28999999999999998</v>
      </c>
      <c r="N673" s="1" t="s">
        <v>69</v>
      </c>
      <c r="O673" s="1" t="s">
        <v>754</v>
      </c>
      <c r="P673" s="1">
        <v>1010</v>
      </c>
      <c r="T673"/>
    </row>
    <row r="674" spans="9:20">
      <c r="I674" s="1" t="s">
        <v>50</v>
      </c>
      <c r="J674" s="1" t="s">
        <v>2</v>
      </c>
      <c r="K674" s="1" t="s">
        <v>14</v>
      </c>
      <c r="L674" s="1">
        <v>0.23</v>
      </c>
      <c r="M674" s="1">
        <v>0.28999999999999998</v>
      </c>
      <c r="N674" s="1" t="s">
        <v>69</v>
      </c>
      <c r="O674" s="1" t="s">
        <v>755</v>
      </c>
      <c r="P674" s="1">
        <v>1010</v>
      </c>
      <c r="T674"/>
    </row>
    <row r="675" spans="9:20">
      <c r="I675" s="1" t="s">
        <v>50</v>
      </c>
      <c r="J675" s="1" t="s">
        <v>3</v>
      </c>
      <c r="K675" s="1" t="s">
        <v>14</v>
      </c>
      <c r="L675" s="1">
        <v>0.23</v>
      </c>
      <c r="M675" s="1">
        <v>0.28999999999999998</v>
      </c>
      <c r="N675" s="1" t="s">
        <v>69</v>
      </c>
      <c r="O675" s="1" t="s">
        <v>756</v>
      </c>
      <c r="P675" s="1">
        <v>1010</v>
      </c>
      <c r="T675"/>
    </row>
    <row r="676" spans="9:20">
      <c r="I676" s="1" t="s">
        <v>50</v>
      </c>
      <c r="J676" s="1" t="s">
        <v>4</v>
      </c>
      <c r="K676" s="1" t="s">
        <v>14</v>
      </c>
      <c r="L676" s="1">
        <v>0.23</v>
      </c>
      <c r="M676" s="1">
        <v>0.28999999999999998</v>
      </c>
      <c r="N676" s="1" t="s">
        <v>69</v>
      </c>
      <c r="O676" s="1" t="s">
        <v>757</v>
      </c>
      <c r="P676" s="1">
        <v>860</v>
      </c>
      <c r="T676"/>
    </row>
    <row r="677" spans="9:20">
      <c r="I677" s="1" t="s">
        <v>50</v>
      </c>
      <c r="J677" s="1" t="s">
        <v>5</v>
      </c>
      <c r="K677" s="1" t="s">
        <v>14</v>
      </c>
      <c r="L677" s="1">
        <v>0.23</v>
      </c>
      <c r="M677" s="1">
        <v>0.28999999999999998</v>
      </c>
      <c r="N677" s="1" t="s">
        <v>69</v>
      </c>
      <c r="O677" s="1" t="s">
        <v>758</v>
      </c>
      <c r="P677" s="1">
        <v>860</v>
      </c>
      <c r="T677"/>
    </row>
    <row r="678" spans="9:20">
      <c r="I678" s="1" t="s">
        <v>50</v>
      </c>
      <c r="J678" s="1" t="s">
        <v>6</v>
      </c>
      <c r="K678" s="1" t="s">
        <v>14</v>
      </c>
      <c r="L678" s="1">
        <v>0.23</v>
      </c>
      <c r="M678" s="1">
        <v>0.28999999999999998</v>
      </c>
      <c r="N678" s="1" t="s">
        <v>69</v>
      </c>
      <c r="O678" s="1" t="s">
        <v>759</v>
      </c>
      <c r="P678" s="1">
        <v>750</v>
      </c>
      <c r="T678"/>
    </row>
    <row r="679" spans="9:20">
      <c r="I679" s="1" t="s">
        <v>50</v>
      </c>
      <c r="J679" s="1" t="s">
        <v>7</v>
      </c>
      <c r="K679" s="1" t="s">
        <v>14</v>
      </c>
      <c r="L679" s="1">
        <v>0.23</v>
      </c>
      <c r="M679" s="1">
        <v>0.28999999999999998</v>
      </c>
      <c r="N679" s="1" t="s">
        <v>69</v>
      </c>
      <c r="O679" s="1" t="s">
        <v>760</v>
      </c>
      <c r="P679" s="1">
        <v>650</v>
      </c>
      <c r="T679"/>
    </row>
    <row r="680" spans="9:20">
      <c r="I680" s="1" t="s">
        <v>50</v>
      </c>
      <c r="J680" s="1" t="s">
        <v>75</v>
      </c>
      <c r="K680" s="1" t="s">
        <v>14</v>
      </c>
      <c r="L680" s="1">
        <v>0.23</v>
      </c>
      <c r="M680" s="1">
        <v>0.28999999999999998</v>
      </c>
      <c r="N680" s="1" t="s">
        <v>69</v>
      </c>
      <c r="O680" s="1" t="s">
        <v>761</v>
      </c>
      <c r="P680" s="1">
        <v>570</v>
      </c>
      <c r="T680"/>
    </row>
    <row r="681" spans="9:20">
      <c r="I681" s="1" t="s">
        <v>50</v>
      </c>
      <c r="J681" s="1" t="s">
        <v>78</v>
      </c>
      <c r="K681" s="1" t="s">
        <v>14</v>
      </c>
      <c r="L681" s="1">
        <v>0.23</v>
      </c>
      <c r="M681" s="1">
        <v>0.28999999999999998</v>
      </c>
      <c r="N681" s="1" t="s">
        <v>69</v>
      </c>
      <c r="O681" s="1" t="s">
        <v>762</v>
      </c>
      <c r="P681" s="1">
        <v>500</v>
      </c>
      <c r="T681"/>
    </row>
    <row r="682" spans="9:20">
      <c r="I682" s="1" t="s">
        <v>50</v>
      </c>
      <c r="J682" s="1" t="s">
        <v>81</v>
      </c>
      <c r="K682" s="1" t="s">
        <v>14</v>
      </c>
      <c r="L682" s="1">
        <v>0.23</v>
      </c>
      <c r="M682" s="1">
        <v>0.28999999999999998</v>
      </c>
      <c r="N682" s="1" t="s">
        <v>69</v>
      </c>
      <c r="O682" s="1" t="s">
        <v>763</v>
      </c>
      <c r="P682" s="1">
        <v>430</v>
      </c>
      <c r="T682"/>
    </row>
    <row r="683" spans="9:20">
      <c r="I683" s="1" t="s">
        <v>50</v>
      </c>
      <c r="J683" s="1" t="s">
        <v>84</v>
      </c>
      <c r="K683" s="1" t="s">
        <v>14</v>
      </c>
      <c r="L683" s="1">
        <v>0.23</v>
      </c>
      <c r="M683" s="1">
        <v>0.28999999999999998</v>
      </c>
      <c r="N683" s="1" t="s">
        <v>69</v>
      </c>
      <c r="O683" s="1" t="s">
        <v>764</v>
      </c>
      <c r="P683" s="1">
        <v>360</v>
      </c>
      <c r="T683"/>
    </row>
    <row r="684" spans="9:20">
      <c r="I684" s="1" t="s">
        <v>50</v>
      </c>
      <c r="J684" s="1" t="s">
        <v>1</v>
      </c>
      <c r="K684" s="1" t="s">
        <v>15</v>
      </c>
      <c r="L684" s="1">
        <v>0.23</v>
      </c>
      <c r="M684" s="1">
        <v>0.28999999999999998</v>
      </c>
      <c r="N684" s="1" t="s">
        <v>69</v>
      </c>
      <c r="O684" s="1" t="s">
        <v>765</v>
      </c>
      <c r="P684" s="1">
        <v>840</v>
      </c>
      <c r="T684"/>
    </row>
    <row r="685" spans="9:20">
      <c r="I685" s="1" t="s">
        <v>50</v>
      </c>
      <c r="J685" s="1" t="s">
        <v>2</v>
      </c>
      <c r="K685" s="1" t="s">
        <v>15</v>
      </c>
      <c r="L685" s="1">
        <v>0.23</v>
      </c>
      <c r="M685" s="1">
        <v>0.28999999999999998</v>
      </c>
      <c r="N685" s="1" t="s">
        <v>69</v>
      </c>
      <c r="O685" s="1" t="s">
        <v>766</v>
      </c>
      <c r="P685" s="1">
        <v>840</v>
      </c>
      <c r="T685"/>
    </row>
    <row r="686" spans="9:20">
      <c r="I686" s="1" t="s">
        <v>50</v>
      </c>
      <c r="J686" s="1" t="s">
        <v>3</v>
      </c>
      <c r="K686" s="1" t="s">
        <v>15</v>
      </c>
      <c r="L686" s="1">
        <v>0.23</v>
      </c>
      <c r="M686" s="1">
        <v>0.28999999999999998</v>
      </c>
      <c r="N686" s="1" t="s">
        <v>69</v>
      </c>
      <c r="O686" s="1" t="s">
        <v>767</v>
      </c>
      <c r="P686" s="1">
        <v>840</v>
      </c>
      <c r="T686"/>
    </row>
    <row r="687" spans="9:20">
      <c r="I687" s="1" t="s">
        <v>50</v>
      </c>
      <c r="J687" s="1" t="s">
        <v>4</v>
      </c>
      <c r="K687" s="1" t="s">
        <v>15</v>
      </c>
      <c r="L687" s="1">
        <v>0.23</v>
      </c>
      <c r="M687" s="1">
        <v>0.28999999999999998</v>
      </c>
      <c r="N687" s="1" t="s">
        <v>69</v>
      </c>
      <c r="O687" s="1" t="s">
        <v>768</v>
      </c>
      <c r="P687" s="1">
        <v>700</v>
      </c>
      <c r="T687"/>
    </row>
    <row r="688" spans="9:20">
      <c r="I688" s="1" t="s">
        <v>50</v>
      </c>
      <c r="J688" s="1" t="s">
        <v>5</v>
      </c>
      <c r="K688" s="1" t="s">
        <v>15</v>
      </c>
      <c r="L688" s="1">
        <v>0.23</v>
      </c>
      <c r="M688" s="1">
        <v>0.28999999999999998</v>
      </c>
      <c r="N688" s="1" t="s">
        <v>69</v>
      </c>
      <c r="O688" s="1" t="s">
        <v>769</v>
      </c>
      <c r="P688" s="1">
        <v>700</v>
      </c>
      <c r="T688"/>
    </row>
    <row r="689" spans="9:20">
      <c r="I689" s="1" t="s">
        <v>50</v>
      </c>
      <c r="J689" s="1" t="s">
        <v>6</v>
      </c>
      <c r="K689" s="1" t="s">
        <v>15</v>
      </c>
      <c r="L689" s="1">
        <v>0.23</v>
      </c>
      <c r="M689" s="1">
        <v>0.28999999999999998</v>
      </c>
      <c r="N689" s="1" t="s">
        <v>69</v>
      </c>
      <c r="O689" s="1" t="s">
        <v>770</v>
      </c>
      <c r="P689" s="1">
        <v>610</v>
      </c>
      <c r="T689"/>
    </row>
    <row r="690" spans="9:20">
      <c r="I690" s="1" t="s">
        <v>50</v>
      </c>
      <c r="J690" s="1" t="s">
        <v>7</v>
      </c>
      <c r="K690" s="1" t="s">
        <v>15</v>
      </c>
      <c r="L690" s="1">
        <v>0.23</v>
      </c>
      <c r="M690" s="1">
        <v>0.28999999999999998</v>
      </c>
      <c r="N690" s="1" t="s">
        <v>69</v>
      </c>
      <c r="O690" s="1" t="s">
        <v>771</v>
      </c>
      <c r="P690" s="1">
        <v>530</v>
      </c>
      <c r="T690"/>
    </row>
    <row r="691" spans="9:20">
      <c r="I691" s="1" t="s">
        <v>50</v>
      </c>
      <c r="J691" s="1" t="s">
        <v>75</v>
      </c>
      <c r="K691" s="1" t="s">
        <v>15</v>
      </c>
      <c r="L691" s="1">
        <v>0.23</v>
      </c>
      <c r="M691" s="1">
        <v>0.28999999999999998</v>
      </c>
      <c r="N691" s="1" t="s">
        <v>69</v>
      </c>
      <c r="O691" s="1" t="s">
        <v>772</v>
      </c>
      <c r="P691" s="1">
        <v>460</v>
      </c>
      <c r="T691"/>
    </row>
    <row r="692" spans="9:20">
      <c r="I692" s="1" t="s">
        <v>50</v>
      </c>
      <c r="J692" s="1" t="s">
        <v>78</v>
      </c>
      <c r="K692" s="1" t="s">
        <v>15</v>
      </c>
      <c r="L692" s="1">
        <v>0.23</v>
      </c>
      <c r="M692" s="1">
        <v>0.28999999999999998</v>
      </c>
      <c r="N692" s="1" t="s">
        <v>69</v>
      </c>
      <c r="O692" s="1" t="s">
        <v>773</v>
      </c>
      <c r="P692" s="1">
        <v>380</v>
      </c>
      <c r="T692"/>
    </row>
    <row r="693" spans="9:20">
      <c r="I693" s="1" t="s">
        <v>50</v>
      </c>
      <c r="J693" s="1" t="s">
        <v>81</v>
      </c>
      <c r="K693" s="1" t="s">
        <v>15</v>
      </c>
      <c r="L693" s="1">
        <v>0.23</v>
      </c>
      <c r="M693" s="1">
        <v>0.28999999999999998</v>
      </c>
      <c r="N693" s="1" t="s">
        <v>69</v>
      </c>
      <c r="O693" s="1" t="s">
        <v>774</v>
      </c>
      <c r="P693" s="1">
        <v>320</v>
      </c>
      <c r="T693"/>
    </row>
    <row r="694" spans="9:20">
      <c r="I694" s="1" t="s">
        <v>50</v>
      </c>
      <c r="J694" s="1" t="s">
        <v>84</v>
      </c>
      <c r="K694" s="1" t="s">
        <v>15</v>
      </c>
      <c r="L694" s="1">
        <v>0.23</v>
      </c>
      <c r="M694" s="1">
        <v>0.28999999999999998</v>
      </c>
      <c r="N694" s="1" t="s">
        <v>69</v>
      </c>
      <c r="O694" s="1" t="s">
        <v>775</v>
      </c>
      <c r="P694" s="1">
        <v>270</v>
      </c>
      <c r="T694"/>
    </row>
    <row r="695" spans="9:20">
      <c r="I695" s="1" t="s">
        <v>50</v>
      </c>
      <c r="J695" s="1" t="s">
        <v>1</v>
      </c>
      <c r="K695" s="1" t="s">
        <v>16</v>
      </c>
      <c r="L695" s="1">
        <v>0.23</v>
      </c>
      <c r="M695" s="1">
        <v>0.28999999999999998</v>
      </c>
      <c r="N695" s="1" t="s">
        <v>69</v>
      </c>
      <c r="O695" s="1" t="s">
        <v>776</v>
      </c>
      <c r="P695" s="1">
        <v>840</v>
      </c>
      <c r="T695"/>
    </row>
    <row r="696" spans="9:20">
      <c r="I696" s="1" t="s">
        <v>50</v>
      </c>
      <c r="J696" s="1" t="s">
        <v>2</v>
      </c>
      <c r="K696" s="1" t="s">
        <v>16</v>
      </c>
      <c r="L696" s="1">
        <v>0.23</v>
      </c>
      <c r="M696" s="1">
        <v>0.28999999999999998</v>
      </c>
      <c r="N696" s="1" t="s">
        <v>69</v>
      </c>
      <c r="O696" s="1" t="s">
        <v>777</v>
      </c>
      <c r="P696" s="1">
        <v>840</v>
      </c>
      <c r="T696"/>
    </row>
    <row r="697" spans="9:20">
      <c r="I697" s="1" t="s">
        <v>50</v>
      </c>
      <c r="J697" s="1" t="s">
        <v>3</v>
      </c>
      <c r="K697" s="1" t="s">
        <v>16</v>
      </c>
      <c r="L697" s="1">
        <v>0.23</v>
      </c>
      <c r="M697" s="1">
        <v>0.28999999999999998</v>
      </c>
      <c r="N697" s="1" t="s">
        <v>69</v>
      </c>
      <c r="O697" s="1" t="s">
        <v>778</v>
      </c>
      <c r="P697" s="1">
        <v>840</v>
      </c>
      <c r="T697"/>
    </row>
    <row r="698" spans="9:20">
      <c r="I698" s="1" t="s">
        <v>50</v>
      </c>
      <c r="J698" s="1" t="s">
        <v>4</v>
      </c>
      <c r="K698" s="1" t="s">
        <v>16</v>
      </c>
      <c r="L698" s="1">
        <v>0.23</v>
      </c>
      <c r="M698" s="1">
        <v>0.28999999999999998</v>
      </c>
      <c r="N698" s="1" t="s">
        <v>69</v>
      </c>
      <c r="O698" s="1" t="s">
        <v>779</v>
      </c>
      <c r="P698" s="1">
        <v>700</v>
      </c>
      <c r="T698"/>
    </row>
    <row r="699" spans="9:20">
      <c r="I699" s="1" t="s">
        <v>50</v>
      </c>
      <c r="J699" s="1" t="s">
        <v>5</v>
      </c>
      <c r="K699" s="1" t="s">
        <v>16</v>
      </c>
      <c r="L699" s="1">
        <v>0.23</v>
      </c>
      <c r="M699" s="1">
        <v>0.28999999999999998</v>
      </c>
      <c r="N699" s="1" t="s">
        <v>69</v>
      </c>
      <c r="O699" s="1" t="s">
        <v>780</v>
      </c>
      <c r="P699" s="1">
        <v>700</v>
      </c>
      <c r="T699"/>
    </row>
    <row r="700" spans="9:20">
      <c r="I700" s="1" t="s">
        <v>50</v>
      </c>
      <c r="J700" s="1" t="s">
        <v>6</v>
      </c>
      <c r="K700" s="1" t="s">
        <v>16</v>
      </c>
      <c r="L700" s="1">
        <v>0.23</v>
      </c>
      <c r="M700" s="1">
        <v>0.28999999999999998</v>
      </c>
      <c r="N700" s="1" t="s">
        <v>69</v>
      </c>
      <c r="O700" s="1" t="s">
        <v>781</v>
      </c>
      <c r="P700" s="1">
        <v>610</v>
      </c>
      <c r="T700"/>
    </row>
    <row r="701" spans="9:20">
      <c r="I701" s="1" t="s">
        <v>50</v>
      </c>
      <c r="J701" s="1" t="s">
        <v>7</v>
      </c>
      <c r="K701" s="1" t="s">
        <v>16</v>
      </c>
      <c r="L701" s="1">
        <v>0.23</v>
      </c>
      <c r="M701" s="1">
        <v>0.28999999999999998</v>
      </c>
      <c r="N701" s="1" t="s">
        <v>69</v>
      </c>
      <c r="O701" s="1" t="s">
        <v>782</v>
      </c>
      <c r="P701" s="1">
        <v>530</v>
      </c>
      <c r="T701"/>
    </row>
    <row r="702" spans="9:20">
      <c r="I702" s="1" t="s">
        <v>50</v>
      </c>
      <c r="J702" s="1" t="s">
        <v>75</v>
      </c>
      <c r="K702" s="1" t="s">
        <v>16</v>
      </c>
      <c r="L702" s="1">
        <v>0.23</v>
      </c>
      <c r="M702" s="1">
        <v>0.28999999999999998</v>
      </c>
      <c r="N702" s="1" t="s">
        <v>69</v>
      </c>
      <c r="O702" s="1" t="s">
        <v>783</v>
      </c>
      <c r="P702" s="1">
        <v>460</v>
      </c>
      <c r="T702"/>
    </row>
    <row r="703" spans="9:20">
      <c r="I703" s="1" t="s">
        <v>50</v>
      </c>
      <c r="J703" s="1" t="s">
        <v>78</v>
      </c>
      <c r="K703" s="1" t="s">
        <v>16</v>
      </c>
      <c r="L703" s="1">
        <v>0.23</v>
      </c>
      <c r="M703" s="1">
        <v>0.28999999999999998</v>
      </c>
      <c r="N703" s="1" t="s">
        <v>69</v>
      </c>
      <c r="O703" s="1" t="s">
        <v>784</v>
      </c>
      <c r="P703" s="1">
        <v>380</v>
      </c>
      <c r="T703"/>
    </row>
    <row r="704" spans="9:20">
      <c r="I704" s="1" t="s">
        <v>50</v>
      </c>
      <c r="J704" s="1" t="s">
        <v>81</v>
      </c>
      <c r="K704" s="1" t="s">
        <v>16</v>
      </c>
      <c r="L704" s="1">
        <v>0.23</v>
      </c>
      <c r="M704" s="1">
        <v>0.28999999999999998</v>
      </c>
      <c r="N704" s="1" t="s">
        <v>69</v>
      </c>
      <c r="O704" s="1" t="s">
        <v>785</v>
      </c>
      <c r="P704" s="1">
        <v>320</v>
      </c>
      <c r="T704"/>
    </row>
    <row r="705" spans="9:20">
      <c r="I705" s="1" t="s">
        <v>50</v>
      </c>
      <c r="J705" s="1" t="s">
        <v>84</v>
      </c>
      <c r="K705" s="1" t="s">
        <v>16</v>
      </c>
      <c r="L705" s="1">
        <v>0.23</v>
      </c>
      <c r="M705" s="1">
        <v>0.28999999999999998</v>
      </c>
      <c r="N705" s="1" t="s">
        <v>69</v>
      </c>
      <c r="O705" s="1" t="s">
        <v>786</v>
      </c>
      <c r="P705" s="1">
        <v>270</v>
      </c>
      <c r="T705"/>
    </row>
    <row r="706" spans="9:20">
      <c r="I706" s="1" t="s">
        <v>50</v>
      </c>
      <c r="J706" s="1" t="s">
        <v>1</v>
      </c>
      <c r="K706" s="1" t="s">
        <v>17</v>
      </c>
      <c r="L706" s="1">
        <v>0.23</v>
      </c>
      <c r="M706" s="1">
        <v>0.28999999999999998</v>
      </c>
      <c r="N706" s="1" t="s">
        <v>69</v>
      </c>
      <c r="O706" s="1" t="s">
        <v>787</v>
      </c>
      <c r="P706" s="1">
        <v>680</v>
      </c>
      <c r="T706"/>
    </row>
    <row r="707" spans="9:20">
      <c r="I707" s="1" t="s">
        <v>50</v>
      </c>
      <c r="J707" s="1" t="s">
        <v>2</v>
      </c>
      <c r="K707" s="1" t="s">
        <v>17</v>
      </c>
      <c r="L707" s="1">
        <v>0.23</v>
      </c>
      <c r="M707" s="1">
        <v>0.28999999999999998</v>
      </c>
      <c r="N707" s="1" t="s">
        <v>69</v>
      </c>
      <c r="O707" s="1" t="s">
        <v>788</v>
      </c>
      <c r="P707" s="1">
        <v>680</v>
      </c>
      <c r="T707"/>
    </row>
    <row r="708" spans="9:20">
      <c r="I708" s="1" t="s">
        <v>50</v>
      </c>
      <c r="J708" s="1" t="s">
        <v>3</v>
      </c>
      <c r="K708" s="1" t="s">
        <v>17</v>
      </c>
      <c r="L708" s="1">
        <v>0.23</v>
      </c>
      <c r="M708" s="1">
        <v>0.28999999999999998</v>
      </c>
      <c r="N708" s="1" t="s">
        <v>69</v>
      </c>
      <c r="O708" s="1" t="s">
        <v>789</v>
      </c>
      <c r="P708" s="1">
        <v>680</v>
      </c>
      <c r="T708"/>
    </row>
    <row r="709" spans="9:20">
      <c r="I709" s="1" t="s">
        <v>50</v>
      </c>
      <c r="J709" s="1" t="s">
        <v>4</v>
      </c>
      <c r="K709" s="1" t="s">
        <v>17</v>
      </c>
      <c r="L709" s="1">
        <v>0.23</v>
      </c>
      <c r="M709" s="1">
        <v>0.28999999999999998</v>
      </c>
      <c r="N709" s="1" t="s">
        <v>69</v>
      </c>
      <c r="O709" s="1" t="s">
        <v>790</v>
      </c>
      <c r="P709" s="1">
        <v>580</v>
      </c>
      <c r="T709"/>
    </row>
    <row r="710" spans="9:20">
      <c r="I710" s="1" t="s">
        <v>50</v>
      </c>
      <c r="J710" s="1" t="s">
        <v>5</v>
      </c>
      <c r="K710" s="1" t="s">
        <v>17</v>
      </c>
      <c r="L710" s="1">
        <v>0.23</v>
      </c>
      <c r="M710" s="1">
        <v>0.28999999999999998</v>
      </c>
      <c r="N710" s="1" t="s">
        <v>69</v>
      </c>
      <c r="O710" s="1" t="s">
        <v>791</v>
      </c>
      <c r="P710" s="1">
        <v>580</v>
      </c>
      <c r="T710"/>
    </row>
    <row r="711" spans="9:20">
      <c r="I711" s="1" t="s">
        <v>50</v>
      </c>
      <c r="J711" s="1" t="s">
        <v>6</v>
      </c>
      <c r="K711" s="1" t="s">
        <v>17</v>
      </c>
      <c r="L711" s="1">
        <v>0.23</v>
      </c>
      <c r="M711" s="1">
        <v>0.28999999999999998</v>
      </c>
      <c r="N711" s="1" t="s">
        <v>69</v>
      </c>
      <c r="O711" s="1" t="s">
        <v>792</v>
      </c>
      <c r="P711" s="1">
        <v>490</v>
      </c>
      <c r="T711"/>
    </row>
    <row r="712" spans="9:20">
      <c r="I712" s="1" t="s">
        <v>50</v>
      </c>
      <c r="J712" s="1" t="s">
        <v>7</v>
      </c>
      <c r="K712" s="1" t="s">
        <v>17</v>
      </c>
      <c r="L712" s="1">
        <v>0.23</v>
      </c>
      <c r="M712" s="1">
        <v>0.28999999999999998</v>
      </c>
      <c r="N712" s="1" t="s">
        <v>69</v>
      </c>
      <c r="O712" s="1" t="s">
        <v>793</v>
      </c>
      <c r="P712" s="1">
        <v>410</v>
      </c>
      <c r="T712"/>
    </row>
    <row r="713" spans="9:20">
      <c r="I713" s="1" t="s">
        <v>50</v>
      </c>
      <c r="J713" s="1" t="s">
        <v>75</v>
      </c>
      <c r="K713" s="1" t="s">
        <v>17</v>
      </c>
      <c r="L713" s="1">
        <v>0.23</v>
      </c>
      <c r="M713" s="1">
        <v>0.28999999999999998</v>
      </c>
      <c r="N713" s="1" t="s">
        <v>69</v>
      </c>
      <c r="O713" s="1" t="s">
        <v>794</v>
      </c>
      <c r="P713" s="1">
        <v>360</v>
      </c>
      <c r="T713"/>
    </row>
    <row r="714" spans="9:20">
      <c r="I714" s="1" t="s">
        <v>50</v>
      </c>
      <c r="J714" s="1" t="s">
        <v>78</v>
      </c>
      <c r="K714" s="1" t="s">
        <v>17</v>
      </c>
      <c r="L714" s="1">
        <v>0.23</v>
      </c>
      <c r="M714" s="1">
        <v>0.28999999999999998</v>
      </c>
      <c r="N714" s="1" t="s">
        <v>69</v>
      </c>
      <c r="O714" s="1" t="s">
        <v>795</v>
      </c>
      <c r="P714" s="1">
        <v>300</v>
      </c>
      <c r="T714"/>
    </row>
    <row r="715" spans="9:20">
      <c r="I715" s="1" t="s">
        <v>50</v>
      </c>
      <c r="J715" s="1" t="s">
        <v>81</v>
      </c>
      <c r="K715" s="1" t="s">
        <v>17</v>
      </c>
      <c r="L715" s="1">
        <v>0.23</v>
      </c>
      <c r="M715" s="1">
        <v>0.28999999999999998</v>
      </c>
      <c r="N715" s="1" t="s">
        <v>69</v>
      </c>
      <c r="O715" s="1" t="s">
        <v>796</v>
      </c>
      <c r="P715" s="1">
        <v>250</v>
      </c>
      <c r="T715"/>
    </row>
    <row r="716" spans="9:20">
      <c r="I716" s="1" t="s">
        <v>50</v>
      </c>
      <c r="J716" s="1" t="s">
        <v>84</v>
      </c>
      <c r="K716" s="1" t="s">
        <v>17</v>
      </c>
      <c r="L716" s="1">
        <v>0.23</v>
      </c>
      <c r="M716" s="1">
        <v>0.28999999999999998</v>
      </c>
      <c r="N716" s="1" t="s">
        <v>69</v>
      </c>
      <c r="O716" s="1" t="s">
        <v>797</v>
      </c>
      <c r="P716" s="1">
        <v>210</v>
      </c>
      <c r="T716"/>
    </row>
    <row r="717" spans="9:20">
      <c r="I717" s="1" t="s">
        <v>50</v>
      </c>
      <c r="J717" s="1" t="s">
        <v>1</v>
      </c>
      <c r="K717" s="1" t="s">
        <v>193</v>
      </c>
      <c r="L717" s="1">
        <v>0.23</v>
      </c>
      <c r="M717" s="1">
        <v>0.28999999999999998</v>
      </c>
      <c r="N717" s="1" t="s">
        <v>69</v>
      </c>
      <c r="O717" s="1" t="s">
        <v>798</v>
      </c>
      <c r="P717" s="1">
        <v>680</v>
      </c>
      <c r="T717"/>
    </row>
    <row r="718" spans="9:20">
      <c r="I718" s="1" t="s">
        <v>50</v>
      </c>
      <c r="J718" s="1" t="s">
        <v>2</v>
      </c>
      <c r="K718" s="1" t="s">
        <v>193</v>
      </c>
      <c r="L718" s="1">
        <v>0.23</v>
      </c>
      <c r="M718" s="1">
        <v>0.28999999999999998</v>
      </c>
      <c r="N718" s="1" t="s">
        <v>69</v>
      </c>
      <c r="O718" s="1" t="s">
        <v>799</v>
      </c>
      <c r="P718" s="1">
        <v>680</v>
      </c>
      <c r="T718"/>
    </row>
    <row r="719" spans="9:20">
      <c r="I719" s="1" t="s">
        <v>50</v>
      </c>
      <c r="J719" s="1" t="s">
        <v>3</v>
      </c>
      <c r="K719" s="1" t="s">
        <v>193</v>
      </c>
      <c r="L719" s="1">
        <v>0.23</v>
      </c>
      <c r="M719" s="1">
        <v>0.28999999999999998</v>
      </c>
      <c r="N719" s="1" t="s">
        <v>69</v>
      </c>
      <c r="O719" s="1" t="s">
        <v>800</v>
      </c>
      <c r="P719" s="1">
        <v>680</v>
      </c>
      <c r="T719"/>
    </row>
    <row r="720" spans="9:20">
      <c r="I720" s="1" t="s">
        <v>50</v>
      </c>
      <c r="J720" s="1" t="s">
        <v>4</v>
      </c>
      <c r="K720" s="1" t="s">
        <v>193</v>
      </c>
      <c r="L720" s="1">
        <v>0.23</v>
      </c>
      <c r="M720" s="1">
        <v>0.28999999999999998</v>
      </c>
      <c r="N720" s="1" t="s">
        <v>69</v>
      </c>
      <c r="O720" s="1" t="s">
        <v>801</v>
      </c>
      <c r="P720" s="1">
        <v>580</v>
      </c>
      <c r="T720"/>
    </row>
    <row r="721" spans="9:20">
      <c r="I721" s="1" t="s">
        <v>50</v>
      </c>
      <c r="J721" s="1" t="s">
        <v>5</v>
      </c>
      <c r="K721" s="1" t="s">
        <v>193</v>
      </c>
      <c r="L721" s="1">
        <v>0.23</v>
      </c>
      <c r="M721" s="1">
        <v>0.28999999999999998</v>
      </c>
      <c r="N721" s="1" t="s">
        <v>69</v>
      </c>
      <c r="O721" s="1" t="s">
        <v>802</v>
      </c>
      <c r="P721" s="1">
        <v>580</v>
      </c>
      <c r="T721"/>
    </row>
    <row r="722" spans="9:20">
      <c r="I722" s="1" t="s">
        <v>50</v>
      </c>
      <c r="J722" s="1" t="s">
        <v>6</v>
      </c>
      <c r="K722" s="1" t="s">
        <v>193</v>
      </c>
      <c r="L722" s="1">
        <v>0.23</v>
      </c>
      <c r="M722" s="1">
        <v>0.28999999999999998</v>
      </c>
      <c r="N722" s="1" t="s">
        <v>69</v>
      </c>
      <c r="O722" s="1" t="s">
        <v>803</v>
      </c>
      <c r="P722" s="1">
        <v>490</v>
      </c>
      <c r="T722"/>
    </row>
    <row r="723" spans="9:20">
      <c r="I723" s="1" t="s">
        <v>50</v>
      </c>
      <c r="J723" s="1" t="s">
        <v>7</v>
      </c>
      <c r="K723" s="1" t="s">
        <v>193</v>
      </c>
      <c r="L723" s="1">
        <v>0.23</v>
      </c>
      <c r="M723" s="1">
        <v>0.28999999999999998</v>
      </c>
      <c r="N723" s="1" t="s">
        <v>69</v>
      </c>
      <c r="O723" s="1" t="s">
        <v>804</v>
      </c>
      <c r="P723" s="1">
        <v>410</v>
      </c>
      <c r="T723"/>
    </row>
    <row r="724" spans="9:20">
      <c r="I724" s="1" t="s">
        <v>50</v>
      </c>
      <c r="J724" s="1" t="s">
        <v>75</v>
      </c>
      <c r="K724" s="1" t="s">
        <v>193</v>
      </c>
      <c r="L724" s="1">
        <v>0.23</v>
      </c>
      <c r="M724" s="1">
        <v>0.28999999999999998</v>
      </c>
      <c r="N724" s="1" t="s">
        <v>69</v>
      </c>
      <c r="O724" s="1" t="s">
        <v>805</v>
      </c>
      <c r="P724" s="1">
        <v>360</v>
      </c>
      <c r="T724"/>
    </row>
    <row r="725" spans="9:20">
      <c r="I725" s="1" t="s">
        <v>50</v>
      </c>
      <c r="J725" s="1" t="s">
        <v>78</v>
      </c>
      <c r="K725" s="1" t="s">
        <v>193</v>
      </c>
      <c r="L725" s="1">
        <v>0.23</v>
      </c>
      <c r="M725" s="1">
        <v>0.28999999999999998</v>
      </c>
      <c r="N725" s="1" t="s">
        <v>69</v>
      </c>
      <c r="O725" s="1" t="s">
        <v>806</v>
      </c>
      <c r="P725" s="1">
        <v>300</v>
      </c>
      <c r="T725"/>
    </row>
    <row r="726" spans="9:20">
      <c r="I726" s="1" t="s">
        <v>50</v>
      </c>
      <c r="J726" s="1" t="s">
        <v>81</v>
      </c>
      <c r="K726" s="1" t="s">
        <v>193</v>
      </c>
      <c r="L726" s="1">
        <v>0.23</v>
      </c>
      <c r="M726" s="1">
        <v>0.28999999999999998</v>
      </c>
      <c r="N726" s="1" t="s">
        <v>69</v>
      </c>
      <c r="O726" s="1" t="s">
        <v>807</v>
      </c>
      <c r="P726" s="1">
        <v>250</v>
      </c>
      <c r="T726"/>
    </row>
    <row r="727" spans="9:20">
      <c r="I727" s="1" t="s">
        <v>50</v>
      </c>
      <c r="J727" s="1" t="s">
        <v>84</v>
      </c>
      <c r="K727" s="1" t="s">
        <v>193</v>
      </c>
      <c r="L727" s="1">
        <v>0.23</v>
      </c>
      <c r="M727" s="1">
        <v>0.28999999999999998</v>
      </c>
      <c r="N727" s="1" t="s">
        <v>69</v>
      </c>
      <c r="O727" s="1" t="s">
        <v>808</v>
      </c>
      <c r="P727" s="1">
        <v>210</v>
      </c>
      <c r="T727"/>
    </row>
    <row r="728" spans="9:20">
      <c r="I728" s="1" t="s">
        <v>50</v>
      </c>
      <c r="J728" s="1" t="s">
        <v>1</v>
      </c>
      <c r="K728" s="1" t="s">
        <v>8</v>
      </c>
      <c r="L728" s="1">
        <v>0.3</v>
      </c>
      <c r="M728" s="1">
        <v>0.39</v>
      </c>
      <c r="N728" s="1" t="s">
        <v>72</v>
      </c>
      <c r="O728" s="1" t="s">
        <v>809</v>
      </c>
      <c r="P728" s="1">
        <v>2700</v>
      </c>
      <c r="T728"/>
    </row>
    <row r="729" spans="9:20">
      <c r="I729" s="1" t="s">
        <v>50</v>
      </c>
      <c r="J729" s="1" t="s">
        <v>2</v>
      </c>
      <c r="K729" s="1" t="s">
        <v>8</v>
      </c>
      <c r="L729" s="1">
        <v>0.3</v>
      </c>
      <c r="M729" s="1">
        <v>0.39</v>
      </c>
      <c r="N729" s="1" t="s">
        <v>72</v>
      </c>
      <c r="O729" s="1" t="s">
        <v>810</v>
      </c>
      <c r="P729" s="1">
        <v>2200</v>
      </c>
      <c r="T729"/>
    </row>
    <row r="730" spans="9:20">
      <c r="I730" s="1" t="s">
        <v>50</v>
      </c>
      <c r="J730" s="1" t="s">
        <v>3</v>
      </c>
      <c r="K730" s="1" t="s">
        <v>8</v>
      </c>
      <c r="L730" s="1">
        <v>0.3</v>
      </c>
      <c r="M730" s="1">
        <v>0.39</v>
      </c>
      <c r="N730" s="1" t="s">
        <v>72</v>
      </c>
      <c r="O730" s="1" t="s">
        <v>811</v>
      </c>
      <c r="P730" s="1">
        <v>1900</v>
      </c>
      <c r="T730"/>
    </row>
    <row r="731" spans="9:20">
      <c r="I731" s="1" t="s">
        <v>50</v>
      </c>
      <c r="J731" s="1" t="s">
        <v>4</v>
      </c>
      <c r="K731" s="1" t="s">
        <v>8</v>
      </c>
      <c r="L731" s="1">
        <v>0.3</v>
      </c>
      <c r="M731" s="1">
        <v>0.39</v>
      </c>
      <c r="N731" s="1" t="s">
        <v>72</v>
      </c>
      <c r="O731" s="1" t="s">
        <v>812</v>
      </c>
      <c r="P731" s="1">
        <v>1700</v>
      </c>
      <c r="T731"/>
    </row>
    <row r="732" spans="9:20">
      <c r="I732" s="1" t="s">
        <v>50</v>
      </c>
      <c r="J732" s="1" t="s">
        <v>5</v>
      </c>
      <c r="K732" s="1" t="s">
        <v>8</v>
      </c>
      <c r="L732" s="1">
        <v>0.3</v>
      </c>
      <c r="M732" s="1">
        <v>0.39</v>
      </c>
      <c r="N732" s="1" t="s">
        <v>72</v>
      </c>
      <c r="O732" s="1" t="s">
        <v>813</v>
      </c>
      <c r="P732" s="1">
        <v>1500</v>
      </c>
      <c r="T732"/>
    </row>
    <row r="733" spans="9:20">
      <c r="I733" s="1" t="s">
        <v>50</v>
      </c>
      <c r="J733" s="1" t="s">
        <v>6</v>
      </c>
      <c r="K733" s="1" t="s">
        <v>8</v>
      </c>
      <c r="L733" s="1">
        <v>0.3</v>
      </c>
      <c r="M733" s="1">
        <v>0.39</v>
      </c>
      <c r="N733" s="1" t="s">
        <v>72</v>
      </c>
      <c r="O733" s="1" t="s">
        <v>814</v>
      </c>
      <c r="P733" s="1">
        <v>1400</v>
      </c>
      <c r="T733"/>
    </row>
    <row r="734" spans="9:20">
      <c r="I734" s="1" t="s">
        <v>50</v>
      </c>
      <c r="J734" s="1" t="s">
        <v>7</v>
      </c>
      <c r="K734" s="1" t="s">
        <v>8</v>
      </c>
      <c r="L734" s="1">
        <v>0.3</v>
      </c>
      <c r="M734" s="1">
        <v>0.39</v>
      </c>
      <c r="N734" s="1" t="s">
        <v>72</v>
      </c>
      <c r="O734" s="1" t="s">
        <v>815</v>
      </c>
      <c r="P734" s="1">
        <v>1300</v>
      </c>
      <c r="T734"/>
    </row>
    <row r="735" spans="9:20">
      <c r="I735" s="1" t="s">
        <v>50</v>
      </c>
      <c r="J735" s="1" t="s">
        <v>75</v>
      </c>
      <c r="K735" s="1" t="s">
        <v>8</v>
      </c>
      <c r="L735" s="1">
        <v>0.3</v>
      </c>
      <c r="M735" s="1">
        <v>0.39</v>
      </c>
      <c r="N735" s="1" t="s">
        <v>72</v>
      </c>
      <c r="O735" s="1" t="s">
        <v>816</v>
      </c>
      <c r="P735" s="1">
        <v>1200</v>
      </c>
      <c r="T735"/>
    </row>
    <row r="736" spans="9:20">
      <c r="I736" s="1" t="s">
        <v>50</v>
      </c>
      <c r="J736" s="1" t="s">
        <v>78</v>
      </c>
      <c r="K736" s="1" t="s">
        <v>8</v>
      </c>
      <c r="L736" s="1">
        <v>0.3</v>
      </c>
      <c r="M736" s="1">
        <v>0.39</v>
      </c>
      <c r="N736" s="1" t="s">
        <v>72</v>
      </c>
      <c r="O736" s="1" t="s">
        <v>817</v>
      </c>
      <c r="P736" s="1">
        <v>1100</v>
      </c>
      <c r="T736"/>
    </row>
    <row r="737" spans="9:20">
      <c r="I737" s="1" t="s">
        <v>50</v>
      </c>
      <c r="J737" s="1" t="s">
        <v>81</v>
      </c>
      <c r="K737" s="1" t="s">
        <v>8</v>
      </c>
      <c r="L737" s="1">
        <v>0.3</v>
      </c>
      <c r="M737" s="1">
        <v>0.39</v>
      </c>
      <c r="N737" s="1" t="s">
        <v>72</v>
      </c>
      <c r="O737" s="1" t="s">
        <v>818</v>
      </c>
      <c r="P737" s="1">
        <v>1000</v>
      </c>
      <c r="T737"/>
    </row>
    <row r="738" spans="9:20">
      <c r="I738" s="1" t="s">
        <v>50</v>
      </c>
      <c r="J738" s="1" t="s">
        <v>84</v>
      </c>
      <c r="K738" s="1" t="s">
        <v>8</v>
      </c>
      <c r="L738" s="1">
        <v>0.3</v>
      </c>
      <c r="M738" s="1">
        <v>0.39</v>
      </c>
      <c r="N738" s="1" t="s">
        <v>72</v>
      </c>
      <c r="O738" s="1" t="s">
        <v>819</v>
      </c>
      <c r="P738" s="1">
        <v>700</v>
      </c>
      <c r="T738"/>
    </row>
    <row r="739" spans="9:20">
      <c r="I739" s="1" t="s">
        <v>50</v>
      </c>
      <c r="J739" s="1" t="s">
        <v>1</v>
      </c>
      <c r="K739" s="1" t="s">
        <v>9</v>
      </c>
      <c r="L739" s="1">
        <v>0.3</v>
      </c>
      <c r="M739" s="1">
        <v>0.39</v>
      </c>
      <c r="N739" s="1" t="s">
        <v>72</v>
      </c>
      <c r="O739" s="1" t="s">
        <v>820</v>
      </c>
      <c r="P739" s="1">
        <v>2300</v>
      </c>
      <c r="T739"/>
    </row>
    <row r="740" spans="9:20">
      <c r="I740" s="1" t="s">
        <v>50</v>
      </c>
      <c r="J740" s="1" t="s">
        <v>2</v>
      </c>
      <c r="K740" s="1" t="s">
        <v>9</v>
      </c>
      <c r="L740" s="1">
        <v>0.3</v>
      </c>
      <c r="M740" s="1">
        <v>0.39</v>
      </c>
      <c r="N740" s="1" t="s">
        <v>72</v>
      </c>
      <c r="O740" s="1" t="s">
        <v>821</v>
      </c>
      <c r="P740" s="1">
        <v>2000</v>
      </c>
      <c r="T740"/>
    </row>
    <row r="741" spans="9:20">
      <c r="I741" s="1" t="s">
        <v>50</v>
      </c>
      <c r="J741" s="1" t="s">
        <v>3</v>
      </c>
      <c r="K741" s="1" t="s">
        <v>9</v>
      </c>
      <c r="L741" s="1">
        <v>0.3</v>
      </c>
      <c r="M741" s="1">
        <v>0.39</v>
      </c>
      <c r="N741" s="1" t="s">
        <v>72</v>
      </c>
      <c r="O741" s="1" t="s">
        <v>822</v>
      </c>
      <c r="P741" s="1">
        <v>1700</v>
      </c>
      <c r="T741"/>
    </row>
    <row r="742" spans="9:20">
      <c r="I742" s="1" t="s">
        <v>50</v>
      </c>
      <c r="J742" s="1" t="s">
        <v>4</v>
      </c>
      <c r="K742" s="1" t="s">
        <v>9</v>
      </c>
      <c r="L742" s="1">
        <v>0.3</v>
      </c>
      <c r="M742" s="1">
        <v>0.39</v>
      </c>
      <c r="N742" s="1" t="s">
        <v>72</v>
      </c>
      <c r="O742" s="1" t="s">
        <v>823</v>
      </c>
      <c r="P742" s="1">
        <v>1500</v>
      </c>
      <c r="T742"/>
    </row>
    <row r="743" spans="9:20">
      <c r="I743" s="1" t="s">
        <v>50</v>
      </c>
      <c r="J743" s="1" t="s">
        <v>5</v>
      </c>
      <c r="K743" s="1" t="s">
        <v>9</v>
      </c>
      <c r="L743" s="1">
        <v>0.3</v>
      </c>
      <c r="M743" s="1">
        <v>0.39</v>
      </c>
      <c r="N743" s="1" t="s">
        <v>72</v>
      </c>
      <c r="O743" s="1" t="s">
        <v>824</v>
      </c>
      <c r="P743" s="1">
        <v>1400</v>
      </c>
      <c r="T743"/>
    </row>
    <row r="744" spans="9:20">
      <c r="I744" s="1" t="s">
        <v>50</v>
      </c>
      <c r="J744" s="1" t="s">
        <v>6</v>
      </c>
      <c r="K744" s="1" t="s">
        <v>9</v>
      </c>
      <c r="L744" s="1">
        <v>0.3</v>
      </c>
      <c r="M744" s="1">
        <v>0.39</v>
      </c>
      <c r="N744" s="1" t="s">
        <v>72</v>
      </c>
      <c r="O744" s="1" t="s">
        <v>825</v>
      </c>
      <c r="P744" s="1">
        <v>1300</v>
      </c>
      <c r="T744"/>
    </row>
    <row r="745" spans="9:20">
      <c r="I745" s="1" t="s">
        <v>50</v>
      </c>
      <c r="J745" s="1" t="s">
        <v>7</v>
      </c>
      <c r="K745" s="1" t="s">
        <v>9</v>
      </c>
      <c r="L745" s="1">
        <v>0.3</v>
      </c>
      <c r="M745" s="1">
        <v>0.39</v>
      </c>
      <c r="N745" s="1" t="s">
        <v>72</v>
      </c>
      <c r="O745" s="1" t="s">
        <v>826</v>
      </c>
      <c r="P745" s="1">
        <v>1200</v>
      </c>
      <c r="T745"/>
    </row>
    <row r="746" spans="9:20">
      <c r="I746" s="1" t="s">
        <v>50</v>
      </c>
      <c r="J746" s="1" t="s">
        <v>75</v>
      </c>
      <c r="K746" s="1" t="s">
        <v>9</v>
      </c>
      <c r="L746" s="1">
        <v>0.3</v>
      </c>
      <c r="M746" s="1">
        <v>0.39</v>
      </c>
      <c r="N746" s="1" t="s">
        <v>72</v>
      </c>
      <c r="O746" s="1" t="s">
        <v>827</v>
      </c>
      <c r="P746" s="1">
        <v>1100</v>
      </c>
      <c r="T746"/>
    </row>
    <row r="747" spans="9:20">
      <c r="I747" s="1" t="s">
        <v>50</v>
      </c>
      <c r="J747" s="1" t="s">
        <v>78</v>
      </c>
      <c r="K747" s="1" t="s">
        <v>9</v>
      </c>
      <c r="L747" s="1">
        <v>0.3</v>
      </c>
      <c r="M747" s="1">
        <v>0.39</v>
      </c>
      <c r="N747" s="1" t="s">
        <v>72</v>
      </c>
      <c r="O747" s="1" t="s">
        <v>828</v>
      </c>
      <c r="P747" s="1">
        <v>1000</v>
      </c>
      <c r="T747"/>
    </row>
    <row r="748" spans="9:20">
      <c r="I748" s="1" t="s">
        <v>50</v>
      </c>
      <c r="J748" s="1" t="s">
        <v>81</v>
      </c>
      <c r="K748" s="1" t="s">
        <v>9</v>
      </c>
      <c r="L748" s="1">
        <v>0.3</v>
      </c>
      <c r="M748" s="1">
        <v>0.39</v>
      </c>
      <c r="N748" s="1" t="s">
        <v>72</v>
      </c>
      <c r="O748" s="1" t="s">
        <v>829</v>
      </c>
      <c r="P748" s="1">
        <v>900</v>
      </c>
      <c r="T748"/>
    </row>
    <row r="749" spans="9:20">
      <c r="I749" s="1" t="s">
        <v>50</v>
      </c>
      <c r="J749" s="1" t="s">
        <v>84</v>
      </c>
      <c r="K749" s="1" t="s">
        <v>9</v>
      </c>
      <c r="L749" s="1">
        <v>0.3</v>
      </c>
      <c r="M749" s="1">
        <v>0.39</v>
      </c>
      <c r="N749" s="1" t="s">
        <v>72</v>
      </c>
      <c r="O749" s="1" t="s">
        <v>830</v>
      </c>
      <c r="P749" s="1">
        <v>600</v>
      </c>
      <c r="T749"/>
    </row>
    <row r="750" spans="9:20">
      <c r="I750" s="1" t="s">
        <v>50</v>
      </c>
      <c r="J750" s="1" t="s">
        <v>1</v>
      </c>
      <c r="K750" s="1" t="s">
        <v>10</v>
      </c>
      <c r="L750" s="1">
        <v>0.3</v>
      </c>
      <c r="M750" s="1">
        <v>0.39</v>
      </c>
      <c r="N750" s="1" t="s">
        <v>72</v>
      </c>
      <c r="O750" s="1" t="s">
        <v>831</v>
      </c>
      <c r="P750" s="1">
        <v>2000</v>
      </c>
      <c r="T750"/>
    </row>
    <row r="751" spans="9:20">
      <c r="I751" s="1" t="s">
        <v>50</v>
      </c>
      <c r="J751" s="1" t="s">
        <v>2</v>
      </c>
      <c r="K751" s="1" t="s">
        <v>10</v>
      </c>
      <c r="L751" s="1">
        <v>0.3</v>
      </c>
      <c r="M751" s="1">
        <v>0.39</v>
      </c>
      <c r="N751" s="1" t="s">
        <v>72</v>
      </c>
      <c r="O751" s="1" t="s">
        <v>832</v>
      </c>
      <c r="P751" s="1">
        <v>1800</v>
      </c>
      <c r="T751"/>
    </row>
    <row r="752" spans="9:20">
      <c r="I752" s="1" t="s">
        <v>50</v>
      </c>
      <c r="J752" s="1" t="s">
        <v>3</v>
      </c>
      <c r="K752" s="1" t="s">
        <v>10</v>
      </c>
      <c r="L752" s="1">
        <v>0.3</v>
      </c>
      <c r="M752" s="1">
        <v>0.39</v>
      </c>
      <c r="N752" s="1" t="s">
        <v>72</v>
      </c>
      <c r="O752" s="1" t="s">
        <v>833</v>
      </c>
      <c r="P752" s="1">
        <v>1600</v>
      </c>
      <c r="T752"/>
    </row>
    <row r="753" spans="9:20">
      <c r="I753" s="1" t="s">
        <v>50</v>
      </c>
      <c r="J753" s="1" t="s">
        <v>4</v>
      </c>
      <c r="K753" s="1" t="s">
        <v>10</v>
      </c>
      <c r="L753" s="1">
        <v>0.3</v>
      </c>
      <c r="M753" s="1">
        <v>0.39</v>
      </c>
      <c r="N753" s="1" t="s">
        <v>72</v>
      </c>
      <c r="O753" s="1" t="s">
        <v>834</v>
      </c>
      <c r="P753" s="1">
        <v>1400</v>
      </c>
      <c r="T753"/>
    </row>
    <row r="754" spans="9:20">
      <c r="I754" s="1" t="s">
        <v>50</v>
      </c>
      <c r="J754" s="1" t="s">
        <v>5</v>
      </c>
      <c r="K754" s="1" t="s">
        <v>10</v>
      </c>
      <c r="L754" s="1">
        <v>0.3</v>
      </c>
      <c r="M754" s="1">
        <v>0.39</v>
      </c>
      <c r="N754" s="1" t="s">
        <v>72</v>
      </c>
      <c r="O754" s="1" t="s">
        <v>835</v>
      </c>
      <c r="P754" s="1">
        <v>1300</v>
      </c>
      <c r="T754"/>
    </row>
    <row r="755" spans="9:20">
      <c r="I755" s="1" t="s">
        <v>50</v>
      </c>
      <c r="J755" s="1" t="s">
        <v>6</v>
      </c>
      <c r="K755" s="1" t="s">
        <v>10</v>
      </c>
      <c r="L755" s="1">
        <v>0.3</v>
      </c>
      <c r="M755" s="1">
        <v>0.39</v>
      </c>
      <c r="N755" s="1" t="s">
        <v>72</v>
      </c>
      <c r="O755" s="1" t="s">
        <v>836</v>
      </c>
      <c r="P755" s="1">
        <v>1200</v>
      </c>
      <c r="T755"/>
    </row>
    <row r="756" spans="9:20">
      <c r="I756" s="1" t="s">
        <v>50</v>
      </c>
      <c r="J756" s="1" t="s">
        <v>7</v>
      </c>
      <c r="K756" s="1" t="s">
        <v>10</v>
      </c>
      <c r="L756" s="1">
        <v>0.3</v>
      </c>
      <c r="M756" s="1">
        <v>0.39</v>
      </c>
      <c r="N756" s="1" t="s">
        <v>72</v>
      </c>
      <c r="O756" s="1" t="s">
        <v>837</v>
      </c>
      <c r="P756" s="1">
        <v>1100</v>
      </c>
      <c r="T756"/>
    </row>
    <row r="757" spans="9:20">
      <c r="I757" s="1" t="s">
        <v>50</v>
      </c>
      <c r="J757" s="1" t="s">
        <v>75</v>
      </c>
      <c r="K757" s="1" t="s">
        <v>10</v>
      </c>
      <c r="L757" s="1">
        <v>0.3</v>
      </c>
      <c r="M757" s="1">
        <v>0.39</v>
      </c>
      <c r="N757" s="1" t="s">
        <v>72</v>
      </c>
      <c r="O757" s="1" t="s">
        <v>838</v>
      </c>
      <c r="P757" s="1">
        <v>1000</v>
      </c>
      <c r="T757"/>
    </row>
    <row r="758" spans="9:20">
      <c r="I758" s="1" t="s">
        <v>50</v>
      </c>
      <c r="J758" s="1" t="s">
        <v>78</v>
      </c>
      <c r="K758" s="1" t="s">
        <v>10</v>
      </c>
      <c r="L758" s="1">
        <v>0.3</v>
      </c>
      <c r="M758" s="1">
        <v>0.39</v>
      </c>
      <c r="N758" s="1" t="s">
        <v>72</v>
      </c>
      <c r="O758" s="1" t="s">
        <v>839</v>
      </c>
      <c r="P758" s="1">
        <v>1000</v>
      </c>
      <c r="T758"/>
    </row>
    <row r="759" spans="9:20">
      <c r="I759" s="1" t="s">
        <v>50</v>
      </c>
      <c r="J759" s="1" t="s">
        <v>81</v>
      </c>
      <c r="K759" s="1" t="s">
        <v>10</v>
      </c>
      <c r="L759" s="1">
        <v>0.3</v>
      </c>
      <c r="M759" s="1">
        <v>0.39</v>
      </c>
      <c r="N759" s="1" t="s">
        <v>72</v>
      </c>
      <c r="O759" s="1" t="s">
        <v>840</v>
      </c>
      <c r="P759" s="1">
        <v>900</v>
      </c>
      <c r="T759"/>
    </row>
    <row r="760" spans="9:20">
      <c r="I760" s="1" t="s">
        <v>50</v>
      </c>
      <c r="J760" s="1" t="s">
        <v>84</v>
      </c>
      <c r="K760" s="1" t="s">
        <v>10</v>
      </c>
      <c r="L760" s="1">
        <v>0.3</v>
      </c>
      <c r="M760" s="1">
        <v>0.39</v>
      </c>
      <c r="N760" s="1" t="s">
        <v>72</v>
      </c>
      <c r="O760" s="1" t="s">
        <v>841</v>
      </c>
      <c r="P760" s="1">
        <v>600</v>
      </c>
      <c r="T760"/>
    </row>
    <row r="761" spans="9:20">
      <c r="I761" s="1" t="s">
        <v>50</v>
      </c>
      <c r="J761" s="1" t="s">
        <v>1</v>
      </c>
      <c r="K761" s="1" t="s">
        <v>11</v>
      </c>
      <c r="L761" s="1">
        <v>0.3</v>
      </c>
      <c r="M761" s="1">
        <v>0.39</v>
      </c>
      <c r="N761" s="1" t="s">
        <v>72</v>
      </c>
      <c r="O761" s="1" t="s">
        <v>842</v>
      </c>
      <c r="P761" s="1">
        <v>1800</v>
      </c>
      <c r="T761"/>
    </row>
    <row r="762" spans="9:20">
      <c r="I762" s="1" t="s">
        <v>50</v>
      </c>
      <c r="J762" s="1" t="s">
        <v>2</v>
      </c>
      <c r="K762" s="1" t="s">
        <v>11</v>
      </c>
      <c r="L762" s="1">
        <v>0.3</v>
      </c>
      <c r="M762" s="1">
        <v>0.39</v>
      </c>
      <c r="N762" s="1" t="s">
        <v>72</v>
      </c>
      <c r="O762" s="1" t="s">
        <v>843</v>
      </c>
      <c r="P762" s="1">
        <v>1600</v>
      </c>
      <c r="T762"/>
    </row>
    <row r="763" spans="9:20">
      <c r="I763" s="1" t="s">
        <v>50</v>
      </c>
      <c r="J763" s="1" t="s">
        <v>3</v>
      </c>
      <c r="K763" s="1" t="s">
        <v>11</v>
      </c>
      <c r="L763" s="1">
        <v>0.3</v>
      </c>
      <c r="M763" s="1">
        <v>0.39</v>
      </c>
      <c r="N763" s="1" t="s">
        <v>72</v>
      </c>
      <c r="O763" s="1" t="s">
        <v>844</v>
      </c>
      <c r="P763" s="1">
        <v>1400</v>
      </c>
      <c r="T763"/>
    </row>
    <row r="764" spans="9:20">
      <c r="I764" s="1" t="s">
        <v>50</v>
      </c>
      <c r="J764" s="1" t="s">
        <v>4</v>
      </c>
      <c r="K764" s="1" t="s">
        <v>11</v>
      </c>
      <c r="L764" s="1">
        <v>0.3</v>
      </c>
      <c r="M764" s="1">
        <v>0.39</v>
      </c>
      <c r="N764" s="1" t="s">
        <v>72</v>
      </c>
      <c r="O764" s="1" t="s">
        <v>845</v>
      </c>
      <c r="P764" s="1">
        <v>1300</v>
      </c>
      <c r="T764"/>
    </row>
    <row r="765" spans="9:20">
      <c r="I765" s="1" t="s">
        <v>50</v>
      </c>
      <c r="J765" s="1" t="s">
        <v>5</v>
      </c>
      <c r="K765" s="1" t="s">
        <v>11</v>
      </c>
      <c r="L765" s="1">
        <v>0.3</v>
      </c>
      <c r="M765" s="1">
        <v>0.39</v>
      </c>
      <c r="N765" s="1" t="s">
        <v>72</v>
      </c>
      <c r="O765" s="1" t="s">
        <v>846</v>
      </c>
      <c r="P765" s="1">
        <v>1200</v>
      </c>
      <c r="T765"/>
    </row>
    <row r="766" spans="9:20">
      <c r="I766" s="1" t="s">
        <v>50</v>
      </c>
      <c r="J766" s="1" t="s">
        <v>6</v>
      </c>
      <c r="K766" s="1" t="s">
        <v>11</v>
      </c>
      <c r="L766" s="1">
        <v>0.3</v>
      </c>
      <c r="M766" s="1">
        <v>0.39</v>
      </c>
      <c r="N766" s="1" t="s">
        <v>72</v>
      </c>
      <c r="O766" s="1" t="s">
        <v>847</v>
      </c>
      <c r="P766" s="1">
        <v>1200</v>
      </c>
      <c r="T766"/>
    </row>
    <row r="767" spans="9:20">
      <c r="I767" s="1" t="s">
        <v>50</v>
      </c>
      <c r="J767" s="1" t="s">
        <v>7</v>
      </c>
      <c r="K767" s="1" t="s">
        <v>11</v>
      </c>
      <c r="L767" s="1">
        <v>0.3</v>
      </c>
      <c r="M767" s="1">
        <v>0.39</v>
      </c>
      <c r="N767" s="1" t="s">
        <v>72</v>
      </c>
      <c r="O767" s="1" t="s">
        <v>848</v>
      </c>
      <c r="P767" s="1">
        <v>1100</v>
      </c>
      <c r="T767"/>
    </row>
    <row r="768" spans="9:20">
      <c r="I768" s="1" t="s">
        <v>50</v>
      </c>
      <c r="J768" s="1" t="s">
        <v>75</v>
      </c>
      <c r="K768" s="1" t="s">
        <v>11</v>
      </c>
      <c r="L768" s="1">
        <v>0.3</v>
      </c>
      <c r="M768" s="1">
        <v>0.39</v>
      </c>
      <c r="N768" s="1" t="s">
        <v>72</v>
      </c>
      <c r="O768" s="1" t="s">
        <v>849</v>
      </c>
      <c r="P768" s="1">
        <v>1000</v>
      </c>
      <c r="T768"/>
    </row>
    <row r="769" spans="9:20">
      <c r="I769" s="1" t="s">
        <v>50</v>
      </c>
      <c r="J769" s="1" t="s">
        <v>78</v>
      </c>
      <c r="K769" s="1" t="s">
        <v>11</v>
      </c>
      <c r="L769" s="1">
        <v>0.3</v>
      </c>
      <c r="M769" s="1">
        <v>0.39</v>
      </c>
      <c r="N769" s="1" t="s">
        <v>72</v>
      </c>
      <c r="O769" s="1" t="s">
        <v>850</v>
      </c>
      <c r="P769" s="1">
        <v>900</v>
      </c>
      <c r="T769"/>
    </row>
    <row r="770" spans="9:20">
      <c r="I770" s="1" t="s">
        <v>50</v>
      </c>
      <c r="J770" s="1" t="s">
        <v>81</v>
      </c>
      <c r="K770" s="1" t="s">
        <v>11</v>
      </c>
      <c r="L770" s="1">
        <v>0.3</v>
      </c>
      <c r="M770" s="1">
        <v>0.39</v>
      </c>
      <c r="N770" s="1" t="s">
        <v>72</v>
      </c>
      <c r="O770" s="1" t="s">
        <v>851</v>
      </c>
      <c r="P770" s="1">
        <v>800</v>
      </c>
      <c r="T770"/>
    </row>
    <row r="771" spans="9:20">
      <c r="I771" s="1" t="s">
        <v>50</v>
      </c>
      <c r="J771" s="1" t="s">
        <v>84</v>
      </c>
      <c r="K771" s="1" t="s">
        <v>11</v>
      </c>
      <c r="L771" s="1">
        <v>0.3</v>
      </c>
      <c r="M771" s="1">
        <v>0.39</v>
      </c>
      <c r="N771" s="1" t="s">
        <v>72</v>
      </c>
      <c r="O771" s="1" t="s">
        <v>852</v>
      </c>
      <c r="P771" s="1">
        <v>500</v>
      </c>
      <c r="T771"/>
    </row>
    <row r="772" spans="9:20">
      <c r="I772" s="1" t="s">
        <v>50</v>
      </c>
      <c r="J772" s="1" t="s">
        <v>1</v>
      </c>
      <c r="K772" s="1" t="s">
        <v>12</v>
      </c>
      <c r="L772" s="1">
        <v>0.3</v>
      </c>
      <c r="M772" s="1">
        <v>0.39</v>
      </c>
      <c r="N772" s="1" t="s">
        <v>72</v>
      </c>
      <c r="O772" s="1" t="s">
        <v>853</v>
      </c>
      <c r="P772" s="1">
        <v>1500</v>
      </c>
      <c r="T772"/>
    </row>
    <row r="773" spans="9:20">
      <c r="I773" s="1" t="s">
        <v>50</v>
      </c>
      <c r="J773" s="1" t="s">
        <v>2</v>
      </c>
      <c r="K773" s="1" t="s">
        <v>12</v>
      </c>
      <c r="L773" s="1">
        <v>0.3</v>
      </c>
      <c r="M773" s="1">
        <v>0.39</v>
      </c>
      <c r="N773" s="1" t="s">
        <v>72</v>
      </c>
      <c r="O773" s="1" t="s">
        <v>854</v>
      </c>
      <c r="P773" s="1">
        <v>1400</v>
      </c>
      <c r="T773"/>
    </row>
    <row r="774" spans="9:20">
      <c r="I774" s="1" t="s">
        <v>50</v>
      </c>
      <c r="J774" s="1" t="s">
        <v>3</v>
      </c>
      <c r="K774" s="1" t="s">
        <v>12</v>
      </c>
      <c r="L774" s="1">
        <v>0.3</v>
      </c>
      <c r="M774" s="1">
        <v>0.39</v>
      </c>
      <c r="N774" s="1" t="s">
        <v>72</v>
      </c>
      <c r="O774" s="1" t="s">
        <v>855</v>
      </c>
      <c r="P774" s="1">
        <v>1300</v>
      </c>
      <c r="T774"/>
    </row>
    <row r="775" spans="9:20">
      <c r="I775" s="1" t="s">
        <v>50</v>
      </c>
      <c r="J775" s="1" t="s">
        <v>4</v>
      </c>
      <c r="K775" s="1" t="s">
        <v>12</v>
      </c>
      <c r="L775" s="1">
        <v>0.3</v>
      </c>
      <c r="M775" s="1">
        <v>0.39</v>
      </c>
      <c r="N775" s="1" t="s">
        <v>72</v>
      </c>
      <c r="O775" s="1" t="s">
        <v>856</v>
      </c>
      <c r="P775" s="1">
        <v>1200</v>
      </c>
      <c r="T775"/>
    </row>
    <row r="776" spans="9:20">
      <c r="I776" s="1" t="s">
        <v>50</v>
      </c>
      <c r="J776" s="1" t="s">
        <v>5</v>
      </c>
      <c r="K776" s="1" t="s">
        <v>12</v>
      </c>
      <c r="L776" s="1">
        <v>0.3</v>
      </c>
      <c r="M776" s="1">
        <v>0.39</v>
      </c>
      <c r="N776" s="1" t="s">
        <v>72</v>
      </c>
      <c r="O776" s="1" t="s">
        <v>857</v>
      </c>
      <c r="P776" s="1">
        <v>1100</v>
      </c>
      <c r="T776"/>
    </row>
    <row r="777" spans="9:20">
      <c r="I777" s="1" t="s">
        <v>50</v>
      </c>
      <c r="J777" s="1" t="s">
        <v>6</v>
      </c>
      <c r="K777" s="1" t="s">
        <v>12</v>
      </c>
      <c r="L777" s="1">
        <v>0.3</v>
      </c>
      <c r="M777" s="1">
        <v>0.39</v>
      </c>
      <c r="N777" s="1" t="s">
        <v>72</v>
      </c>
      <c r="O777" s="1" t="s">
        <v>858</v>
      </c>
      <c r="P777" s="1">
        <v>1100</v>
      </c>
      <c r="T777"/>
    </row>
    <row r="778" spans="9:20">
      <c r="I778" s="1" t="s">
        <v>50</v>
      </c>
      <c r="J778" s="1" t="s">
        <v>7</v>
      </c>
      <c r="K778" s="1" t="s">
        <v>12</v>
      </c>
      <c r="L778" s="1">
        <v>0.3</v>
      </c>
      <c r="M778" s="1">
        <v>0.39</v>
      </c>
      <c r="N778" s="1" t="s">
        <v>72</v>
      </c>
      <c r="O778" s="1" t="s">
        <v>859</v>
      </c>
      <c r="P778" s="1">
        <v>1000</v>
      </c>
      <c r="T778"/>
    </row>
    <row r="779" spans="9:20">
      <c r="I779" s="1" t="s">
        <v>50</v>
      </c>
      <c r="J779" s="1" t="s">
        <v>75</v>
      </c>
      <c r="K779" s="1" t="s">
        <v>12</v>
      </c>
      <c r="L779" s="1">
        <v>0.3</v>
      </c>
      <c r="M779" s="1">
        <v>0.39</v>
      </c>
      <c r="N779" s="1" t="s">
        <v>72</v>
      </c>
      <c r="O779" s="1" t="s">
        <v>860</v>
      </c>
      <c r="P779" s="1">
        <v>900</v>
      </c>
      <c r="T779"/>
    </row>
    <row r="780" spans="9:20">
      <c r="I780" s="1" t="s">
        <v>50</v>
      </c>
      <c r="J780" s="1" t="s">
        <v>78</v>
      </c>
      <c r="K780" s="1" t="s">
        <v>12</v>
      </c>
      <c r="L780" s="1">
        <v>0.3</v>
      </c>
      <c r="M780" s="1">
        <v>0.39</v>
      </c>
      <c r="N780" s="1" t="s">
        <v>72</v>
      </c>
      <c r="O780" s="1" t="s">
        <v>861</v>
      </c>
      <c r="P780" s="1">
        <v>800</v>
      </c>
      <c r="T780"/>
    </row>
    <row r="781" spans="9:20">
      <c r="I781" s="1" t="s">
        <v>50</v>
      </c>
      <c r="J781" s="1" t="s">
        <v>81</v>
      </c>
      <c r="K781" s="1" t="s">
        <v>12</v>
      </c>
      <c r="L781" s="1">
        <v>0.3</v>
      </c>
      <c r="M781" s="1">
        <v>0.39</v>
      </c>
      <c r="N781" s="1" t="s">
        <v>72</v>
      </c>
      <c r="O781" s="1" t="s">
        <v>862</v>
      </c>
      <c r="P781" s="1">
        <v>700</v>
      </c>
      <c r="T781"/>
    </row>
    <row r="782" spans="9:20">
      <c r="I782" s="1" t="s">
        <v>50</v>
      </c>
      <c r="J782" s="1" t="s">
        <v>84</v>
      </c>
      <c r="K782" s="1" t="s">
        <v>12</v>
      </c>
      <c r="L782" s="1">
        <v>0.3</v>
      </c>
      <c r="M782" s="1">
        <v>0.39</v>
      </c>
      <c r="N782" s="1" t="s">
        <v>72</v>
      </c>
      <c r="O782" s="1" t="s">
        <v>863</v>
      </c>
      <c r="P782" s="1">
        <v>500</v>
      </c>
      <c r="T782"/>
    </row>
    <row r="783" spans="9:20">
      <c r="I783" s="1" t="s">
        <v>50</v>
      </c>
      <c r="J783" s="1" t="s">
        <v>1</v>
      </c>
      <c r="K783" s="1" t="s">
        <v>13</v>
      </c>
      <c r="L783" s="1">
        <v>0.3</v>
      </c>
      <c r="M783" s="1">
        <v>0.39</v>
      </c>
      <c r="N783" s="1" t="s">
        <v>72</v>
      </c>
      <c r="O783" s="1" t="s">
        <v>864</v>
      </c>
      <c r="P783" s="1">
        <v>1300</v>
      </c>
      <c r="T783"/>
    </row>
    <row r="784" spans="9:20">
      <c r="I784" s="1" t="s">
        <v>50</v>
      </c>
      <c r="J784" s="1" t="s">
        <v>2</v>
      </c>
      <c r="K784" s="1" t="s">
        <v>13</v>
      </c>
      <c r="L784" s="1">
        <v>0.3</v>
      </c>
      <c r="M784" s="1">
        <v>0.39</v>
      </c>
      <c r="N784" s="1" t="s">
        <v>72</v>
      </c>
      <c r="O784" s="1" t="s">
        <v>865</v>
      </c>
      <c r="P784" s="1">
        <v>1200</v>
      </c>
      <c r="T784"/>
    </row>
    <row r="785" spans="9:20">
      <c r="I785" s="1" t="s">
        <v>50</v>
      </c>
      <c r="J785" s="1" t="s">
        <v>3</v>
      </c>
      <c r="K785" s="1" t="s">
        <v>13</v>
      </c>
      <c r="L785" s="1">
        <v>0.3</v>
      </c>
      <c r="M785" s="1">
        <v>0.39</v>
      </c>
      <c r="N785" s="1" t="s">
        <v>72</v>
      </c>
      <c r="O785" s="1" t="s">
        <v>866</v>
      </c>
      <c r="P785" s="1">
        <v>1100</v>
      </c>
      <c r="T785"/>
    </row>
    <row r="786" spans="9:20">
      <c r="I786" s="1" t="s">
        <v>50</v>
      </c>
      <c r="J786" s="1" t="s">
        <v>4</v>
      </c>
      <c r="K786" s="1" t="s">
        <v>13</v>
      </c>
      <c r="L786" s="1">
        <v>0.3</v>
      </c>
      <c r="M786" s="1">
        <v>0.39</v>
      </c>
      <c r="N786" s="1" t="s">
        <v>72</v>
      </c>
      <c r="O786" s="1" t="s">
        <v>867</v>
      </c>
      <c r="P786" s="1">
        <v>1100</v>
      </c>
      <c r="T786"/>
    </row>
    <row r="787" spans="9:20">
      <c r="I787" s="1" t="s">
        <v>50</v>
      </c>
      <c r="J787" s="1" t="s">
        <v>5</v>
      </c>
      <c r="K787" s="1" t="s">
        <v>13</v>
      </c>
      <c r="L787" s="1">
        <v>0.3</v>
      </c>
      <c r="M787" s="1">
        <v>0.39</v>
      </c>
      <c r="N787" s="1" t="s">
        <v>72</v>
      </c>
      <c r="O787" s="1" t="s">
        <v>868</v>
      </c>
      <c r="P787" s="1">
        <v>1000</v>
      </c>
      <c r="T787"/>
    </row>
    <row r="788" spans="9:20">
      <c r="I788" s="1" t="s">
        <v>50</v>
      </c>
      <c r="J788" s="1" t="s">
        <v>6</v>
      </c>
      <c r="K788" s="1" t="s">
        <v>13</v>
      </c>
      <c r="L788" s="1">
        <v>0.3</v>
      </c>
      <c r="M788" s="1">
        <v>0.39</v>
      </c>
      <c r="N788" s="1" t="s">
        <v>72</v>
      </c>
      <c r="O788" s="1" t="s">
        <v>869</v>
      </c>
      <c r="P788" s="1">
        <v>1000</v>
      </c>
      <c r="T788"/>
    </row>
    <row r="789" spans="9:20">
      <c r="I789" s="1" t="s">
        <v>50</v>
      </c>
      <c r="J789" s="1" t="s">
        <v>7</v>
      </c>
      <c r="K789" s="1" t="s">
        <v>13</v>
      </c>
      <c r="L789" s="1">
        <v>0.3</v>
      </c>
      <c r="M789" s="1">
        <v>0.39</v>
      </c>
      <c r="N789" s="1" t="s">
        <v>72</v>
      </c>
      <c r="O789" s="1" t="s">
        <v>870</v>
      </c>
      <c r="P789" s="1">
        <v>900</v>
      </c>
      <c r="T789"/>
    </row>
    <row r="790" spans="9:20">
      <c r="I790" s="1" t="s">
        <v>50</v>
      </c>
      <c r="J790" s="1" t="s">
        <v>75</v>
      </c>
      <c r="K790" s="1" t="s">
        <v>13</v>
      </c>
      <c r="L790" s="1">
        <v>0.3</v>
      </c>
      <c r="M790" s="1">
        <v>0.39</v>
      </c>
      <c r="N790" s="1" t="s">
        <v>72</v>
      </c>
      <c r="O790" s="1" t="s">
        <v>871</v>
      </c>
      <c r="P790" s="1">
        <v>800</v>
      </c>
      <c r="T790"/>
    </row>
    <row r="791" spans="9:20">
      <c r="I791" s="1" t="s">
        <v>50</v>
      </c>
      <c r="J791" s="1" t="s">
        <v>78</v>
      </c>
      <c r="K791" s="1" t="s">
        <v>13</v>
      </c>
      <c r="L791" s="1">
        <v>0.3</v>
      </c>
      <c r="M791" s="1">
        <v>0.39</v>
      </c>
      <c r="N791" s="1" t="s">
        <v>72</v>
      </c>
      <c r="O791" s="1" t="s">
        <v>872</v>
      </c>
      <c r="P791" s="1">
        <v>700</v>
      </c>
      <c r="T791"/>
    </row>
    <row r="792" spans="9:20">
      <c r="I792" s="1" t="s">
        <v>50</v>
      </c>
      <c r="J792" s="1" t="s">
        <v>81</v>
      </c>
      <c r="K792" s="1" t="s">
        <v>13</v>
      </c>
      <c r="L792" s="1">
        <v>0.3</v>
      </c>
      <c r="M792" s="1">
        <v>0.39</v>
      </c>
      <c r="N792" s="1" t="s">
        <v>72</v>
      </c>
      <c r="O792" s="1" t="s">
        <v>873</v>
      </c>
      <c r="P792" s="1">
        <v>600</v>
      </c>
      <c r="T792"/>
    </row>
    <row r="793" spans="9:20">
      <c r="I793" s="1" t="s">
        <v>50</v>
      </c>
      <c r="J793" s="1" t="s">
        <v>84</v>
      </c>
      <c r="K793" s="1" t="s">
        <v>13</v>
      </c>
      <c r="L793" s="1">
        <v>0.3</v>
      </c>
      <c r="M793" s="1">
        <v>0.39</v>
      </c>
      <c r="N793" s="1" t="s">
        <v>72</v>
      </c>
      <c r="O793" s="1" t="s">
        <v>874</v>
      </c>
      <c r="P793" s="1">
        <v>500</v>
      </c>
      <c r="T793"/>
    </row>
    <row r="794" spans="9:20">
      <c r="I794" s="1" t="s">
        <v>50</v>
      </c>
      <c r="J794" s="1" t="s">
        <v>1</v>
      </c>
      <c r="K794" s="1" t="s">
        <v>14</v>
      </c>
      <c r="L794" s="1">
        <v>0.3</v>
      </c>
      <c r="M794" s="1">
        <v>0.39</v>
      </c>
      <c r="N794" s="1" t="s">
        <v>72</v>
      </c>
      <c r="O794" s="1" t="s">
        <v>875</v>
      </c>
      <c r="P794" s="1">
        <v>1200</v>
      </c>
      <c r="T794"/>
    </row>
    <row r="795" spans="9:20">
      <c r="I795" s="1" t="s">
        <v>50</v>
      </c>
      <c r="J795" s="1" t="s">
        <v>2</v>
      </c>
      <c r="K795" s="1" t="s">
        <v>14</v>
      </c>
      <c r="L795" s="1">
        <v>0.3</v>
      </c>
      <c r="M795" s="1">
        <v>0.39</v>
      </c>
      <c r="N795" s="1" t="s">
        <v>72</v>
      </c>
      <c r="O795" s="1" t="s">
        <v>876</v>
      </c>
      <c r="P795" s="1">
        <v>1100</v>
      </c>
      <c r="T795"/>
    </row>
    <row r="796" spans="9:20">
      <c r="I796" s="1" t="s">
        <v>50</v>
      </c>
      <c r="J796" s="1" t="s">
        <v>3</v>
      </c>
      <c r="K796" s="1" t="s">
        <v>14</v>
      </c>
      <c r="L796" s="1">
        <v>0.3</v>
      </c>
      <c r="M796" s="1">
        <v>0.39</v>
      </c>
      <c r="N796" s="1" t="s">
        <v>72</v>
      </c>
      <c r="O796" s="1" t="s">
        <v>877</v>
      </c>
      <c r="P796" s="1">
        <v>1000</v>
      </c>
      <c r="T796"/>
    </row>
    <row r="797" spans="9:20">
      <c r="I797" s="1" t="s">
        <v>50</v>
      </c>
      <c r="J797" s="1" t="s">
        <v>4</v>
      </c>
      <c r="K797" s="1" t="s">
        <v>14</v>
      </c>
      <c r="L797" s="1">
        <v>0.3</v>
      </c>
      <c r="M797" s="1">
        <v>0.39</v>
      </c>
      <c r="N797" s="1" t="s">
        <v>72</v>
      </c>
      <c r="O797" s="1" t="s">
        <v>878</v>
      </c>
      <c r="P797" s="1">
        <v>1000</v>
      </c>
      <c r="T797"/>
    </row>
    <row r="798" spans="9:20">
      <c r="I798" s="1" t="s">
        <v>50</v>
      </c>
      <c r="J798" s="1" t="s">
        <v>5</v>
      </c>
      <c r="K798" s="1" t="s">
        <v>14</v>
      </c>
      <c r="L798" s="1">
        <v>0.3</v>
      </c>
      <c r="M798" s="1">
        <v>0.39</v>
      </c>
      <c r="N798" s="1" t="s">
        <v>72</v>
      </c>
      <c r="O798" s="1" t="s">
        <v>879</v>
      </c>
      <c r="P798" s="1">
        <v>900</v>
      </c>
      <c r="T798"/>
    </row>
    <row r="799" spans="9:20">
      <c r="I799" s="1" t="s">
        <v>50</v>
      </c>
      <c r="J799" s="1" t="s">
        <v>6</v>
      </c>
      <c r="K799" s="1" t="s">
        <v>14</v>
      </c>
      <c r="L799" s="1">
        <v>0.3</v>
      </c>
      <c r="M799" s="1">
        <v>0.39</v>
      </c>
      <c r="N799" s="1" t="s">
        <v>72</v>
      </c>
      <c r="O799" s="1" t="s">
        <v>880</v>
      </c>
      <c r="P799" s="1">
        <v>900</v>
      </c>
      <c r="T799"/>
    </row>
    <row r="800" spans="9:20">
      <c r="I800" s="1" t="s">
        <v>50</v>
      </c>
      <c r="J800" s="1" t="s">
        <v>7</v>
      </c>
      <c r="K800" s="1" t="s">
        <v>14</v>
      </c>
      <c r="L800" s="1">
        <v>0.3</v>
      </c>
      <c r="M800" s="1">
        <v>0.39</v>
      </c>
      <c r="N800" s="1" t="s">
        <v>72</v>
      </c>
      <c r="O800" s="1" t="s">
        <v>881</v>
      </c>
      <c r="P800" s="1">
        <v>800</v>
      </c>
      <c r="T800"/>
    </row>
    <row r="801" spans="9:20">
      <c r="I801" s="1" t="s">
        <v>50</v>
      </c>
      <c r="J801" s="1" t="s">
        <v>75</v>
      </c>
      <c r="K801" s="1" t="s">
        <v>14</v>
      </c>
      <c r="L801" s="1">
        <v>0.3</v>
      </c>
      <c r="M801" s="1">
        <v>0.39</v>
      </c>
      <c r="N801" s="1" t="s">
        <v>72</v>
      </c>
      <c r="O801" s="1" t="s">
        <v>882</v>
      </c>
      <c r="P801" s="1">
        <v>700</v>
      </c>
      <c r="T801"/>
    </row>
    <row r="802" spans="9:20">
      <c r="I802" s="1" t="s">
        <v>50</v>
      </c>
      <c r="J802" s="1" t="s">
        <v>78</v>
      </c>
      <c r="K802" s="1" t="s">
        <v>14</v>
      </c>
      <c r="L802" s="1">
        <v>0.3</v>
      </c>
      <c r="M802" s="1">
        <v>0.39</v>
      </c>
      <c r="N802" s="1" t="s">
        <v>72</v>
      </c>
      <c r="O802" s="1" t="s">
        <v>883</v>
      </c>
      <c r="P802" s="1">
        <v>600</v>
      </c>
      <c r="T802"/>
    </row>
    <row r="803" spans="9:20">
      <c r="I803" s="1" t="s">
        <v>50</v>
      </c>
      <c r="J803" s="1" t="s">
        <v>81</v>
      </c>
      <c r="K803" s="1" t="s">
        <v>14</v>
      </c>
      <c r="L803" s="1">
        <v>0.3</v>
      </c>
      <c r="M803" s="1">
        <v>0.39</v>
      </c>
      <c r="N803" s="1" t="s">
        <v>72</v>
      </c>
      <c r="O803" s="1" t="s">
        <v>884</v>
      </c>
      <c r="P803" s="1">
        <v>600</v>
      </c>
      <c r="T803"/>
    </row>
    <row r="804" spans="9:20">
      <c r="I804" s="1" t="s">
        <v>50</v>
      </c>
      <c r="J804" s="1" t="s">
        <v>84</v>
      </c>
      <c r="K804" s="1" t="s">
        <v>14</v>
      </c>
      <c r="L804" s="1">
        <v>0.3</v>
      </c>
      <c r="M804" s="1">
        <v>0.39</v>
      </c>
      <c r="N804" s="1" t="s">
        <v>72</v>
      </c>
      <c r="O804" s="1" t="s">
        <v>885</v>
      </c>
      <c r="P804" s="1">
        <v>400</v>
      </c>
      <c r="T804"/>
    </row>
    <row r="805" spans="9:20">
      <c r="I805" s="1" t="s">
        <v>50</v>
      </c>
      <c r="J805" s="1" t="s">
        <v>1</v>
      </c>
      <c r="K805" s="1" t="s">
        <v>15</v>
      </c>
      <c r="L805" s="1">
        <v>0.3</v>
      </c>
      <c r="M805" s="1">
        <v>0.39</v>
      </c>
      <c r="N805" s="1" t="s">
        <v>72</v>
      </c>
      <c r="O805" s="1" t="s">
        <v>886</v>
      </c>
      <c r="P805" s="1">
        <v>1100</v>
      </c>
      <c r="T805"/>
    </row>
    <row r="806" spans="9:20">
      <c r="I806" s="1" t="s">
        <v>50</v>
      </c>
      <c r="J806" s="1" t="s">
        <v>2</v>
      </c>
      <c r="K806" s="1" t="s">
        <v>15</v>
      </c>
      <c r="L806" s="1">
        <v>0.3</v>
      </c>
      <c r="M806" s="1">
        <v>0.39</v>
      </c>
      <c r="N806" s="1" t="s">
        <v>72</v>
      </c>
      <c r="O806" s="1" t="s">
        <v>887</v>
      </c>
      <c r="P806" s="1">
        <v>1000</v>
      </c>
      <c r="T806"/>
    </row>
    <row r="807" spans="9:20">
      <c r="I807" s="1" t="s">
        <v>50</v>
      </c>
      <c r="J807" s="1" t="s">
        <v>3</v>
      </c>
      <c r="K807" s="1" t="s">
        <v>15</v>
      </c>
      <c r="L807" s="1">
        <v>0.3</v>
      </c>
      <c r="M807" s="1">
        <v>0.39</v>
      </c>
      <c r="N807" s="1" t="s">
        <v>72</v>
      </c>
      <c r="O807" s="1" t="s">
        <v>888</v>
      </c>
      <c r="P807" s="1">
        <v>900</v>
      </c>
      <c r="T807"/>
    </row>
    <row r="808" spans="9:20">
      <c r="I808" s="1" t="s">
        <v>50</v>
      </c>
      <c r="J808" s="1" t="s">
        <v>4</v>
      </c>
      <c r="K808" s="1" t="s">
        <v>15</v>
      </c>
      <c r="L808" s="1">
        <v>0.3</v>
      </c>
      <c r="M808" s="1">
        <v>0.39</v>
      </c>
      <c r="N808" s="1" t="s">
        <v>72</v>
      </c>
      <c r="O808" s="1" t="s">
        <v>889</v>
      </c>
      <c r="P808" s="1">
        <v>900</v>
      </c>
      <c r="T808"/>
    </row>
    <row r="809" spans="9:20">
      <c r="I809" s="1" t="s">
        <v>50</v>
      </c>
      <c r="J809" s="1" t="s">
        <v>5</v>
      </c>
      <c r="K809" s="1" t="s">
        <v>15</v>
      </c>
      <c r="L809" s="1">
        <v>0.3</v>
      </c>
      <c r="M809" s="1">
        <v>0.39</v>
      </c>
      <c r="N809" s="1" t="s">
        <v>72</v>
      </c>
      <c r="O809" s="1" t="s">
        <v>890</v>
      </c>
      <c r="P809" s="1">
        <v>800</v>
      </c>
      <c r="T809"/>
    </row>
    <row r="810" spans="9:20">
      <c r="I810" s="1" t="s">
        <v>50</v>
      </c>
      <c r="J810" s="1" t="s">
        <v>6</v>
      </c>
      <c r="K810" s="1" t="s">
        <v>15</v>
      </c>
      <c r="L810" s="1">
        <v>0.3</v>
      </c>
      <c r="M810" s="1">
        <v>0.39</v>
      </c>
      <c r="N810" s="1" t="s">
        <v>72</v>
      </c>
      <c r="O810" s="1" t="s">
        <v>891</v>
      </c>
      <c r="P810" s="1">
        <v>800</v>
      </c>
      <c r="T810"/>
    </row>
    <row r="811" spans="9:20">
      <c r="I811" s="1" t="s">
        <v>50</v>
      </c>
      <c r="J811" s="1" t="s">
        <v>7</v>
      </c>
      <c r="K811" s="1" t="s">
        <v>15</v>
      </c>
      <c r="L811" s="1">
        <v>0.3</v>
      </c>
      <c r="M811" s="1">
        <v>0.39</v>
      </c>
      <c r="N811" s="1" t="s">
        <v>72</v>
      </c>
      <c r="O811" s="1" t="s">
        <v>892</v>
      </c>
      <c r="P811" s="1">
        <v>700</v>
      </c>
      <c r="T811"/>
    </row>
    <row r="812" spans="9:20">
      <c r="I812" s="1" t="s">
        <v>50</v>
      </c>
      <c r="J812" s="1" t="s">
        <v>75</v>
      </c>
      <c r="K812" s="1" t="s">
        <v>15</v>
      </c>
      <c r="L812" s="1">
        <v>0.3</v>
      </c>
      <c r="M812" s="1">
        <v>0.39</v>
      </c>
      <c r="N812" s="1" t="s">
        <v>72</v>
      </c>
      <c r="O812" s="1" t="s">
        <v>893</v>
      </c>
      <c r="P812" s="1">
        <v>600</v>
      </c>
      <c r="T812"/>
    </row>
    <row r="813" spans="9:20">
      <c r="I813" s="1" t="s">
        <v>50</v>
      </c>
      <c r="J813" s="1" t="s">
        <v>78</v>
      </c>
      <c r="K813" s="1" t="s">
        <v>15</v>
      </c>
      <c r="L813" s="1">
        <v>0.3</v>
      </c>
      <c r="M813" s="1">
        <v>0.39</v>
      </c>
      <c r="N813" s="1" t="s">
        <v>72</v>
      </c>
      <c r="O813" s="1" t="s">
        <v>894</v>
      </c>
      <c r="P813" s="1">
        <v>500</v>
      </c>
      <c r="T813"/>
    </row>
    <row r="814" spans="9:20">
      <c r="I814" s="1" t="s">
        <v>50</v>
      </c>
      <c r="J814" s="1" t="s">
        <v>81</v>
      </c>
      <c r="K814" s="1" t="s">
        <v>15</v>
      </c>
      <c r="L814" s="1">
        <v>0.3</v>
      </c>
      <c r="M814" s="1">
        <v>0.39</v>
      </c>
      <c r="N814" s="1" t="s">
        <v>72</v>
      </c>
      <c r="O814" s="1" t="s">
        <v>895</v>
      </c>
      <c r="P814" s="1">
        <v>500</v>
      </c>
      <c r="T814"/>
    </row>
    <row r="815" spans="9:20">
      <c r="I815" s="1" t="s">
        <v>50</v>
      </c>
      <c r="J815" s="1" t="s">
        <v>84</v>
      </c>
      <c r="K815" s="1" t="s">
        <v>15</v>
      </c>
      <c r="L815" s="1">
        <v>0.3</v>
      </c>
      <c r="M815" s="1">
        <v>0.39</v>
      </c>
      <c r="N815" s="1" t="s">
        <v>72</v>
      </c>
      <c r="O815" s="1" t="s">
        <v>896</v>
      </c>
      <c r="P815" s="1">
        <v>400</v>
      </c>
      <c r="T815"/>
    </row>
    <row r="816" spans="9:20">
      <c r="I816" s="1" t="s">
        <v>50</v>
      </c>
      <c r="J816" s="1" t="s">
        <v>1</v>
      </c>
      <c r="K816" s="1" t="s">
        <v>16</v>
      </c>
      <c r="L816" s="1">
        <v>0.3</v>
      </c>
      <c r="M816" s="1">
        <v>0.39</v>
      </c>
      <c r="N816" s="1" t="s">
        <v>72</v>
      </c>
      <c r="O816" s="1" t="s">
        <v>897</v>
      </c>
      <c r="P816" s="1">
        <v>1000</v>
      </c>
      <c r="T816"/>
    </row>
    <row r="817" spans="9:20">
      <c r="I817" s="1" t="s">
        <v>50</v>
      </c>
      <c r="J817" s="1" t="s">
        <v>2</v>
      </c>
      <c r="K817" s="1" t="s">
        <v>16</v>
      </c>
      <c r="L817" s="1">
        <v>0.3</v>
      </c>
      <c r="M817" s="1">
        <v>0.39</v>
      </c>
      <c r="N817" s="1" t="s">
        <v>72</v>
      </c>
      <c r="O817" s="1" t="s">
        <v>898</v>
      </c>
      <c r="P817" s="1">
        <v>900</v>
      </c>
      <c r="T817"/>
    </row>
    <row r="818" spans="9:20">
      <c r="I818" s="1" t="s">
        <v>50</v>
      </c>
      <c r="J818" s="1" t="s">
        <v>3</v>
      </c>
      <c r="K818" s="1" t="s">
        <v>16</v>
      </c>
      <c r="L818" s="1">
        <v>0.3</v>
      </c>
      <c r="M818" s="1">
        <v>0.39</v>
      </c>
      <c r="N818" s="1" t="s">
        <v>72</v>
      </c>
      <c r="O818" s="1" t="s">
        <v>899</v>
      </c>
      <c r="P818" s="1">
        <v>800</v>
      </c>
      <c r="T818"/>
    </row>
    <row r="819" spans="9:20">
      <c r="I819" s="1" t="s">
        <v>50</v>
      </c>
      <c r="J819" s="1" t="s">
        <v>4</v>
      </c>
      <c r="K819" s="1" t="s">
        <v>16</v>
      </c>
      <c r="L819" s="1">
        <v>0.3</v>
      </c>
      <c r="M819" s="1">
        <v>0.39</v>
      </c>
      <c r="N819" s="1" t="s">
        <v>72</v>
      </c>
      <c r="O819" s="1" t="s">
        <v>900</v>
      </c>
      <c r="P819" s="1">
        <v>800</v>
      </c>
      <c r="T819"/>
    </row>
    <row r="820" spans="9:20">
      <c r="I820" s="1" t="s">
        <v>50</v>
      </c>
      <c r="J820" s="1" t="s">
        <v>5</v>
      </c>
      <c r="K820" s="1" t="s">
        <v>16</v>
      </c>
      <c r="L820" s="1">
        <v>0.3</v>
      </c>
      <c r="M820" s="1">
        <v>0.39</v>
      </c>
      <c r="N820" s="1" t="s">
        <v>72</v>
      </c>
      <c r="O820" s="1" t="s">
        <v>901</v>
      </c>
      <c r="P820" s="1">
        <v>700</v>
      </c>
      <c r="T820"/>
    </row>
    <row r="821" spans="9:20">
      <c r="I821" s="1" t="s">
        <v>50</v>
      </c>
      <c r="J821" s="1" t="s">
        <v>6</v>
      </c>
      <c r="K821" s="1" t="s">
        <v>16</v>
      </c>
      <c r="L821" s="1">
        <v>0.3</v>
      </c>
      <c r="M821" s="1">
        <v>0.39</v>
      </c>
      <c r="N821" s="1" t="s">
        <v>72</v>
      </c>
      <c r="O821" s="1" t="s">
        <v>902</v>
      </c>
      <c r="P821" s="1">
        <v>700</v>
      </c>
      <c r="T821"/>
    </row>
    <row r="822" spans="9:20">
      <c r="I822" s="1" t="s">
        <v>50</v>
      </c>
      <c r="J822" s="1" t="s">
        <v>7</v>
      </c>
      <c r="K822" s="1" t="s">
        <v>16</v>
      </c>
      <c r="L822" s="1">
        <v>0.3</v>
      </c>
      <c r="M822" s="1">
        <v>0.39</v>
      </c>
      <c r="N822" s="1" t="s">
        <v>72</v>
      </c>
      <c r="O822" s="1" t="s">
        <v>903</v>
      </c>
      <c r="P822" s="1">
        <v>600</v>
      </c>
      <c r="T822"/>
    </row>
    <row r="823" spans="9:20">
      <c r="I823" s="1" t="s">
        <v>50</v>
      </c>
      <c r="J823" s="1" t="s">
        <v>75</v>
      </c>
      <c r="K823" s="1" t="s">
        <v>16</v>
      </c>
      <c r="L823" s="1">
        <v>0.3</v>
      </c>
      <c r="M823" s="1">
        <v>0.39</v>
      </c>
      <c r="N823" s="1" t="s">
        <v>72</v>
      </c>
      <c r="O823" s="1" t="s">
        <v>904</v>
      </c>
      <c r="P823" s="1">
        <v>600</v>
      </c>
      <c r="T823"/>
    </row>
    <row r="824" spans="9:20">
      <c r="I824" s="1" t="s">
        <v>50</v>
      </c>
      <c r="J824" s="1" t="s">
        <v>78</v>
      </c>
      <c r="K824" s="1" t="s">
        <v>16</v>
      </c>
      <c r="L824" s="1">
        <v>0.3</v>
      </c>
      <c r="M824" s="1">
        <v>0.39</v>
      </c>
      <c r="N824" s="1" t="s">
        <v>72</v>
      </c>
      <c r="O824" s="1" t="s">
        <v>905</v>
      </c>
      <c r="P824" s="1">
        <v>500</v>
      </c>
      <c r="T824"/>
    </row>
    <row r="825" spans="9:20">
      <c r="I825" s="1" t="s">
        <v>50</v>
      </c>
      <c r="J825" s="1" t="s">
        <v>81</v>
      </c>
      <c r="K825" s="1" t="s">
        <v>16</v>
      </c>
      <c r="L825" s="1">
        <v>0.3</v>
      </c>
      <c r="M825" s="1">
        <v>0.39</v>
      </c>
      <c r="N825" s="1" t="s">
        <v>72</v>
      </c>
      <c r="O825" s="1" t="s">
        <v>906</v>
      </c>
      <c r="P825" s="1">
        <v>500</v>
      </c>
      <c r="T825"/>
    </row>
    <row r="826" spans="9:20">
      <c r="I826" s="1" t="s">
        <v>50</v>
      </c>
      <c r="J826" s="1" t="s">
        <v>84</v>
      </c>
      <c r="K826" s="1" t="s">
        <v>16</v>
      </c>
      <c r="L826" s="1">
        <v>0.3</v>
      </c>
      <c r="M826" s="1">
        <v>0.39</v>
      </c>
      <c r="N826" s="1" t="s">
        <v>72</v>
      </c>
      <c r="O826" s="1" t="s">
        <v>907</v>
      </c>
      <c r="P826" s="1">
        <v>300</v>
      </c>
      <c r="T826"/>
    </row>
    <row r="827" spans="9:20">
      <c r="I827" s="1" t="s">
        <v>50</v>
      </c>
      <c r="J827" s="1" t="s">
        <v>1</v>
      </c>
      <c r="K827" s="1" t="s">
        <v>17</v>
      </c>
      <c r="L827" s="1">
        <v>0.3</v>
      </c>
      <c r="M827" s="1">
        <v>0.39</v>
      </c>
      <c r="N827" s="1" t="s">
        <v>72</v>
      </c>
      <c r="O827" s="1" t="s">
        <v>908</v>
      </c>
      <c r="P827" s="1">
        <v>900</v>
      </c>
      <c r="T827"/>
    </row>
    <row r="828" spans="9:20">
      <c r="I828" s="1" t="s">
        <v>50</v>
      </c>
      <c r="J828" s="1" t="s">
        <v>2</v>
      </c>
      <c r="K828" s="1" t="s">
        <v>17</v>
      </c>
      <c r="L828" s="1">
        <v>0.3</v>
      </c>
      <c r="M828" s="1">
        <v>0.39</v>
      </c>
      <c r="N828" s="1" t="s">
        <v>72</v>
      </c>
      <c r="O828" s="1" t="s">
        <v>909</v>
      </c>
      <c r="P828" s="1">
        <v>800</v>
      </c>
      <c r="T828"/>
    </row>
    <row r="829" spans="9:20">
      <c r="I829" s="1" t="s">
        <v>50</v>
      </c>
      <c r="J829" s="1" t="s">
        <v>3</v>
      </c>
      <c r="K829" s="1" t="s">
        <v>17</v>
      </c>
      <c r="L829" s="1">
        <v>0.3</v>
      </c>
      <c r="M829" s="1">
        <v>0.39</v>
      </c>
      <c r="N829" s="1" t="s">
        <v>72</v>
      </c>
      <c r="O829" s="1" t="s">
        <v>910</v>
      </c>
      <c r="P829" s="1">
        <v>800</v>
      </c>
      <c r="T829"/>
    </row>
    <row r="830" spans="9:20">
      <c r="I830" s="1" t="s">
        <v>50</v>
      </c>
      <c r="J830" s="1" t="s">
        <v>4</v>
      </c>
      <c r="K830" s="1" t="s">
        <v>17</v>
      </c>
      <c r="L830" s="1">
        <v>0.3</v>
      </c>
      <c r="M830" s="1">
        <v>0.39</v>
      </c>
      <c r="N830" s="1" t="s">
        <v>72</v>
      </c>
      <c r="O830" s="1" t="s">
        <v>911</v>
      </c>
      <c r="P830" s="1">
        <v>700</v>
      </c>
      <c r="T830"/>
    </row>
    <row r="831" spans="9:20">
      <c r="I831" s="1" t="s">
        <v>50</v>
      </c>
      <c r="J831" s="1" t="s">
        <v>5</v>
      </c>
      <c r="K831" s="1" t="s">
        <v>17</v>
      </c>
      <c r="L831" s="1">
        <v>0.3</v>
      </c>
      <c r="M831" s="1">
        <v>0.39</v>
      </c>
      <c r="N831" s="1" t="s">
        <v>72</v>
      </c>
      <c r="O831" s="1" t="s">
        <v>912</v>
      </c>
      <c r="P831" s="1">
        <v>700</v>
      </c>
      <c r="T831"/>
    </row>
    <row r="832" spans="9:20">
      <c r="I832" s="1" t="s">
        <v>50</v>
      </c>
      <c r="J832" s="1" t="s">
        <v>6</v>
      </c>
      <c r="K832" s="1" t="s">
        <v>17</v>
      </c>
      <c r="L832" s="1">
        <v>0.3</v>
      </c>
      <c r="M832" s="1">
        <v>0.39</v>
      </c>
      <c r="N832" s="1" t="s">
        <v>72</v>
      </c>
      <c r="O832" s="1" t="s">
        <v>913</v>
      </c>
      <c r="P832" s="1">
        <v>700</v>
      </c>
      <c r="T832"/>
    </row>
    <row r="833" spans="9:20">
      <c r="I833" s="1" t="s">
        <v>50</v>
      </c>
      <c r="J833" s="1" t="s">
        <v>7</v>
      </c>
      <c r="K833" s="1" t="s">
        <v>17</v>
      </c>
      <c r="L833" s="1">
        <v>0.3</v>
      </c>
      <c r="M833" s="1">
        <v>0.39</v>
      </c>
      <c r="N833" s="1" t="s">
        <v>72</v>
      </c>
      <c r="O833" s="1" t="s">
        <v>914</v>
      </c>
      <c r="P833" s="1">
        <v>600</v>
      </c>
      <c r="T833"/>
    </row>
    <row r="834" spans="9:20">
      <c r="I834" s="1" t="s">
        <v>50</v>
      </c>
      <c r="J834" s="1" t="s">
        <v>75</v>
      </c>
      <c r="K834" s="1" t="s">
        <v>17</v>
      </c>
      <c r="L834" s="1">
        <v>0.3</v>
      </c>
      <c r="M834" s="1">
        <v>0.39</v>
      </c>
      <c r="N834" s="1" t="s">
        <v>72</v>
      </c>
      <c r="O834" s="1" t="s">
        <v>915</v>
      </c>
      <c r="P834" s="1">
        <v>500</v>
      </c>
      <c r="T834"/>
    </row>
    <row r="835" spans="9:20">
      <c r="I835" s="1" t="s">
        <v>50</v>
      </c>
      <c r="J835" s="1" t="s">
        <v>78</v>
      </c>
      <c r="K835" s="1" t="s">
        <v>17</v>
      </c>
      <c r="L835" s="1">
        <v>0.3</v>
      </c>
      <c r="M835" s="1">
        <v>0.39</v>
      </c>
      <c r="N835" s="1" t="s">
        <v>72</v>
      </c>
      <c r="O835" s="1" t="s">
        <v>916</v>
      </c>
      <c r="P835" s="1">
        <v>500</v>
      </c>
      <c r="T835"/>
    </row>
    <row r="836" spans="9:20">
      <c r="I836" s="1" t="s">
        <v>50</v>
      </c>
      <c r="J836" s="1" t="s">
        <v>81</v>
      </c>
      <c r="K836" s="1" t="s">
        <v>17</v>
      </c>
      <c r="L836" s="1">
        <v>0.3</v>
      </c>
      <c r="M836" s="1">
        <v>0.39</v>
      </c>
      <c r="N836" s="1" t="s">
        <v>72</v>
      </c>
      <c r="O836" s="1" t="s">
        <v>917</v>
      </c>
      <c r="P836" s="1">
        <v>400</v>
      </c>
      <c r="T836"/>
    </row>
    <row r="837" spans="9:20">
      <c r="I837" s="1" t="s">
        <v>50</v>
      </c>
      <c r="J837" s="1" t="s">
        <v>84</v>
      </c>
      <c r="K837" s="1" t="s">
        <v>17</v>
      </c>
      <c r="L837" s="1">
        <v>0.3</v>
      </c>
      <c r="M837" s="1">
        <v>0.39</v>
      </c>
      <c r="N837" s="1" t="s">
        <v>72</v>
      </c>
      <c r="O837" s="1" t="s">
        <v>918</v>
      </c>
      <c r="P837" s="1">
        <v>300</v>
      </c>
      <c r="T837"/>
    </row>
    <row r="838" spans="9:20">
      <c r="I838" s="1" t="s">
        <v>50</v>
      </c>
      <c r="J838" s="1" t="s">
        <v>1</v>
      </c>
      <c r="K838" s="1" t="s">
        <v>8</v>
      </c>
      <c r="L838" s="1">
        <v>0.4</v>
      </c>
      <c r="M838" s="1">
        <v>0.49</v>
      </c>
      <c r="N838" s="1" t="s">
        <v>74</v>
      </c>
      <c r="O838" s="1" t="s">
        <v>919</v>
      </c>
      <c r="P838" s="1">
        <v>3100</v>
      </c>
      <c r="T838"/>
    </row>
    <row r="839" spans="9:20">
      <c r="I839" s="1" t="s">
        <v>50</v>
      </c>
      <c r="J839" s="1" t="s">
        <v>2</v>
      </c>
      <c r="K839" s="1" t="s">
        <v>8</v>
      </c>
      <c r="L839" s="1">
        <v>0.4</v>
      </c>
      <c r="M839" s="1">
        <v>0.49</v>
      </c>
      <c r="N839" s="1" t="s">
        <v>74</v>
      </c>
      <c r="O839" s="1" t="s">
        <v>920</v>
      </c>
      <c r="P839" s="1">
        <v>2500</v>
      </c>
      <c r="T839"/>
    </row>
    <row r="840" spans="9:20">
      <c r="I840" s="1" t="s">
        <v>50</v>
      </c>
      <c r="J840" s="1" t="s">
        <v>3</v>
      </c>
      <c r="K840" s="1" t="s">
        <v>8</v>
      </c>
      <c r="L840" s="1">
        <v>0.4</v>
      </c>
      <c r="M840" s="1">
        <v>0.49</v>
      </c>
      <c r="N840" s="1" t="s">
        <v>74</v>
      </c>
      <c r="O840" s="1" t="s">
        <v>921</v>
      </c>
      <c r="P840" s="1">
        <v>2100</v>
      </c>
      <c r="T840"/>
    </row>
    <row r="841" spans="9:20">
      <c r="I841" s="1" t="s">
        <v>50</v>
      </c>
      <c r="J841" s="1" t="s">
        <v>4</v>
      </c>
      <c r="K841" s="1" t="s">
        <v>8</v>
      </c>
      <c r="L841" s="1">
        <v>0.4</v>
      </c>
      <c r="M841" s="1">
        <v>0.49</v>
      </c>
      <c r="N841" s="1" t="s">
        <v>74</v>
      </c>
      <c r="O841" s="1" t="s">
        <v>922</v>
      </c>
      <c r="P841" s="1">
        <v>2000</v>
      </c>
      <c r="T841"/>
    </row>
    <row r="842" spans="9:20">
      <c r="I842" s="1" t="s">
        <v>50</v>
      </c>
      <c r="J842" s="1" t="s">
        <v>5</v>
      </c>
      <c r="K842" s="1" t="s">
        <v>8</v>
      </c>
      <c r="L842" s="1">
        <v>0.4</v>
      </c>
      <c r="M842" s="1">
        <v>0.49</v>
      </c>
      <c r="N842" s="1" t="s">
        <v>74</v>
      </c>
      <c r="O842" s="1" t="s">
        <v>923</v>
      </c>
      <c r="P842" s="1">
        <v>1800</v>
      </c>
      <c r="T842"/>
    </row>
    <row r="843" spans="9:20">
      <c r="I843" s="1" t="s">
        <v>50</v>
      </c>
      <c r="J843" s="1" t="s">
        <v>6</v>
      </c>
      <c r="K843" s="1" t="s">
        <v>8</v>
      </c>
      <c r="L843" s="1">
        <v>0.4</v>
      </c>
      <c r="M843" s="1">
        <v>0.49</v>
      </c>
      <c r="N843" s="1" t="s">
        <v>74</v>
      </c>
      <c r="O843" s="1" t="s">
        <v>924</v>
      </c>
      <c r="P843" s="1">
        <v>1600</v>
      </c>
      <c r="T843"/>
    </row>
    <row r="844" spans="9:20">
      <c r="I844" s="1" t="s">
        <v>50</v>
      </c>
      <c r="J844" s="1" t="s">
        <v>7</v>
      </c>
      <c r="K844" s="1" t="s">
        <v>8</v>
      </c>
      <c r="L844" s="1">
        <v>0.4</v>
      </c>
      <c r="M844" s="1">
        <v>0.49</v>
      </c>
      <c r="N844" s="1" t="s">
        <v>74</v>
      </c>
      <c r="O844" s="1" t="s">
        <v>925</v>
      </c>
      <c r="P844" s="1">
        <v>1500</v>
      </c>
      <c r="T844"/>
    </row>
    <row r="845" spans="9:20">
      <c r="I845" s="1" t="s">
        <v>50</v>
      </c>
      <c r="J845" s="1" t="s">
        <v>75</v>
      </c>
      <c r="K845" s="1" t="s">
        <v>8</v>
      </c>
      <c r="L845" s="1">
        <v>0.4</v>
      </c>
      <c r="M845" s="1">
        <v>0.49</v>
      </c>
      <c r="N845" s="1" t="s">
        <v>74</v>
      </c>
      <c r="O845" s="1" t="s">
        <v>926</v>
      </c>
      <c r="P845" s="1">
        <v>1400</v>
      </c>
      <c r="T845"/>
    </row>
    <row r="846" spans="9:20">
      <c r="I846" s="1" t="s">
        <v>50</v>
      </c>
      <c r="J846" s="1" t="s">
        <v>78</v>
      </c>
      <c r="K846" s="1" t="s">
        <v>8</v>
      </c>
      <c r="L846" s="1">
        <v>0.4</v>
      </c>
      <c r="M846" s="1">
        <v>0.49</v>
      </c>
      <c r="N846" s="1" t="s">
        <v>74</v>
      </c>
      <c r="O846" s="1" t="s">
        <v>927</v>
      </c>
      <c r="P846" s="1">
        <v>1300</v>
      </c>
      <c r="T846"/>
    </row>
    <row r="847" spans="9:20">
      <c r="I847" s="1" t="s">
        <v>50</v>
      </c>
      <c r="J847" s="1" t="s">
        <v>81</v>
      </c>
      <c r="K847" s="1" t="s">
        <v>8</v>
      </c>
      <c r="L847" s="1">
        <v>0.4</v>
      </c>
      <c r="M847" s="1">
        <v>0.49</v>
      </c>
      <c r="N847" s="1" t="s">
        <v>74</v>
      </c>
      <c r="O847" s="1" t="s">
        <v>928</v>
      </c>
      <c r="P847" s="1">
        <v>1100</v>
      </c>
      <c r="T847"/>
    </row>
    <row r="848" spans="9:20">
      <c r="I848" s="1" t="s">
        <v>50</v>
      </c>
      <c r="J848" s="1" t="s">
        <v>84</v>
      </c>
      <c r="K848" s="1" t="s">
        <v>8</v>
      </c>
      <c r="L848" s="1">
        <v>0.4</v>
      </c>
      <c r="M848" s="1">
        <v>0.49</v>
      </c>
      <c r="N848" s="1" t="s">
        <v>74</v>
      </c>
      <c r="O848" s="1" t="s">
        <v>929</v>
      </c>
      <c r="P848" s="1">
        <v>800</v>
      </c>
      <c r="T848"/>
    </row>
    <row r="849" spans="9:20">
      <c r="I849" s="1" t="s">
        <v>50</v>
      </c>
      <c r="J849" s="1" t="s">
        <v>1</v>
      </c>
      <c r="K849" s="1" t="s">
        <v>9</v>
      </c>
      <c r="L849" s="1">
        <v>0.4</v>
      </c>
      <c r="M849" s="1">
        <v>0.49</v>
      </c>
      <c r="N849" s="1" t="s">
        <v>74</v>
      </c>
      <c r="O849" s="1" t="s">
        <v>930</v>
      </c>
      <c r="P849" s="1">
        <v>2600</v>
      </c>
      <c r="T849"/>
    </row>
    <row r="850" spans="9:20">
      <c r="I850" s="1" t="s">
        <v>50</v>
      </c>
      <c r="J850" s="1" t="s">
        <v>2</v>
      </c>
      <c r="K850" s="1" t="s">
        <v>9</v>
      </c>
      <c r="L850" s="1">
        <v>0.4</v>
      </c>
      <c r="M850" s="1">
        <v>0.49</v>
      </c>
      <c r="N850" s="1" t="s">
        <v>74</v>
      </c>
      <c r="O850" s="1" t="s">
        <v>931</v>
      </c>
      <c r="P850" s="1">
        <v>2200</v>
      </c>
      <c r="T850"/>
    </row>
    <row r="851" spans="9:20">
      <c r="I851" s="1" t="s">
        <v>50</v>
      </c>
      <c r="J851" s="1" t="s">
        <v>3</v>
      </c>
      <c r="K851" s="1" t="s">
        <v>9</v>
      </c>
      <c r="L851" s="1">
        <v>0.4</v>
      </c>
      <c r="M851" s="1">
        <v>0.49</v>
      </c>
      <c r="N851" s="1" t="s">
        <v>74</v>
      </c>
      <c r="O851" s="1" t="s">
        <v>932</v>
      </c>
      <c r="P851" s="1">
        <v>1900</v>
      </c>
      <c r="T851"/>
    </row>
    <row r="852" spans="9:20">
      <c r="I852" s="1" t="s">
        <v>50</v>
      </c>
      <c r="J852" s="1" t="s">
        <v>4</v>
      </c>
      <c r="K852" s="1" t="s">
        <v>9</v>
      </c>
      <c r="L852" s="1">
        <v>0.4</v>
      </c>
      <c r="M852" s="1">
        <v>0.49</v>
      </c>
      <c r="N852" s="1" t="s">
        <v>74</v>
      </c>
      <c r="O852" s="1" t="s">
        <v>933</v>
      </c>
      <c r="P852" s="1">
        <v>1800</v>
      </c>
      <c r="T852"/>
    </row>
    <row r="853" spans="9:20">
      <c r="I853" s="1" t="s">
        <v>50</v>
      </c>
      <c r="J853" s="1" t="s">
        <v>5</v>
      </c>
      <c r="K853" s="1" t="s">
        <v>9</v>
      </c>
      <c r="L853" s="1">
        <v>0.4</v>
      </c>
      <c r="M853" s="1">
        <v>0.49</v>
      </c>
      <c r="N853" s="1" t="s">
        <v>74</v>
      </c>
      <c r="O853" s="1" t="s">
        <v>934</v>
      </c>
      <c r="P853" s="1">
        <v>1700</v>
      </c>
      <c r="T853"/>
    </row>
    <row r="854" spans="9:20">
      <c r="I854" s="1" t="s">
        <v>50</v>
      </c>
      <c r="J854" s="1" t="s">
        <v>6</v>
      </c>
      <c r="K854" s="1" t="s">
        <v>9</v>
      </c>
      <c r="L854" s="1">
        <v>0.4</v>
      </c>
      <c r="M854" s="1">
        <v>0.49</v>
      </c>
      <c r="N854" s="1" t="s">
        <v>74</v>
      </c>
      <c r="O854" s="1" t="s">
        <v>935</v>
      </c>
      <c r="P854" s="1">
        <v>1500</v>
      </c>
      <c r="T854"/>
    </row>
    <row r="855" spans="9:20">
      <c r="I855" s="1" t="s">
        <v>50</v>
      </c>
      <c r="J855" s="1" t="s">
        <v>7</v>
      </c>
      <c r="K855" s="1" t="s">
        <v>9</v>
      </c>
      <c r="L855" s="1">
        <v>0.4</v>
      </c>
      <c r="M855" s="1">
        <v>0.49</v>
      </c>
      <c r="N855" s="1" t="s">
        <v>74</v>
      </c>
      <c r="O855" s="1" t="s">
        <v>936</v>
      </c>
      <c r="P855" s="1">
        <v>1400</v>
      </c>
      <c r="T855"/>
    </row>
    <row r="856" spans="9:20">
      <c r="I856" s="1" t="s">
        <v>50</v>
      </c>
      <c r="J856" s="1" t="s">
        <v>75</v>
      </c>
      <c r="K856" s="1" t="s">
        <v>9</v>
      </c>
      <c r="L856" s="1">
        <v>0.4</v>
      </c>
      <c r="M856" s="1">
        <v>0.49</v>
      </c>
      <c r="N856" s="1" t="s">
        <v>74</v>
      </c>
      <c r="O856" s="1" t="s">
        <v>937</v>
      </c>
      <c r="P856" s="1">
        <v>1300</v>
      </c>
      <c r="T856"/>
    </row>
    <row r="857" spans="9:20">
      <c r="I857" s="1" t="s">
        <v>50</v>
      </c>
      <c r="J857" s="1" t="s">
        <v>78</v>
      </c>
      <c r="K857" s="1" t="s">
        <v>9</v>
      </c>
      <c r="L857" s="1">
        <v>0.4</v>
      </c>
      <c r="M857" s="1">
        <v>0.49</v>
      </c>
      <c r="N857" s="1" t="s">
        <v>74</v>
      </c>
      <c r="O857" s="1" t="s">
        <v>938</v>
      </c>
      <c r="P857" s="1">
        <v>1200</v>
      </c>
      <c r="T857"/>
    </row>
    <row r="858" spans="9:20">
      <c r="I858" s="1" t="s">
        <v>50</v>
      </c>
      <c r="J858" s="1" t="s">
        <v>81</v>
      </c>
      <c r="K858" s="1" t="s">
        <v>9</v>
      </c>
      <c r="L858" s="1">
        <v>0.4</v>
      </c>
      <c r="M858" s="1">
        <v>0.49</v>
      </c>
      <c r="N858" s="1" t="s">
        <v>74</v>
      </c>
      <c r="O858" s="1" t="s">
        <v>939</v>
      </c>
      <c r="P858" s="1">
        <v>1000</v>
      </c>
      <c r="T858"/>
    </row>
    <row r="859" spans="9:20">
      <c r="I859" s="1" t="s">
        <v>50</v>
      </c>
      <c r="J859" s="1" t="s">
        <v>84</v>
      </c>
      <c r="K859" s="1" t="s">
        <v>9</v>
      </c>
      <c r="L859" s="1">
        <v>0.4</v>
      </c>
      <c r="M859" s="1">
        <v>0.49</v>
      </c>
      <c r="N859" s="1" t="s">
        <v>74</v>
      </c>
      <c r="O859" s="1" t="s">
        <v>940</v>
      </c>
      <c r="P859" s="1">
        <v>700</v>
      </c>
      <c r="T859"/>
    </row>
    <row r="860" spans="9:20">
      <c r="I860" s="1" t="s">
        <v>50</v>
      </c>
      <c r="J860" s="1" t="s">
        <v>1</v>
      </c>
      <c r="K860" s="1" t="s">
        <v>10</v>
      </c>
      <c r="L860" s="1">
        <v>0.4</v>
      </c>
      <c r="M860" s="1">
        <v>0.49</v>
      </c>
      <c r="N860" s="1" t="s">
        <v>74</v>
      </c>
      <c r="O860" s="1" t="s">
        <v>941</v>
      </c>
      <c r="P860" s="1">
        <v>2300</v>
      </c>
      <c r="T860"/>
    </row>
    <row r="861" spans="9:20">
      <c r="I861" s="1" t="s">
        <v>50</v>
      </c>
      <c r="J861" s="1" t="s">
        <v>2</v>
      </c>
      <c r="K861" s="1" t="s">
        <v>10</v>
      </c>
      <c r="L861" s="1">
        <v>0.4</v>
      </c>
      <c r="M861" s="1">
        <v>0.49</v>
      </c>
      <c r="N861" s="1" t="s">
        <v>74</v>
      </c>
      <c r="O861" s="1" t="s">
        <v>942</v>
      </c>
      <c r="P861" s="1">
        <v>2000</v>
      </c>
      <c r="T861"/>
    </row>
    <row r="862" spans="9:20">
      <c r="I862" s="1" t="s">
        <v>50</v>
      </c>
      <c r="J862" s="1" t="s">
        <v>3</v>
      </c>
      <c r="K862" s="1" t="s">
        <v>10</v>
      </c>
      <c r="L862" s="1">
        <v>0.4</v>
      </c>
      <c r="M862" s="1">
        <v>0.49</v>
      </c>
      <c r="N862" s="1" t="s">
        <v>74</v>
      </c>
      <c r="O862" s="1" t="s">
        <v>943</v>
      </c>
      <c r="P862" s="1">
        <v>1800</v>
      </c>
      <c r="T862"/>
    </row>
    <row r="863" spans="9:20">
      <c r="I863" s="1" t="s">
        <v>50</v>
      </c>
      <c r="J863" s="1" t="s">
        <v>4</v>
      </c>
      <c r="K863" s="1" t="s">
        <v>10</v>
      </c>
      <c r="L863" s="1">
        <v>0.4</v>
      </c>
      <c r="M863" s="1">
        <v>0.49</v>
      </c>
      <c r="N863" s="1" t="s">
        <v>74</v>
      </c>
      <c r="O863" s="1" t="s">
        <v>944</v>
      </c>
      <c r="P863" s="1">
        <v>1700</v>
      </c>
      <c r="T863"/>
    </row>
    <row r="864" spans="9:20">
      <c r="I864" s="1" t="s">
        <v>50</v>
      </c>
      <c r="J864" s="1" t="s">
        <v>5</v>
      </c>
      <c r="K864" s="1" t="s">
        <v>10</v>
      </c>
      <c r="L864" s="1">
        <v>0.4</v>
      </c>
      <c r="M864" s="1">
        <v>0.49</v>
      </c>
      <c r="N864" s="1" t="s">
        <v>74</v>
      </c>
      <c r="O864" s="1" t="s">
        <v>945</v>
      </c>
      <c r="P864" s="1">
        <v>1600</v>
      </c>
      <c r="T864"/>
    </row>
    <row r="865" spans="9:20">
      <c r="I865" s="1" t="s">
        <v>50</v>
      </c>
      <c r="J865" s="1" t="s">
        <v>6</v>
      </c>
      <c r="K865" s="1" t="s">
        <v>10</v>
      </c>
      <c r="L865" s="1">
        <v>0.4</v>
      </c>
      <c r="M865" s="1">
        <v>0.49</v>
      </c>
      <c r="N865" s="1" t="s">
        <v>74</v>
      </c>
      <c r="O865" s="1" t="s">
        <v>946</v>
      </c>
      <c r="P865" s="1">
        <v>1400</v>
      </c>
      <c r="T865"/>
    </row>
    <row r="866" spans="9:20">
      <c r="I866" s="1" t="s">
        <v>50</v>
      </c>
      <c r="J866" s="1" t="s">
        <v>7</v>
      </c>
      <c r="K866" s="1" t="s">
        <v>10</v>
      </c>
      <c r="L866" s="1">
        <v>0.4</v>
      </c>
      <c r="M866" s="1">
        <v>0.49</v>
      </c>
      <c r="N866" s="1" t="s">
        <v>74</v>
      </c>
      <c r="O866" s="1" t="s">
        <v>947</v>
      </c>
      <c r="P866" s="1">
        <v>1300</v>
      </c>
      <c r="T866"/>
    </row>
    <row r="867" spans="9:20">
      <c r="I867" s="1" t="s">
        <v>50</v>
      </c>
      <c r="J867" s="1" t="s">
        <v>75</v>
      </c>
      <c r="K867" s="1" t="s">
        <v>10</v>
      </c>
      <c r="L867" s="1">
        <v>0.4</v>
      </c>
      <c r="M867" s="1">
        <v>0.49</v>
      </c>
      <c r="N867" s="1" t="s">
        <v>74</v>
      </c>
      <c r="O867" s="1" t="s">
        <v>948</v>
      </c>
      <c r="P867" s="1">
        <v>1200</v>
      </c>
      <c r="T867"/>
    </row>
    <row r="868" spans="9:20">
      <c r="I868" s="1" t="s">
        <v>50</v>
      </c>
      <c r="J868" s="1" t="s">
        <v>78</v>
      </c>
      <c r="K868" s="1" t="s">
        <v>10</v>
      </c>
      <c r="L868" s="1">
        <v>0.4</v>
      </c>
      <c r="M868" s="1">
        <v>0.49</v>
      </c>
      <c r="N868" s="1" t="s">
        <v>74</v>
      </c>
      <c r="O868" s="1" t="s">
        <v>949</v>
      </c>
      <c r="P868" s="1">
        <v>1100</v>
      </c>
      <c r="T868"/>
    </row>
    <row r="869" spans="9:20">
      <c r="I869" s="1" t="s">
        <v>50</v>
      </c>
      <c r="J869" s="1" t="s">
        <v>81</v>
      </c>
      <c r="K869" s="1" t="s">
        <v>10</v>
      </c>
      <c r="L869" s="1">
        <v>0.4</v>
      </c>
      <c r="M869" s="1">
        <v>0.49</v>
      </c>
      <c r="N869" s="1" t="s">
        <v>74</v>
      </c>
      <c r="O869" s="1" t="s">
        <v>950</v>
      </c>
      <c r="P869" s="1">
        <v>1000</v>
      </c>
      <c r="T869"/>
    </row>
    <row r="870" spans="9:20">
      <c r="I870" s="1" t="s">
        <v>50</v>
      </c>
      <c r="J870" s="1" t="s">
        <v>84</v>
      </c>
      <c r="K870" s="1" t="s">
        <v>10</v>
      </c>
      <c r="L870" s="1">
        <v>0.4</v>
      </c>
      <c r="M870" s="1">
        <v>0.49</v>
      </c>
      <c r="N870" s="1" t="s">
        <v>74</v>
      </c>
      <c r="O870" s="1" t="s">
        <v>951</v>
      </c>
      <c r="P870" s="1">
        <v>700</v>
      </c>
      <c r="T870"/>
    </row>
    <row r="871" spans="9:20">
      <c r="I871" s="1" t="s">
        <v>50</v>
      </c>
      <c r="J871" s="1" t="s">
        <v>1</v>
      </c>
      <c r="K871" s="1" t="s">
        <v>11</v>
      </c>
      <c r="L871" s="1">
        <v>0.4</v>
      </c>
      <c r="M871" s="1">
        <v>0.49</v>
      </c>
      <c r="N871" s="1" t="s">
        <v>74</v>
      </c>
      <c r="O871" s="1" t="s">
        <v>952</v>
      </c>
      <c r="P871" s="1">
        <v>2100</v>
      </c>
      <c r="T871"/>
    </row>
    <row r="872" spans="9:20">
      <c r="I872" s="1" t="s">
        <v>50</v>
      </c>
      <c r="J872" s="1" t="s">
        <v>2</v>
      </c>
      <c r="K872" s="1" t="s">
        <v>11</v>
      </c>
      <c r="L872" s="1">
        <v>0.4</v>
      </c>
      <c r="M872" s="1">
        <v>0.49</v>
      </c>
      <c r="N872" s="1" t="s">
        <v>74</v>
      </c>
      <c r="O872" s="1" t="s">
        <v>953</v>
      </c>
      <c r="P872" s="1">
        <v>1800</v>
      </c>
      <c r="T872"/>
    </row>
    <row r="873" spans="9:20">
      <c r="I873" s="1" t="s">
        <v>50</v>
      </c>
      <c r="J873" s="1" t="s">
        <v>3</v>
      </c>
      <c r="K873" s="1" t="s">
        <v>11</v>
      </c>
      <c r="L873" s="1">
        <v>0.4</v>
      </c>
      <c r="M873" s="1">
        <v>0.49</v>
      </c>
      <c r="N873" s="1" t="s">
        <v>74</v>
      </c>
      <c r="O873" s="1" t="s">
        <v>954</v>
      </c>
      <c r="P873" s="1">
        <v>1700</v>
      </c>
      <c r="T873"/>
    </row>
    <row r="874" spans="9:20">
      <c r="I874" s="1" t="s">
        <v>50</v>
      </c>
      <c r="J874" s="1" t="s">
        <v>4</v>
      </c>
      <c r="K874" s="1" t="s">
        <v>11</v>
      </c>
      <c r="L874" s="1">
        <v>0.4</v>
      </c>
      <c r="M874" s="1">
        <v>0.49</v>
      </c>
      <c r="N874" s="1" t="s">
        <v>74</v>
      </c>
      <c r="O874" s="1" t="s">
        <v>955</v>
      </c>
      <c r="P874" s="1">
        <v>1600</v>
      </c>
      <c r="T874"/>
    </row>
    <row r="875" spans="9:20">
      <c r="I875" s="1" t="s">
        <v>50</v>
      </c>
      <c r="J875" s="1" t="s">
        <v>5</v>
      </c>
      <c r="K875" s="1" t="s">
        <v>11</v>
      </c>
      <c r="L875" s="1">
        <v>0.4</v>
      </c>
      <c r="M875" s="1">
        <v>0.49</v>
      </c>
      <c r="N875" s="1" t="s">
        <v>74</v>
      </c>
      <c r="O875" s="1" t="s">
        <v>956</v>
      </c>
      <c r="P875" s="1">
        <v>1500</v>
      </c>
      <c r="T875"/>
    </row>
    <row r="876" spans="9:20">
      <c r="I876" s="1" t="s">
        <v>50</v>
      </c>
      <c r="J876" s="1" t="s">
        <v>6</v>
      </c>
      <c r="K876" s="1" t="s">
        <v>11</v>
      </c>
      <c r="L876" s="1">
        <v>0.4</v>
      </c>
      <c r="M876" s="1">
        <v>0.49</v>
      </c>
      <c r="N876" s="1" t="s">
        <v>74</v>
      </c>
      <c r="O876" s="1" t="s">
        <v>957</v>
      </c>
      <c r="P876" s="1">
        <v>1300</v>
      </c>
      <c r="T876"/>
    </row>
    <row r="877" spans="9:20">
      <c r="I877" s="1" t="s">
        <v>50</v>
      </c>
      <c r="J877" s="1" t="s">
        <v>7</v>
      </c>
      <c r="K877" s="1" t="s">
        <v>11</v>
      </c>
      <c r="L877" s="1">
        <v>0.4</v>
      </c>
      <c r="M877" s="1">
        <v>0.49</v>
      </c>
      <c r="N877" s="1" t="s">
        <v>74</v>
      </c>
      <c r="O877" s="1" t="s">
        <v>958</v>
      </c>
      <c r="P877" s="1">
        <v>1200</v>
      </c>
      <c r="T877"/>
    </row>
    <row r="878" spans="9:20">
      <c r="I878" s="1" t="s">
        <v>50</v>
      </c>
      <c r="J878" s="1" t="s">
        <v>75</v>
      </c>
      <c r="K878" s="1" t="s">
        <v>11</v>
      </c>
      <c r="L878" s="1">
        <v>0.4</v>
      </c>
      <c r="M878" s="1">
        <v>0.49</v>
      </c>
      <c r="N878" s="1" t="s">
        <v>74</v>
      </c>
      <c r="O878" s="1" t="s">
        <v>959</v>
      </c>
      <c r="P878" s="1">
        <v>1100</v>
      </c>
      <c r="T878"/>
    </row>
    <row r="879" spans="9:20">
      <c r="I879" s="1" t="s">
        <v>50</v>
      </c>
      <c r="J879" s="1" t="s">
        <v>78</v>
      </c>
      <c r="K879" s="1" t="s">
        <v>11</v>
      </c>
      <c r="L879" s="1">
        <v>0.4</v>
      </c>
      <c r="M879" s="1">
        <v>0.49</v>
      </c>
      <c r="N879" s="1" t="s">
        <v>74</v>
      </c>
      <c r="O879" s="1" t="s">
        <v>960</v>
      </c>
      <c r="P879" s="1">
        <v>1000</v>
      </c>
      <c r="T879"/>
    </row>
    <row r="880" spans="9:20">
      <c r="I880" s="1" t="s">
        <v>50</v>
      </c>
      <c r="J880" s="1" t="s">
        <v>81</v>
      </c>
      <c r="K880" s="1" t="s">
        <v>11</v>
      </c>
      <c r="L880" s="1">
        <v>0.4</v>
      </c>
      <c r="M880" s="1">
        <v>0.49</v>
      </c>
      <c r="N880" s="1" t="s">
        <v>74</v>
      </c>
      <c r="O880" s="1" t="s">
        <v>961</v>
      </c>
      <c r="P880" s="1">
        <v>900</v>
      </c>
      <c r="T880"/>
    </row>
    <row r="881" spans="9:20">
      <c r="I881" s="1" t="s">
        <v>50</v>
      </c>
      <c r="J881" s="1" t="s">
        <v>84</v>
      </c>
      <c r="K881" s="1" t="s">
        <v>11</v>
      </c>
      <c r="L881" s="1">
        <v>0.4</v>
      </c>
      <c r="M881" s="1">
        <v>0.49</v>
      </c>
      <c r="N881" s="1" t="s">
        <v>74</v>
      </c>
      <c r="O881" s="1" t="s">
        <v>962</v>
      </c>
      <c r="P881" s="1">
        <v>600</v>
      </c>
      <c r="T881"/>
    </row>
    <row r="882" spans="9:20">
      <c r="I882" s="1" t="s">
        <v>50</v>
      </c>
      <c r="J882" s="1" t="s">
        <v>1</v>
      </c>
      <c r="K882" s="1" t="s">
        <v>12</v>
      </c>
      <c r="L882" s="1">
        <v>0.4</v>
      </c>
      <c r="M882" s="1">
        <v>0.49</v>
      </c>
      <c r="N882" s="1" t="s">
        <v>74</v>
      </c>
      <c r="O882" s="1" t="s">
        <v>963</v>
      </c>
      <c r="P882" s="1">
        <v>1800</v>
      </c>
      <c r="T882"/>
    </row>
    <row r="883" spans="9:20">
      <c r="I883" s="1" t="s">
        <v>50</v>
      </c>
      <c r="J883" s="1" t="s">
        <v>2</v>
      </c>
      <c r="K883" s="1" t="s">
        <v>12</v>
      </c>
      <c r="L883" s="1">
        <v>0.4</v>
      </c>
      <c r="M883" s="1">
        <v>0.49</v>
      </c>
      <c r="N883" s="1" t="s">
        <v>74</v>
      </c>
      <c r="O883" s="1" t="s">
        <v>964</v>
      </c>
      <c r="P883" s="1">
        <v>1600</v>
      </c>
      <c r="T883"/>
    </row>
    <row r="884" spans="9:20">
      <c r="I884" s="1" t="s">
        <v>50</v>
      </c>
      <c r="J884" s="1" t="s">
        <v>3</v>
      </c>
      <c r="K884" s="1" t="s">
        <v>12</v>
      </c>
      <c r="L884" s="1">
        <v>0.4</v>
      </c>
      <c r="M884" s="1">
        <v>0.49</v>
      </c>
      <c r="N884" s="1" t="s">
        <v>74</v>
      </c>
      <c r="O884" s="1" t="s">
        <v>965</v>
      </c>
      <c r="P884" s="1">
        <v>1500</v>
      </c>
      <c r="T884"/>
    </row>
    <row r="885" spans="9:20">
      <c r="I885" s="1" t="s">
        <v>50</v>
      </c>
      <c r="J885" s="1" t="s">
        <v>4</v>
      </c>
      <c r="K885" s="1" t="s">
        <v>12</v>
      </c>
      <c r="L885" s="1">
        <v>0.4</v>
      </c>
      <c r="M885" s="1">
        <v>0.49</v>
      </c>
      <c r="N885" s="1" t="s">
        <v>74</v>
      </c>
      <c r="O885" s="1" t="s">
        <v>966</v>
      </c>
      <c r="P885" s="1">
        <v>1400</v>
      </c>
      <c r="T885"/>
    </row>
    <row r="886" spans="9:20">
      <c r="I886" s="1" t="s">
        <v>50</v>
      </c>
      <c r="J886" s="1" t="s">
        <v>5</v>
      </c>
      <c r="K886" s="1" t="s">
        <v>12</v>
      </c>
      <c r="L886" s="1">
        <v>0.4</v>
      </c>
      <c r="M886" s="1">
        <v>0.49</v>
      </c>
      <c r="N886" s="1" t="s">
        <v>74</v>
      </c>
      <c r="O886" s="1" t="s">
        <v>967</v>
      </c>
      <c r="P886" s="1">
        <v>1300</v>
      </c>
      <c r="T886"/>
    </row>
    <row r="887" spans="9:20">
      <c r="I887" s="1" t="s">
        <v>50</v>
      </c>
      <c r="J887" s="1" t="s">
        <v>6</v>
      </c>
      <c r="K887" s="1" t="s">
        <v>12</v>
      </c>
      <c r="L887" s="1">
        <v>0.4</v>
      </c>
      <c r="M887" s="1">
        <v>0.49</v>
      </c>
      <c r="N887" s="1" t="s">
        <v>74</v>
      </c>
      <c r="O887" s="1" t="s">
        <v>968</v>
      </c>
      <c r="P887" s="1">
        <v>1200</v>
      </c>
      <c r="T887"/>
    </row>
    <row r="888" spans="9:20">
      <c r="I888" s="1" t="s">
        <v>50</v>
      </c>
      <c r="J888" s="1" t="s">
        <v>7</v>
      </c>
      <c r="K888" s="1" t="s">
        <v>12</v>
      </c>
      <c r="L888" s="1">
        <v>0.4</v>
      </c>
      <c r="M888" s="1">
        <v>0.49</v>
      </c>
      <c r="N888" s="1" t="s">
        <v>74</v>
      </c>
      <c r="O888" s="1" t="s">
        <v>969</v>
      </c>
      <c r="P888" s="1">
        <v>1100</v>
      </c>
      <c r="T888"/>
    </row>
    <row r="889" spans="9:20">
      <c r="I889" s="1" t="s">
        <v>50</v>
      </c>
      <c r="J889" s="1" t="s">
        <v>75</v>
      </c>
      <c r="K889" s="1" t="s">
        <v>12</v>
      </c>
      <c r="L889" s="1">
        <v>0.4</v>
      </c>
      <c r="M889" s="1">
        <v>0.49</v>
      </c>
      <c r="N889" s="1" t="s">
        <v>74</v>
      </c>
      <c r="O889" s="1" t="s">
        <v>970</v>
      </c>
      <c r="P889" s="1">
        <v>1000</v>
      </c>
      <c r="T889"/>
    </row>
    <row r="890" spans="9:20">
      <c r="I890" s="1" t="s">
        <v>50</v>
      </c>
      <c r="J890" s="1" t="s">
        <v>78</v>
      </c>
      <c r="K890" s="1" t="s">
        <v>12</v>
      </c>
      <c r="L890" s="1">
        <v>0.4</v>
      </c>
      <c r="M890" s="1">
        <v>0.49</v>
      </c>
      <c r="N890" s="1" t="s">
        <v>74</v>
      </c>
      <c r="O890" s="1" t="s">
        <v>971</v>
      </c>
      <c r="P890" s="1">
        <v>900</v>
      </c>
      <c r="T890"/>
    </row>
    <row r="891" spans="9:20">
      <c r="I891" s="1" t="s">
        <v>50</v>
      </c>
      <c r="J891" s="1" t="s">
        <v>81</v>
      </c>
      <c r="K891" s="1" t="s">
        <v>12</v>
      </c>
      <c r="L891" s="1">
        <v>0.4</v>
      </c>
      <c r="M891" s="1">
        <v>0.49</v>
      </c>
      <c r="N891" s="1" t="s">
        <v>74</v>
      </c>
      <c r="O891" s="1" t="s">
        <v>972</v>
      </c>
      <c r="P891" s="1">
        <v>800</v>
      </c>
      <c r="T891"/>
    </row>
    <row r="892" spans="9:20">
      <c r="I892" s="1" t="s">
        <v>50</v>
      </c>
      <c r="J892" s="1" t="s">
        <v>84</v>
      </c>
      <c r="K892" s="1" t="s">
        <v>12</v>
      </c>
      <c r="L892" s="1">
        <v>0.4</v>
      </c>
      <c r="M892" s="1">
        <v>0.49</v>
      </c>
      <c r="N892" s="1" t="s">
        <v>74</v>
      </c>
      <c r="O892" s="1" t="s">
        <v>973</v>
      </c>
      <c r="P892" s="1">
        <v>600</v>
      </c>
      <c r="T892"/>
    </row>
    <row r="893" spans="9:20">
      <c r="I893" s="1" t="s">
        <v>50</v>
      </c>
      <c r="J893" s="1" t="s">
        <v>1</v>
      </c>
      <c r="K893" s="1" t="s">
        <v>13</v>
      </c>
      <c r="L893" s="1">
        <v>0.4</v>
      </c>
      <c r="M893" s="1">
        <v>0.49</v>
      </c>
      <c r="N893" s="1" t="s">
        <v>74</v>
      </c>
      <c r="O893" s="1" t="s">
        <v>974</v>
      </c>
      <c r="P893" s="1">
        <v>1600</v>
      </c>
      <c r="T893"/>
    </row>
    <row r="894" spans="9:20">
      <c r="I894" s="1" t="s">
        <v>50</v>
      </c>
      <c r="J894" s="1" t="s">
        <v>2</v>
      </c>
      <c r="K894" s="1" t="s">
        <v>13</v>
      </c>
      <c r="L894" s="1">
        <v>0.4</v>
      </c>
      <c r="M894" s="1">
        <v>0.49</v>
      </c>
      <c r="N894" s="1" t="s">
        <v>74</v>
      </c>
      <c r="O894" s="1" t="s">
        <v>975</v>
      </c>
      <c r="P894" s="1">
        <v>1400</v>
      </c>
      <c r="T894"/>
    </row>
    <row r="895" spans="9:20">
      <c r="I895" s="1" t="s">
        <v>50</v>
      </c>
      <c r="J895" s="1" t="s">
        <v>3</v>
      </c>
      <c r="K895" s="1" t="s">
        <v>13</v>
      </c>
      <c r="L895" s="1">
        <v>0.4</v>
      </c>
      <c r="M895" s="1">
        <v>0.49</v>
      </c>
      <c r="N895" s="1" t="s">
        <v>74</v>
      </c>
      <c r="O895" s="1" t="s">
        <v>976</v>
      </c>
      <c r="P895" s="1">
        <v>1300</v>
      </c>
      <c r="T895"/>
    </row>
    <row r="896" spans="9:20">
      <c r="I896" s="1" t="s">
        <v>50</v>
      </c>
      <c r="J896" s="1" t="s">
        <v>4</v>
      </c>
      <c r="K896" s="1" t="s">
        <v>13</v>
      </c>
      <c r="L896" s="1">
        <v>0.4</v>
      </c>
      <c r="M896" s="1">
        <v>0.49</v>
      </c>
      <c r="N896" s="1" t="s">
        <v>74</v>
      </c>
      <c r="O896" s="1" t="s">
        <v>977</v>
      </c>
      <c r="P896" s="1">
        <v>1200</v>
      </c>
      <c r="T896"/>
    </row>
    <row r="897" spans="9:20">
      <c r="I897" s="1" t="s">
        <v>50</v>
      </c>
      <c r="J897" s="1" t="s">
        <v>5</v>
      </c>
      <c r="K897" s="1" t="s">
        <v>13</v>
      </c>
      <c r="L897" s="1">
        <v>0.4</v>
      </c>
      <c r="M897" s="1">
        <v>0.49</v>
      </c>
      <c r="N897" s="1" t="s">
        <v>74</v>
      </c>
      <c r="O897" s="1" t="s">
        <v>978</v>
      </c>
      <c r="P897" s="1">
        <v>1200</v>
      </c>
      <c r="T897"/>
    </row>
    <row r="898" spans="9:20">
      <c r="I898" s="1" t="s">
        <v>50</v>
      </c>
      <c r="J898" s="1" t="s">
        <v>6</v>
      </c>
      <c r="K898" s="1" t="s">
        <v>13</v>
      </c>
      <c r="L898" s="1">
        <v>0.4</v>
      </c>
      <c r="M898" s="1">
        <v>0.49</v>
      </c>
      <c r="N898" s="1" t="s">
        <v>74</v>
      </c>
      <c r="O898" s="1" t="s">
        <v>979</v>
      </c>
      <c r="P898" s="1">
        <v>1100</v>
      </c>
      <c r="T898"/>
    </row>
    <row r="899" spans="9:20">
      <c r="I899" s="1" t="s">
        <v>50</v>
      </c>
      <c r="J899" s="1" t="s">
        <v>7</v>
      </c>
      <c r="K899" s="1" t="s">
        <v>13</v>
      </c>
      <c r="L899" s="1">
        <v>0.4</v>
      </c>
      <c r="M899" s="1">
        <v>0.49</v>
      </c>
      <c r="N899" s="1" t="s">
        <v>74</v>
      </c>
      <c r="O899" s="1" t="s">
        <v>980</v>
      </c>
      <c r="P899" s="1">
        <v>1000</v>
      </c>
      <c r="T899"/>
    </row>
    <row r="900" spans="9:20">
      <c r="I900" s="1" t="s">
        <v>50</v>
      </c>
      <c r="J900" s="1" t="s">
        <v>75</v>
      </c>
      <c r="K900" s="1" t="s">
        <v>13</v>
      </c>
      <c r="L900" s="1">
        <v>0.4</v>
      </c>
      <c r="M900" s="1">
        <v>0.49</v>
      </c>
      <c r="N900" s="1" t="s">
        <v>74</v>
      </c>
      <c r="O900" s="1" t="s">
        <v>981</v>
      </c>
      <c r="P900" s="1">
        <v>900</v>
      </c>
      <c r="T900"/>
    </row>
    <row r="901" spans="9:20">
      <c r="I901" s="1" t="s">
        <v>50</v>
      </c>
      <c r="J901" s="1" t="s">
        <v>78</v>
      </c>
      <c r="K901" s="1" t="s">
        <v>13</v>
      </c>
      <c r="L901" s="1">
        <v>0.4</v>
      </c>
      <c r="M901" s="1">
        <v>0.49</v>
      </c>
      <c r="N901" s="1" t="s">
        <v>74</v>
      </c>
      <c r="O901" s="1" t="s">
        <v>982</v>
      </c>
      <c r="P901" s="1">
        <v>800</v>
      </c>
      <c r="T901"/>
    </row>
    <row r="902" spans="9:20">
      <c r="I902" s="1" t="s">
        <v>50</v>
      </c>
      <c r="J902" s="1" t="s">
        <v>81</v>
      </c>
      <c r="K902" s="1" t="s">
        <v>13</v>
      </c>
      <c r="L902" s="1">
        <v>0.4</v>
      </c>
      <c r="M902" s="1">
        <v>0.49</v>
      </c>
      <c r="N902" s="1" t="s">
        <v>74</v>
      </c>
      <c r="O902" s="1" t="s">
        <v>983</v>
      </c>
      <c r="P902" s="1">
        <v>700</v>
      </c>
      <c r="T902"/>
    </row>
    <row r="903" spans="9:20">
      <c r="I903" s="1" t="s">
        <v>50</v>
      </c>
      <c r="J903" s="1" t="s">
        <v>84</v>
      </c>
      <c r="K903" s="1" t="s">
        <v>13</v>
      </c>
      <c r="L903" s="1">
        <v>0.4</v>
      </c>
      <c r="M903" s="1">
        <v>0.49</v>
      </c>
      <c r="N903" s="1" t="s">
        <v>74</v>
      </c>
      <c r="O903" s="1" t="s">
        <v>984</v>
      </c>
      <c r="P903" s="1">
        <v>600</v>
      </c>
      <c r="T903"/>
    </row>
    <row r="904" spans="9:20">
      <c r="I904" s="1" t="s">
        <v>50</v>
      </c>
      <c r="J904" s="1" t="s">
        <v>1</v>
      </c>
      <c r="K904" s="1" t="s">
        <v>14</v>
      </c>
      <c r="L904" s="1">
        <v>0.4</v>
      </c>
      <c r="M904" s="1">
        <v>0.49</v>
      </c>
      <c r="N904" s="1" t="s">
        <v>74</v>
      </c>
      <c r="O904" s="1" t="s">
        <v>985</v>
      </c>
      <c r="P904" s="1">
        <v>1400</v>
      </c>
      <c r="T904"/>
    </row>
    <row r="905" spans="9:20">
      <c r="I905" s="1" t="s">
        <v>50</v>
      </c>
      <c r="J905" s="1" t="s">
        <v>2</v>
      </c>
      <c r="K905" s="1" t="s">
        <v>14</v>
      </c>
      <c r="L905" s="1">
        <v>0.4</v>
      </c>
      <c r="M905" s="1">
        <v>0.49</v>
      </c>
      <c r="N905" s="1" t="s">
        <v>74</v>
      </c>
      <c r="O905" s="1" t="s">
        <v>986</v>
      </c>
      <c r="P905" s="1">
        <v>1300</v>
      </c>
      <c r="T905"/>
    </row>
    <row r="906" spans="9:20">
      <c r="I906" s="1" t="s">
        <v>50</v>
      </c>
      <c r="J906" s="1" t="s">
        <v>3</v>
      </c>
      <c r="K906" s="1" t="s">
        <v>14</v>
      </c>
      <c r="L906" s="1">
        <v>0.4</v>
      </c>
      <c r="M906" s="1">
        <v>0.49</v>
      </c>
      <c r="N906" s="1" t="s">
        <v>74</v>
      </c>
      <c r="O906" s="1" t="s">
        <v>987</v>
      </c>
      <c r="P906" s="1">
        <v>1200</v>
      </c>
      <c r="T906"/>
    </row>
    <row r="907" spans="9:20">
      <c r="I907" s="1" t="s">
        <v>50</v>
      </c>
      <c r="J907" s="1" t="s">
        <v>4</v>
      </c>
      <c r="K907" s="1" t="s">
        <v>14</v>
      </c>
      <c r="L907" s="1">
        <v>0.4</v>
      </c>
      <c r="M907" s="1">
        <v>0.49</v>
      </c>
      <c r="N907" s="1" t="s">
        <v>74</v>
      </c>
      <c r="O907" s="1" t="s">
        <v>988</v>
      </c>
      <c r="P907" s="1">
        <v>1100</v>
      </c>
      <c r="T907"/>
    </row>
    <row r="908" spans="9:20">
      <c r="I908" s="1" t="s">
        <v>50</v>
      </c>
      <c r="J908" s="1" t="s">
        <v>5</v>
      </c>
      <c r="K908" s="1" t="s">
        <v>14</v>
      </c>
      <c r="L908" s="1">
        <v>0.4</v>
      </c>
      <c r="M908" s="1">
        <v>0.49</v>
      </c>
      <c r="N908" s="1" t="s">
        <v>74</v>
      </c>
      <c r="O908" s="1" t="s">
        <v>989</v>
      </c>
      <c r="P908" s="1">
        <v>1100</v>
      </c>
      <c r="T908"/>
    </row>
    <row r="909" spans="9:20">
      <c r="I909" s="1" t="s">
        <v>50</v>
      </c>
      <c r="J909" s="1" t="s">
        <v>6</v>
      </c>
      <c r="K909" s="1" t="s">
        <v>14</v>
      </c>
      <c r="L909" s="1">
        <v>0.4</v>
      </c>
      <c r="M909" s="1">
        <v>0.49</v>
      </c>
      <c r="N909" s="1" t="s">
        <v>74</v>
      </c>
      <c r="O909" s="1" t="s">
        <v>990</v>
      </c>
      <c r="P909" s="1">
        <v>1000</v>
      </c>
      <c r="T909"/>
    </row>
    <row r="910" spans="9:20">
      <c r="I910" s="1" t="s">
        <v>50</v>
      </c>
      <c r="J910" s="1" t="s">
        <v>7</v>
      </c>
      <c r="K910" s="1" t="s">
        <v>14</v>
      </c>
      <c r="L910" s="1">
        <v>0.4</v>
      </c>
      <c r="M910" s="1">
        <v>0.49</v>
      </c>
      <c r="N910" s="1" t="s">
        <v>74</v>
      </c>
      <c r="O910" s="1" t="s">
        <v>991</v>
      </c>
      <c r="P910" s="1">
        <v>1000</v>
      </c>
      <c r="T910"/>
    </row>
    <row r="911" spans="9:20">
      <c r="I911" s="1" t="s">
        <v>50</v>
      </c>
      <c r="J911" s="1" t="s">
        <v>75</v>
      </c>
      <c r="K911" s="1" t="s">
        <v>14</v>
      </c>
      <c r="L911" s="1">
        <v>0.4</v>
      </c>
      <c r="M911" s="1">
        <v>0.49</v>
      </c>
      <c r="N911" s="1" t="s">
        <v>74</v>
      </c>
      <c r="O911" s="1" t="s">
        <v>992</v>
      </c>
      <c r="P911" s="1">
        <v>900</v>
      </c>
      <c r="T911"/>
    </row>
    <row r="912" spans="9:20">
      <c r="I912" s="1" t="s">
        <v>50</v>
      </c>
      <c r="J912" s="1" t="s">
        <v>78</v>
      </c>
      <c r="K912" s="1" t="s">
        <v>14</v>
      </c>
      <c r="L912" s="1">
        <v>0.4</v>
      </c>
      <c r="M912" s="1">
        <v>0.49</v>
      </c>
      <c r="N912" s="1" t="s">
        <v>74</v>
      </c>
      <c r="O912" s="1" t="s">
        <v>993</v>
      </c>
      <c r="P912" s="1">
        <v>800</v>
      </c>
      <c r="T912"/>
    </row>
    <row r="913" spans="9:20">
      <c r="I913" s="1" t="s">
        <v>50</v>
      </c>
      <c r="J913" s="1" t="s">
        <v>81</v>
      </c>
      <c r="K913" s="1" t="s">
        <v>14</v>
      </c>
      <c r="L913" s="1">
        <v>0.4</v>
      </c>
      <c r="M913" s="1">
        <v>0.49</v>
      </c>
      <c r="N913" s="1" t="s">
        <v>74</v>
      </c>
      <c r="O913" s="1" t="s">
        <v>994</v>
      </c>
      <c r="P913" s="1">
        <v>700</v>
      </c>
      <c r="T913"/>
    </row>
    <row r="914" spans="9:20">
      <c r="I914" s="1" t="s">
        <v>50</v>
      </c>
      <c r="J914" s="1" t="s">
        <v>84</v>
      </c>
      <c r="K914" s="1" t="s">
        <v>14</v>
      </c>
      <c r="L914" s="1">
        <v>0.4</v>
      </c>
      <c r="M914" s="1">
        <v>0.49</v>
      </c>
      <c r="N914" s="1" t="s">
        <v>74</v>
      </c>
      <c r="O914" s="1" t="s">
        <v>995</v>
      </c>
      <c r="P914" s="1">
        <v>500</v>
      </c>
      <c r="T914"/>
    </row>
    <row r="915" spans="9:20">
      <c r="I915" s="1" t="s">
        <v>50</v>
      </c>
      <c r="J915" s="1" t="s">
        <v>1</v>
      </c>
      <c r="K915" s="1" t="s">
        <v>15</v>
      </c>
      <c r="L915" s="1">
        <v>0.4</v>
      </c>
      <c r="M915" s="1">
        <v>0.49</v>
      </c>
      <c r="N915" s="1" t="s">
        <v>74</v>
      </c>
      <c r="O915" s="1" t="s">
        <v>996</v>
      </c>
      <c r="P915" s="1">
        <v>1300</v>
      </c>
      <c r="T915"/>
    </row>
    <row r="916" spans="9:20">
      <c r="I916" s="1" t="s">
        <v>50</v>
      </c>
      <c r="J916" s="1" t="s">
        <v>2</v>
      </c>
      <c r="K916" s="1" t="s">
        <v>15</v>
      </c>
      <c r="L916" s="1">
        <v>0.4</v>
      </c>
      <c r="M916" s="1">
        <v>0.49</v>
      </c>
      <c r="N916" s="1" t="s">
        <v>74</v>
      </c>
      <c r="O916" s="1" t="s">
        <v>997</v>
      </c>
      <c r="P916" s="1">
        <v>1200</v>
      </c>
      <c r="T916"/>
    </row>
    <row r="917" spans="9:20">
      <c r="I917" s="1" t="s">
        <v>50</v>
      </c>
      <c r="J917" s="1" t="s">
        <v>3</v>
      </c>
      <c r="K917" s="1" t="s">
        <v>15</v>
      </c>
      <c r="L917" s="1">
        <v>0.4</v>
      </c>
      <c r="M917" s="1">
        <v>0.49</v>
      </c>
      <c r="N917" s="1" t="s">
        <v>74</v>
      </c>
      <c r="O917" s="1" t="s">
        <v>998</v>
      </c>
      <c r="P917" s="1">
        <v>1100</v>
      </c>
      <c r="T917"/>
    </row>
    <row r="918" spans="9:20">
      <c r="I918" s="1" t="s">
        <v>50</v>
      </c>
      <c r="J918" s="1" t="s">
        <v>4</v>
      </c>
      <c r="K918" s="1" t="s">
        <v>15</v>
      </c>
      <c r="L918" s="1">
        <v>0.4</v>
      </c>
      <c r="M918" s="1">
        <v>0.49</v>
      </c>
      <c r="N918" s="1" t="s">
        <v>74</v>
      </c>
      <c r="O918" s="1" t="s">
        <v>999</v>
      </c>
      <c r="P918" s="1">
        <v>1000</v>
      </c>
      <c r="T918"/>
    </row>
    <row r="919" spans="9:20">
      <c r="I919" s="1" t="s">
        <v>50</v>
      </c>
      <c r="J919" s="1" t="s">
        <v>5</v>
      </c>
      <c r="K919" s="1" t="s">
        <v>15</v>
      </c>
      <c r="L919" s="1">
        <v>0.4</v>
      </c>
      <c r="M919" s="1">
        <v>0.49</v>
      </c>
      <c r="N919" s="1" t="s">
        <v>74</v>
      </c>
      <c r="O919" s="1" t="s">
        <v>1000</v>
      </c>
      <c r="P919" s="1">
        <v>1000</v>
      </c>
      <c r="T919"/>
    </row>
    <row r="920" spans="9:20">
      <c r="I920" s="1" t="s">
        <v>50</v>
      </c>
      <c r="J920" s="1" t="s">
        <v>6</v>
      </c>
      <c r="K920" s="1" t="s">
        <v>15</v>
      </c>
      <c r="L920" s="1">
        <v>0.4</v>
      </c>
      <c r="M920" s="1">
        <v>0.49</v>
      </c>
      <c r="N920" s="1" t="s">
        <v>74</v>
      </c>
      <c r="O920" s="1" t="s">
        <v>1001</v>
      </c>
      <c r="P920" s="1">
        <v>900</v>
      </c>
      <c r="T920"/>
    </row>
    <row r="921" spans="9:20">
      <c r="I921" s="1" t="s">
        <v>50</v>
      </c>
      <c r="J921" s="1" t="s">
        <v>7</v>
      </c>
      <c r="K921" s="1" t="s">
        <v>15</v>
      </c>
      <c r="L921" s="1">
        <v>0.4</v>
      </c>
      <c r="M921" s="1">
        <v>0.49</v>
      </c>
      <c r="N921" s="1" t="s">
        <v>74</v>
      </c>
      <c r="O921" s="1" t="s">
        <v>1002</v>
      </c>
      <c r="P921" s="1">
        <v>900</v>
      </c>
      <c r="T921"/>
    </row>
    <row r="922" spans="9:20">
      <c r="I922" s="1" t="s">
        <v>50</v>
      </c>
      <c r="J922" s="1" t="s">
        <v>75</v>
      </c>
      <c r="K922" s="1" t="s">
        <v>15</v>
      </c>
      <c r="L922" s="1">
        <v>0.4</v>
      </c>
      <c r="M922" s="1">
        <v>0.49</v>
      </c>
      <c r="N922" s="1" t="s">
        <v>74</v>
      </c>
      <c r="O922" s="1" t="s">
        <v>1003</v>
      </c>
      <c r="P922" s="1">
        <v>800</v>
      </c>
      <c r="T922"/>
    </row>
    <row r="923" spans="9:20">
      <c r="I923" s="1" t="s">
        <v>50</v>
      </c>
      <c r="J923" s="1" t="s">
        <v>78</v>
      </c>
      <c r="K923" s="1" t="s">
        <v>15</v>
      </c>
      <c r="L923" s="1">
        <v>0.4</v>
      </c>
      <c r="M923" s="1">
        <v>0.49</v>
      </c>
      <c r="N923" s="1" t="s">
        <v>74</v>
      </c>
      <c r="O923" s="1" t="s">
        <v>1004</v>
      </c>
      <c r="P923" s="1">
        <v>700</v>
      </c>
      <c r="T923"/>
    </row>
    <row r="924" spans="9:20">
      <c r="I924" s="1" t="s">
        <v>50</v>
      </c>
      <c r="J924" s="1" t="s">
        <v>81</v>
      </c>
      <c r="K924" s="1" t="s">
        <v>15</v>
      </c>
      <c r="L924" s="1">
        <v>0.4</v>
      </c>
      <c r="M924" s="1">
        <v>0.49</v>
      </c>
      <c r="N924" s="1" t="s">
        <v>74</v>
      </c>
      <c r="O924" s="1" t="s">
        <v>1005</v>
      </c>
      <c r="P924" s="1">
        <v>600</v>
      </c>
      <c r="T924"/>
    </row>
    <row r="925" spans="9:20">
      <c r="I925" s="1" t="s">
        <v>50</v>
      </c>
      <c r="J925" s="1" t="s">
        <v>84</v>
      </c>
      <c r="K925" s="1" t="s">
        <v>15</v>
      </c>
      <c r="L925" s="1">
        <v>0.4</v>
      </c>
      <c r="M925" s="1">
        <v>0.49</v>
      </c>
      <c r="N925" s="1" t="s">
        <v>74</v>
      </c>
      <c r="O925" s="1" t="s">
        <v>1006</v>
      </c>
      <c r="P925" s="1">
        <v>500</v>
      </c>
      <c r="T925"/>
    </row>
    <row r="926" spans="9:20">
      <c r="I926" s="1" t="s">
        <v>50</v>
      </c>
      <c r="J926" s="1" t="s">
        <v>1</v>
      </c>
      <c r="K926" s="1" t="s">
        <v>16</v>
      </c>
      <c r="L926" s="1">
        <v>0.4</v>
      </c>
      <c r="M926" s="1">
        <v>0.49</v>
      </c>
      <c r="N926" s="1" t="s">
        <v>74</v>
      </c>
      <c r="O926" s="1" t="s">
        <v>1007</v>
      </c>
      <c r="P926" s="1">
        <v>1200</v>
      </c>
      <c r="T926"/>
    </row>
    <row r="927" spans="9:20">
      <c r="I927" s="1" t="s">
        <v>50</v>
      </c>
      <c r="J927" s="1" t="s">
        <v>2</v>
      </c>
      <c r="K927" s="1" t="s">
        <v>16</v>
      </c>
      <c r="L927" s="1">
        <v>0.4</v>
      </c>
      <c r="M927" s="1">
        <v>0.49</v>
      </c>
      <c r="N927" s="1" t="s">
        <v>74</v>
      </c>
      <c r="O927" s="1" t="s">
        <v>1008</v>
      </c>
      <c r="P927" s="1">
        <v>1100</v>
      </c>
      <c r="T927"/>
    </row>
    <row r="928" spans="9:20">
      <c r="I928" s="1" t="s">
        <v>50</v>
      </c>
      <c r="J928" s="1" t="s">
        <v>3</v>
      </c>
      <c r="K928" s="1" t="s">
        <v>16</v>
      </c>
      <c r="L928" s="1">
        <v>0.4</v>
      </c>
      <c r="M928" s="1">
        <v>0.49</v>
      </c>
      <c r="N928" s="1" t="s">
        <v>74</v>
      </c>
      <c r="O928" s="1" t="s">
        <v>1009</v>
      </c>
      <c r="P928" s="1">
        <v>1000</v>
      </c>
      <c r="T928"/>
    </row>
    <row r="929" spans="9:20">
      <c r="I929" s="1" t="s">
        <v>50</v>
      </c>
      <c r="J929" s="1" t="s">
        <v>4</v>
      </c>
      <c r="K929" s="1" t="s">
        <v>16</v>
      </c>
      <c r="L929" s="1">
        <v>0.4</v>
      </c>
      <c r="M929" s="1">
        <v>0.49</v>
      </c>
      <c r="N929" s="1" t="s">
        <v>74</v>
      </c>
      <c r="O929" s="1" t="s">
        <v>1010</v>
      </c>
      <c r="P929" s="1">
        <v>900</v>
      </c>
      <c r="T929"/>
    </row>
    <row r="930" spans="9:20">
      <c r="I930" s="1" t="s">
        <v>50</v>
      </c>
      <c r="J930" s="1" t="s">
        <v>5</v>
      </c>
      <c r="K930" s="1" t="s">
        <v>16</v>
      </c>
      <c r="L930" s="1">
        <v>0.4</v>
      </c>
      <c r="M930" s="1">
        <v>0.49</v>
      </c>
      <c r="N930" s="1" t="s">
        <v>74</v>
      </c>
      <c r="O930" s="1" t="s">
        <v>1011</v>
      </c>
      <c r="P930" s="1">
        <v>900</v>
      </c>
      <c r="T930"/>
    </row>
    <row r="931" spans="9:20">
      <c r="I931" s="1" t="s">
        <v>50</v>
      </c>
      <c r="J931" s="1" t="s">
        <v>6</v>
      </c>
      <c r="K931" s="1" t="s">
        <v>16</v>
      </c>
      <c r="L931" s="1">
        <v>0.4</v>
      </c>
      <c r="M931" s="1">
        <v>0.49</v>
      </c>
      <c r="N931" s="1" t="s">
        <v>74</v>
      </c>
      <c r="O931" s="1" t="s">
        <v>1012</v>
      </c>
      <c r="P931" s="1">
        <v>800</v>
      </c>
      <c r="T931"/>
    </row>
    <row r="932" spans="9:20">
      <c r="I932" s="1" t="s">
        <v>50</v>
      </c>
      <c r="J932" s="1" t="s">
        <v>7</v>
      </c>
      <c r="K932" s="1" t="s">
        <v>16</v>
      </c>
      <c r="L932" s="1">
        <v>0.4</v>
      </c>
      <c r="M932" s="1">
        <v>0.49</v>
      </c>
      <c r="N932" s="1" t="s">
        <v>74</v>
      </c>
      <c r="O932" s="1" t="s">
        <v>1013</v>
      </c>
      <c r="P932" s="1">
        <v>800</v>
      </c>
      <c r="T932"/>
    </row>
    <row r="933" spans="9:20">
      <c r="I933" s="1" t="s">
        <v>50</v>
      </c>
      <c r="J933" s="1" t="s">
        <v>75</v>
      </c>
      <c r="K933" s="1" t="s">
        <v>16</v>
      </c>
      <c r="L933" s="1">
        <v>0.4</v>
      </c>
      <c r="M933" s="1">
        <v>0.49</v>
      </c>
      <c r="N933" s="1" t="s">
        <v>74</v>
      </c>
      <c r="O933" s="1" t="s">
        <v>1014</v>
      </c>
      <c r="P933" s="1">
        <v>700</v>
      </c>
      <c r="T933"/>
    </row>
    <row r="934" spans="9:20">
      <c r="I934" s="1" t="s">
        <v>50</v>
      </c>
      <c r="J934" s="1" t="s">
        <v>78</v>
      </c>
      <c r="K934" s="1" t="s">
        <v>16</v>
      </c>
      <c r="L934" s="1">
        <v>0.4</v>
      </c>
      <c r="M934" s="1">
        <v>0.49</v>
      </c>
      <c r="N934" s="1" t="s">
        <v>74</v>
      </c>
      <c r="O934" s="1" t="s">
        <v>1015</v>
      </c>
      <c r="P934" s="1">
        <v>600</v>
      </c>
      <c r="T934"/>
    </row>
    <row r="935" spans="9:20">
      <c r="I935" s="1" t="s">
        <v>50</v>
      </c>
      <c r="J935" s="1" t="s">
        <v>81</v>
      </c>
      <c r="K935" s="1" t="s">
        <v>16</v>
      </c>
      <c r="L935" s="1">
        <v>0.4</v>
      </c>
      <c r="M935" s="1">
        <v>0.49</v>
      </c>
      <c r="N935" s="1" t="s">
        <v>74</v>
      </c>
      <c r="O935" s="1" t="s">
        <v>1016</v>
      </c>
      <c r="P935" s="1">
        <v>500</v>
      </c>
      <c r="T935"/>
    </row>
    <row r="936" spans="9:20">
      <c r="I936" s="1" t="s">
        <v>50</v>
      </c>
      <c r="J936" s="1" t="s">
        <v>84</v>
      </c>
      <c r="K936" s="1" t="s">
        <v>16</v>
      </c>
      <c r="L936" s="1">
        <v>0.4</v>
      </c>
      <c r="M936" s="1">
        <v>0.49</v>
      </c>
      <c r="N936" s="1" t="s">
        <v>74</v>
      </c>
      <c r="O936" s="1" t="s">
        <v>1017</v>
      </c>
      <c r="P936" s="1">
        <v>400</v>
      </c>
      <c r="T936"/>
    </row>
    <row r="937" spans="9:20">
      <c r="I937" s="1" t="s">
        <v>50</v>
      </c>
      <c r="J937" s="1" t="s">
        <v>1</v>
      </c>
      <c r="K937" s="1" t="s">
        <v>17</v>
      </c>
      <c r="L937" s="1">
        <v>0.4</v>
      </c>
      <c r="M937" s="1">
        <v>0.49</v>
      </c>
      <c r="N937" s="1" t="s">
        <v>74</v>
      </c>
      <c r="O937" s="1" t="s">
        <v>1018</v>
      </c>
      <c r="P937" s="1">
        <v>1100</v>
      </c>
      <c r="T937"/>
    </row>
    <row r="938" spans="9:20">
      <c r="I938" s="1" t="s">
        <v>50</v>
      </c>
      <c r="J938" s="1" t="s">
        <v>2</v>
      </c>
      <c r="K938" s="1" t="s">
        <v>17</v>
      </c>
      <c r="L938" s="1">
        <v>0.4</v>
      </c>
      <c r="M938" s="1">
        <v>0.49</v>
      </c>
      <c r="N938" s="1" t="s">
        <v>74</v>
      </c>
      <c r="O938" s="1" t="s">
        <v>1019</v>
      </c>
      <c r="P938" s="1">
        <v>1000</v>
      </c>
      <c r="T938"/>
    </row>
    <row r="939" spans="9:20">
      <c r="I939" s="1" t="s">
        <v>50</v>
      </c>
      <c r="J939" s="1" t="s">
        <v>3</v>
      </c>
      <c r="K939" s="1" t="s">
        <v>17</v>
      </c>
      <c r="L939" s="1">
        <v>0.4</v>
      </c>
      <c r="M939" s="1">
        <v>0.49</v>
      </c>
      <c r="N939" s="1" t="s">
        <v>74</v>
      </c>
      <c r="O939" s="1" t="s">
        <v>1020</v>
      </c>
      <c r="P939" s="1">
        <v>900</v>
      </c>
      <c r="T939"/>
    </row>
    <row r="940" spans="9:20">
      <c r="I940" s="1" t="s">
        <v>50</v>
      </c>
      <c r="J940" s="1" t="s">
        <v>4</v>
      </c>
      <c r="K940" s="1" t="s">
        <v>17</v>
      </c>
      <c r="L940" s="1">
        <v>0.4</v>
      </c>
      <c r="M940" s="1">
        <v>0.49</v>
      </c>
      <c r="N940" s="1" t="s">
        <v>74</v>
      </c>
      <c r="O940" s="1" t="s">
        <v>1021</v>
      </c>
      <c r="P940" s="1">
        <v>800</v>
      </c>
      <c r="T940"/>
    </row>
    <row r="941" spans="9:20">
      <c r="I941" s="1" t="s">
        <v>50</v>
      </c>
      <c r="J941" s="1" t="s">
        <v>5</v>
      </c>
      <c r="K941" s="1" t="s">
        <v>17</v>
      </c>
      <c r="L941" s="1">
        <v>0.4</v>
      </c>
      <c r="M941" s="1">
        <v>0.49</v>
      </c>
      <c r="N941" s="1" t="s">
        <v>74</v>
      </c>
      <c r="O941" s="1" t="s">
        <v>1022</v>
      </c>
      <c r="P941" s="1">
        <v>800</v>
      </c>
      <c r="T941"/>
    </row>
    <row r="942" spans="9:20">
      <c r="I942" s="1" t="s">
        <v>50</v>
      </c>
      <c r="J942" s="1" t="s">
        <v>6</v>
      </c>
      <c r="K942" s="1" t="s">
        <v>17</v>
      </c>
      <c r="L942" s="1">
        <v>0.4</v>
      </c>
      <c r="M942" s="1">
        <v>0.49</v>
      </c>
      <c r="N942" s="1" t="s">
        <v>74</v>
      </c>
      <c r="O942" s="1" t="s">
        <v>1023</v>
      </c>
      <c r="P942" s="1">
        <v>800</v>
      </c>
      <c r="T942"/>
    </row>
    <row r="943" spans="9:20">
      <c r="I943" s="1" t="s">
        <v>50</v>
      </c>
      <c r="J943" s="1" t="s">
        <v>7</v>
      </c>
      <c r="K943" s="1" t="s">
        <v>17</v>
      </c>
      <c r="L943" s="1">
        <v>0.4</v>
      </c>
      <c r="M943" s="1">
        <v>0.49</v>
      </c>
      <c r="N943" s="1" t="s">
        <v>74</v>
      </c>
      <c r="O943" s="1" t="s">
        <v>1024</v>
      </c>
      <c r="P943" s="1">
        <v>700</v>
      </c>
      <c r="T943"/>
    </row>
    <row r="944" spans="9:20">
      <c r="I944" s="1" t="s">
        <v>50</v>
      </c>
      <c r="J944" s="1" t="s">
        <v>75</v>
      </c>
      <c r="K944" s="1" t="s">
        <v>17</v>
      </c>
      <c r="L944" s="1">
        <v>0.4</v>
      </c>
      <c r="M944" s="1">
        <v>0.49</v>
      </c>
      <c r="N944" s="1" t="s">
        <v>74</v>
      </c>
      <c r="O944" s="1" t="s">
        <v>1025</v>
      </c>
      <c r="P944" s="1">
        <v>600</v>
      </c>
      <c r="T944"/>
    </row>
    <row r="945" spans="9:20">
      <c r="I945" s="1" t="s">
        <v>50</v>
      </c>
      <c r="J945" s="1" t="s">
        <v>78</v>
      </c>
      <c r="K945" s="1" t="s">
        <v>17</v>
      </c>
      <c r="L945" s="1">
        <v>0.4</v>
      </c>
      <c r="M945" s="1">
        <v>0.49</v>
      </c>
      <c r="N945" s="1" t="s">
        <v>74</v>
      </c>
      <c r="O945" s="1" t="s">
        <v>1026</v>
      </c>
      <c r="P945" s="1">
        <v>500</v>
      </c>
      <c r="T945"/>
    </row>
    <row r="946" spans="9:20">
      <c r="I946" s="1" t="s">
        <v>50</v>
      </c>
      <c r="J946" s="1" t="s">
        <v>81</v>
      </c>
      <c r="K946" s="1" t="s">
        <v>17</v>
      </c>
      <c r="L946" s="1">
        <v>0.4</v>
      </c>
      <c r="M946" s="1">
        <v>0.49</v>
      </c>
      <c r="N946" s="1" t="s">
        <v>74</v>
      </c>
      <c r="O946" s="1" t="s">
        <v>1027</v>
      </c>
      <c r="P946" s="1">
        <v>500</v>
      </c>
      <c r="T946"/>
    </row>
    <row r="947" spans="9:20">
      <c r="I947" s="1" t="s">
        <v>50</v>
      </c>
      <c r="J947" s="1" t="s">
        <v>84</v>
      </c>
      <c r="K947" s="1" t="s">
        <v>17</v>
      </c>
      <c r="L947" s="1">
        <v>0.4</v>
      </c>
      <c r="M947" s="1">
        <v>0.49</v>
      </c>
      <c r="N947" s="1" t="s">
        <v>74</v>
      </c>
      <c r="O947" s="1" t="s">
        <v>1028</v>
      </c>
      <c r="P947" s="1">
        <v>400</v>
      </c>
      <c r="T947"/>
    </row>
    <row r="948" spans="9:20">
      <c r="I948" s="1" t="s">
        <v>50</v>
      </c>
      <c r="J948" s="1" t="s">
        <v>1</v>
      </c>
      <c r="K948" s="1" t="s">
        <v>8</v>
      </c>
      <c r="L948" s="1">
        <v>0.5</v>
      </c>
      <c r="M948" s="1">
        <v>0.69</v>
      </c>
      <c r="N948" s="1" t="s">
        <v>77</v>
      </c>
      <c r="O948" s="1" t="s">
        <v>1029</v>
      </c>
      <c r="P948" s="1">
        <v>4700</v>
      </c>
      <c r="T948"/>
    </row>
    <row r="949" spans="9:20">
      <c r="I949" s="1" t="s">
        <v>50</v>
      </c>
      <c r="J949" s="1" t="s">
        <v>2</v>
      </c>
      <c r="K949" s="1" t="s">
        <v>8</v>
      </c>
      <c r="L949" s="1">
        <v>0.5</v>
      </c>
      <c r="M949" s="1">
        <v>0.69</v>
      </c>
      <c r="N949" s="1" t="s">
        <v>77</v>
      </c>
      <c r="O949" s="1" t="s">
        <v>1030</v>
      </c>
      <c r="P949" s="1">
        <v>3700</v>
      </c>
      <c r="T949"/>
    </row>
    <row r="950" spans="9:20">
      <c r="I950" s="1" t="s">
        <v>50</v>
      </c>
      <c r="J950" s="1" t="s">
        <v>3</v>
      </c>
      <c r="K950" s="1" t="s">
        <v>8</v>
      </c>
      <c r="L950" s="1">
        <v>0.5</v>
      </c>
      <c r="M950" s="1">
        <v>0.69</v>
      </c>
      <c r="N950" s="1" t="s">
        <v>77</v>
      </c>
      <c r="O950" s="1" t="s">
        <v>1031</v>
      </c>
      <c r="P950" s="1">
        <v>2900</v>
      </c>
      <c r="T950"/>
    </row>
    <row r="951" spans="9:20">
      <c r="I951" s="1" t="s">
        <v>50</v>
      </c>
      <c r="J951" s="1" t="s">
        <v>4</v>
      </c>
      <c r="K951" s="1" t="s">
        <v>8</v>
      </c>
      <c r="L951" s="1">
        <v>0.5</v>
      </c>
      <c r="M951" s="1">
        <v>0.69</v>
      </c>
      <c r="N951" s="1" t="s">
        <v>77</v>
      </c>
      <c r="O951" s="1" t="s">
        <v>1032</v>
      </c>
      <c r="P951" s="1">
        <v>2500</v>
      </c>
      <c r="T951"/>
    </row>
    <row r="952" spans="9:20">
      <c r="I952" s="1" t="s">
        <v>50</v>
      </c>
      <c r="J952" s="1" t="s">
        <v>5</v>
      </c>
      <c r="K952" s="1" t="s">
        <v>8</v>
      </c>
      <c r="L952" s="1">
        <v>0.5</v>
      </c>
      <c r="M952" s="1">
        <v>0.69</v>
      </c>
      <c r="N952" s="1" t="s">
        <v>77</v>
      </c>
      <c r="O952" s="1" t="s">
        <v>1033</v>
      </c>
      <c r="P952" s="1">
        <v>2200</v>
      </c>
      <c r="T952"/>
    </row>
    <row r="953" spans="9:20">
      <c r="I953" s="1" t="s">
        <v>50</v>
      </c>
      <c r="J953" s="1" t="s">
        <v>6</v>
      </c>
      <c r="K953" s="1" t="s">
        <v>8</v>
      </c>
      <c r="L953" s="1">
        <v>0.5</v>
      </c>
      <c r="M953" s="1">
        <v>0.69</v>
      </c>
      <c r="N953" s="1" t="s">
        <v>77</v>
      </c>
      <c r="O953" s="1" t="s">
        <v>1034</v>
      </c>
      <c r="P953" s="1">
        <v>1900</v>
      </c>
      <c r="T953"/>
    </row>
    <row r="954" spans="9:20">
      <c r="I954" s="1" t="s">
        <v>50</v>
      </c>
      <c r="J954" s="1" t="s">
        <v>7</v>
      </c>
      <c r="K954" s="1" t="s">
        <v>8</v>
      </c>
      <c r="L954" s="1">
        <v>0.5</v>
      </c>
      <c r="M954" s="1">
        <v>0.69</v>
      </c>
      <c r="N954" s="1" t="s">
        <v>77</v>
      </c>
      <c r="O954" s="1" t="s">
        <v>1035</v>
      </c>
      <c r="P954" s="1">
        <v>1600</v>
      </c>
      <c r="T954"/>
    </row>
    <row r="955" spans="9:20">
      <c r="I955" s="1" t="s">
        <v>50</v>
      </c>
      <c r="J955" s="1" t="s">
        <v>75</v>
      </c>
      <c r="K955" s="1" t="s">
        <v>8</v>
      </c>
      <c r="L955" s="1">
        <v>0.5</v>
      </c>
      <c r="M955" s="1">
        <v>0.69</v>
      </c>
      <c r="N955" s="1" t="s">
        <v>77</v>
      </c>
      <c r="O955" s="1" t="s">
        <v>1036</v>
      </c>
      <c r="P955" s="1">
        <v>1500</v>
      </c>
      <c r="T955"/>
    </row>
    <row r="956" spans="9:20">
      <c r="I956" s="1" t="s">
        <v>50</v>
      </c>
      <c r="J956" s="1" t="s">
        <v>78</v>
      </c>
      <c r="K956" s="1" t="s">
        <v>8</v>
      </c>
      <c r="L956" s="1">
        <v>0.5</v>
      </c>
      <c r="M956" s="1">
        <v>0.69</v>
      </c>
      <c r="N956" s="1" t="s">
        <v>77</v>
      </c>
      <c r="O956" s="1" t="s">
        <v>1037</v>
      </c>
      <c r="P956" s="1">
        <v>1400</v>
      </c>
      <c r="T956"/>
    </row>
    <row r="957" spans="9:20">
      <c r="I957" s="1" t="s">
        <v>50</v>
      </c>
      <c r="J957" s="1" t="s">
        <v>81</v>
      </c>
      <c r="K957" s="1" t="s">
        <v>8</v>
      </c>
      <c r="L957" s="1">
        <v>0.5</v>
      </c>
      <c r="M957" s="1">
        <v>0.69</v>
      </c>
      <c r="N957" s="1" t="s">
        <v>77</v>
      </c>
      <c r="O957" s="1" t="s">
        <v>1038</v>
      </c>
      <c r="P957" s="1">
        <v>1300</v>
      </c>
      <c r="T957"/>
    </row>
    <row r="958" spans="9:20">
      <c r="I958" s="1" t="s">
        <v>50</v>
      </c>
      <c r="J958" s="1" t="s">
        <v>84</v>
      </c>
      <c r="K958" s="1" t="s">
        <v>8</v>
      </c>
      <c r="L958" s="1">
        <v>0.5</v>
      </c>
      <c r="M958" s="1">
        <v>0.69</v>
      </c>
      <c r="N958" s="1" t="s">
        <v>77</v>
      </c>
      <c r="O958" s="1" t="s">
        <v>1039</v>
      </c>
      <c r="P958" s="1">
        <v>1100</v>
      </c>
      <c r="T958"/>
    </row>
    <row r="959" spans="9:20">
      <c r="I959" s="1" t="s">
        <v>50</v>
      </c>
      <c r="J959" s="1" t="s">
        <v>1</v>
      </c>
      <c r="K959" s="1" t="s">
        <v>9</v>
      </c>
      <c r="L959" s="1">
        <v>0.5</v>
      </c>
      <c r="M959" s="1">
        <v>0.69</v>
      </c>
      <c r="N959" s="1" t="s">
        <v>77</v>
      </c>
      <c r="O959" s="1" t="s">
        <v>1040</v>
      </c>
      <c r="P959" s="1">
        <v>3700</v>
      </c>
      <c r="T959"/>
    </row>
    <row r="960" spans="9:20">
      <c r="I960" s="1" t="s">
        <v>50</v>
      </c>
      <c r="J960" s="1" t="s">
        <v>2</v>
      </c>
      <c r="K960" s="1" t="s">
        <v>9</v>
      </c>
      <c r="L960" s="1">
        <v>0.5</v>
      </c>
      <c r="M960" s="1">
        <v>0.69</v>
      </c>
      <c r="N960" s="1" t="s">
        <v>77</v>
      </c>
      <c r="O960" s="1" t="s">
        <v>1041</v>
      </c>
      <c r="P960" s="1">
        <v>3200</v>
      </c>
      <c r="T960"/>
    </row>
    <row r="961" spans="9:20">
      <c r="I961" s="1" t="s">
        <v>50</v>
      </c>
      <c r="J961" s="1" t="s">
        <v>3</v>
      </c>
      <c r="K961" s="1" t="s">
        <v>9</v>
      </c>
      <c r="L961" s="1">
        <v>0.5</v>
      </c>
      <c r="M961" s="1">
        <v>0.69</v>
      </c>
      <c r="N961" s="1" t="s">
        <v>77</v>
      </c>
      <c r="O961" s="1" t="s">
        <v>1042</v>
      </c>
      <c r="P961" s="1">
        <v>2600</v>
      </c>
      <c r="T961"/>
    </row>
    <row r="962" spans="9:20">
      <c r="I962" s="1" t="s">
        <v>50</v>
      </c>
      <c r="J962" s="1" t="s">
        <v>4</v>
      </c>
      <c r="K962" s="1" t="s">
        <v>9</v>
      </c>
      <c r="L962" s="1">
        <v>0.5</v>
      </c>
      <c r="M962" s="1">
        <v>0.69</v>
      </c>
      <c r="N962" s="1" t="s">
        <v>77</v>
      </c>
      <c r="O962" s="1" t="s">
        <v>1043</v>
      </c>
      <c r="P962" s="1">
        <v>2300</v>
      </c>
      <c r="T962"/>
    </row>
    <row r="963" spans="9:20">
      <c r="I963" s="1" t="s">
        <v>50</v>
      </c>
      <c r="J963" s="1" t="s">
        <v>5</v>
      </c>
      <c r="K963" s="1" t="s">
        <v>9</v>
      </c>
      <c r="L963" s="1">
        <v>0.5</v>
      </c>
      <c r="M963" s="1">
        <v>0.69</v>
      </c>
      <c r="N963" s="1" t="s">
        <v>77</v>
      </c>
      <c r="O963" s="1" t="s">
        <v>1044</v>
      </c>
      <c r="P963" s="1">
        <v>2000</v>
      </c>
      <c r="T963"/>
    </row>
    <row r="964" spans="9:20">
      <c r="I964" s="1" t="s">
        <v>50</v>
      </c>
      <c r="J964" s="1" t="s">
        <v>6</v>
      </c>
      <c r="K964" s="1" t="s">
        <v>9</v>
      </c>
      <c r="L964" s="1">
        <v>0.5</v>
      </c>
      <c r="M964" s="1">
        <v>0.69</v>
      </c>
      <c r="N964" s="1" t="s">
        <v>77</v>
      </c>
      <c r="O964" s="1" t="s">
        <v>1045</v>
      </c>
      <c r="P964" s="1">
        <v>1700</v>
      </c>
      <c r="T964"/>
    </row>
    <row r="965" spans="9:20">
      <c r="I965" s="1" t="s">
        <v>50</v>
      </c>
      <c r="J965" s="1" t="s">
        <v>7</v>
      </c>
      <c r="K965" s="1" t="s">
        <v>9</v>
      </c>
      <c r="L965" s="1">
        <v>0.5</v>
      </c>
      <c r="M965" s="1">
        <v>0.69</v>
      </c>
      <c r="N965" s="1" t="s">
        <v>77</v>
      </c>
      <c r="O965" s="1" t="s">
        <v>1046</v>
      </c>
      <c r="P965" s="1">
        <v>1500</v>
      </c>
      <c r="T965"/>
    </row>
    <row r="966" spans="9:20">
      <c r="I966" s="1" t="s">
        <v>50</v>
      </c>
      <c r="J966" s="1" t="s">
        <v>75</v>
      </c>
      <c r="K966" s="1" t="s">
        <v>9</v>
      </c>
      <c r="L966" s="1">
        <v>0.5</v>
      </c>
      <c r="M966" s="1">
        <v>0.69</v>
      </c>
      <c r="N966" s="1" t="s">
        <v>77</v>
      </c>
      <c r="O966" s="1" t="s">
        <v>1047</v>
      </c>
      <c r="P966" s="1">
        <v>1400</v>
      </c>
      <c r="T966"/>
    </row>
    <row r="967" spans="9:20">
      <c r="I967" s="1" t="s">
        <v>50</v>
      </c>
      <c r="J967" s="1" t="s">
        <v>78</v>
      </c>
      <c r="K967" s="1" t="s">
        <v>9</v>
      </c>
      <c r="L967" s="1">
        <v>0.5</v>
      </c>
      <c r="M967" s="1">
        <v>0.69</v>
      </c>
      <c r="N967" s="1" t="s">
        <v>77</v>
      </c>
      <c r="O967" s="1" t="s">
        <v>1048</v>
      </c>
      <c r="P967" s="1">
        <v>1300</v>
      </c>
      <c r="T967"/>
    </row>
    <row r="968" spans="9:20">
      <c r="I968" s="1" t="s">
        <v>50</v>
      </c>
      <c r="J968" s="1" t="s">
        <v>81</v>
      </c>
      <c r="K968" s="1" t="s">
        <v>9</v>
      </c>
      <c r="L968" s="1">
        <v>0.5</v>
      </c>
      <c r="M968" s="1">
        <v>0.69</v>
      </c>
      <c r="N968" s="1" t="s">
        <v>77</v>
      </c>
      <c r="O968" s="1" t="s">
        <v>1049</v>
      </c>
      <c r="P968" s="1">
        <v>1200</v>
      </c>
      <c r="T968"/>
    </row>
    <row r="969" spans="9:20">
      <c r="I969" s="1" t="s">
        <v>50</v>
      </c>
      <c r="J969" s="1" t="s">
        <v>84</v>
      </c>
      <c r="K969" s="1" t="s">
        <v>9</v>
      </c>
      <c r="L969" s="1">
        <v>0.5</v>
      </c>
      <c r="M969" s="1">
        <v>0.69</v>
      </c>
      <c r="N969" s="1" t="s">
        <v>77</v>
      </c>
      <c r="O969" s="1" t="s">
        <v>1050</v>
      </c>
      <c r="P969" s="1">
        <v>1000</v>
      </c>
      <c r="T969"/>
    </row>
    <row r="970" spans="9:20">
      <c r="I970" s="1" t="s">
        <v>50</v>
      </c>
      <c r="J970" s="1" t="s">
        <v>1</v>
      </c>
      <c r="K970" s="1" t="s">
        <v>10</v>
      </c>
      <c r="L970" s="1">
        <v>0.5</v>
      </c>
      <c r="M970" s="1">
        <v>0.69</v>
      </c>
      <c r="N970" s="1" t="s">
        <v>77</v>
      </c>
      <c r="O970" s="1" t="s">
        <v>1051</v>
      </c>
      <c r="P970" s="1">
        <v>3200</v>
      </c>
      <c r="T970"/>
    </row>
    <row r="971" spans="9:20">
      <c r="I971" s="1" t="s">
        <v>50</v>
      </c>
      <c r="J971" s="1" t="s">
        <v>2</v>
      </c>
      <c r="K971" s="1" t="s">
        <v>10</v>
      </c>
      <c r="L971" s="1">
        <v>0.5</v>
      </c>
      <c r="M971" s="1">
        <v>0.69</v>
      </c>
      <c r="N971" s="1" t="s">
        <v>77</v>
      </c>
      <c r="O971" s="1" t="s">
        <v>1052</v>
      </c>
      <c r="P971" s="1">
        <v>2800</v>
      </c>
      <c r="T971"/>
    </row>
    <row r="972" spans="9:20">
      <c r="I972" s="1" t="s">
        <v>50</v>
      </c>
      <c r="J972" s="1" t="s">
        <v>3</v>
      </c>
      <c r="K972" s="1" t="s">
        <v>10</v>
      </c>
      <c r="L972" s="1">
        <v>0.5</v>
      </c>
      <c r="M972" s="1">
        <v>0.69</v>
      </c>
      <c r="N972" s="1" t="s">
        <v>77</v>
      </c>
      <c r="O972" s="1" t="s">
        <v>1053</v>
      </c>
      <c r="P972" s="1">
        <v>2400</v>
      </c>
      <c r="T972"/>
    </row>
    <row r="973" spans="9:20">
      <c r="I973" s="1" t="s">
        <v>50</v>
      </c>
      <c r="J973" s="1" t="s">
        <v>4</v>
      </c>
      <c r="K973" s="1" t="s">
        <v>10</v>
      </c>
      <c r="L973" s="1">
        <v>0.5</v>
      </c>
      <c r="M973" s="1">
        <v>0.69</v>
      </c>
      <c r="N973" s="1" t="s">
        <v>77</v>
      </c>
      <c r="O973" s="1" t="s">
        <v>1054</v>
      </c>
      <c r="P973" s="1">
        <v>2100</v>
      </c>
      <c r="T973"/>
    </row>
    <row r="974" spans="9:20">
      <c r="I974" s="1" t="s">
        <v>50</v>
      </c>
      <c r="J974" s="1" t="s">
        <v>5</v>
      </c>
      <c r="K974" s="1" t="s">
        <v>10</v>
      </c>
      <c r="L974" s="1">
        <v>0.5</v>
      </c>
      <c r="M974" s="1">
        <v>0.69</v>
      </c>
      <c r="N974" s="1" t="s">
        <v>77</v>
      </c>
      <c r="O974" s="1" t="s">
        <v>1055</v>
      </c>
      <c r="P974" s="1">
        <v>1900</v>
      </c>
      <c r="T974"/>
    </row>
    <row r="975" spans="9:20">
      <c r="I975" s="1" t="s">
        <v>50</v>
      </c>
      <c r="J975" s="1" t="s">
        <v>6</v>
      </c>
      <c r="K975" s="1" t="s">
        <v>10</v>
      </c>
      <c r="L975" s="1">
        <v>0.5</v>
      </c>
      <c r="M975" s="1">
        <v>0.69</v>
      </c>
      <c r="N975" s="1" t="s">
        <v>77</v>
      </c>
      <c r="O975" s="1" t="s">
        <v>1056</v>
      </c>
      <c r="P975" s="1">
        <v>1600</v>
      </c>
      <c r="T975"/>
    </row>
    <row r="976" spans="9:20">
      <c r="I976" s="1" t="s">
        <v>50</v>
      </c>
      <c r="J976" s="1" t="s">
        <v>7</v>
      </c>
      <c r="K976" s="1" t="s">
        <v>10</v>
      </c>
      <c r="L976" s="1">
        <v>0.5</v>
      </c>
      <c r="M976" s="1">
        <v>0.69</v>
      </c>
      <c r="N976" s="1" t="s">
        <v>77</v>
      </c>
      <c r="O976" s="1" t="s">
        <v>1057</v>
      </c>
      <c r="P976" s="1">
        <v>1400</v>
      </c>
      <c r="T976"/>
    </row>
    <row r="977" spans="9:20">
      <c r="I977" s="1" t="s">
        <v>50</v>
      </c>
      <c r="J977" s="1" t="s">
        <v>75</v>
      </c>
      <c r="K977" s="1" t="s">
        <v>10</v>
      </c>
      <c r="L977" s="1">
        <v>0.5</v>
      </c>
      <c r="M977" s="1">
        <v>0.69</v>
      </c>
      <c r="N977" s="1" t="s">
        <v>77</v>
      </c>
      <c r="O977" s="1" t="s">
        <v>1058</v>
      </c>
      <c r="P977" s="1">
        <v>1300</v>
      </c>
      <c r="T977"/>
    </row>
    <row r="978" spans="9:20">
      <c r="I978" s="1" t="s">
        <v>50</v>
      </c>
      <c r="J978" s="1" t="s">
        <v>78</v>
      </c>
      <c r="K978" s="1" t="s">
        <v>10</v>
      </c>
      <c r="L978" s="1">
        <v>0.5</v>
      </c>
      <c r="M978" s="1">
        <v>0.69</v>
      </c>
      <c r="N978" s="1" t="s">
        <v>77</v>
      </c>
      <c r="O978" s="1" t="s">
        <v>1059</v>
      </c>
      <c r="P978" s="1">
        <v>1200</v>
      </c>
      <c r="T978"/>
    </row>
    <row r="979" spans="9:20">
      <c r="I979" s="1" t="s">
        <v>50</v>
      </c>
      <c r="J979" s="1" t="s">
        <v>81</v>
      </c>
      <c r="K979" s="1" t="s">
        <v>10</v>
      </c>
      <c r="L979" s="1">
        <v>0.5</v>
      </c>
      <c r="M979" s="1">
        <v>0.69</v>
      </c>
      <c r="N979" s="1" t="s">
        <v>77</v>
      </c>
      <c r="O979" s="1" t="s">
        <v>1060</v>
      </c>
      <c r="P979" s="1">
        <v>1100</v>
      </c>
      <c r="T979"/>
    </row>
    <row r="980" spans="9:20">
      <c r="I980" s="1" t="s">
        <v>50</v>
      </c>
      <c r="J980" s="1" t="s">
        <v>84</v>
      </c>
      <c r="K980" s="1" t="s">
        <v>10</v>
      </c>
      <c r="L980" s="1">
        <v>0.5</v>
      </c>
      <c r="M980" s="1">
        <v>0.69</v>
      </c>
      <c r="N980" s="1" t="s">
        <v>77</v>
      </c>
      <c r="O980" s="1" t="s">
        <v>1061</v>
      </c>
      <c r="P980" s="1">
        <v>1000</v>
      </c>
      <c r="T980"/>
    </row>
    <row r="981" spans="9:20">
      <c r="I981" s="1" t="s">
        <v>50</v>
      </c>
      <c r="J981" s="1" t="s">
        <v>1</v>
      </c>
      <c r="K981" s="1" t="s">
        <v>11</v>
      </c>
      <c r="L981" s="1">
        <v>0.5</v>
      </c>
      <c r="M981" s="1">
        <v>0.69</v>
      </c>
      <c r="N981" s="1" t="s">
        <v>77</v>
      </c>
      <c r="O981" s="1" t="s">
        <v>1062</v>
      </c>
      <c r="P981" s="1">
        <v>2700</v>
      </c>
      <c r="T981"/>
    </row>
    <row r="982" spans="9:20">
      <c r="I982" s="1" t="s">
        <v>50</v>
      </c>
      <c r="J982" s="1" t="s">
        <v>2</v>
      </c>
      <c r="K982" s="1" t="s">
        <v>11</v>
      </c>
      <c r="L982" s="1">
        <v>0.5</v>
      </c>
      <c r="M982" s="1">
        <v>0.69</v>
      </c>
      <c r="N982" s="1" t="s">
        <v>77</v>
      </c>
      <c r="O982" s="1" t="s">
        <v>1063</v>
      </c>
      <c r="P982" s="1">
        <v>2400</v>
      </c>
      <c r="T982"/>
    </row>
    <row r="983" spans="9:20">
      <c r="I983" s="1" t="s">
        <v>50</v>
      </c>
      <c r="J983" s="1" t="s">
        <v>3</v>
      </c>
      <c r="K983" s="1" t="s">
        <v>11</v>
      </c>
      <c r="L983" s="1">
        <v>0.5</v>
      </c>
      <c r="M983" s="1">
        <v>0.69</v>
      </c>
      <c r="N983" s="1" t="s">
        <v>77</v>
      </c>
      <c r="O983" s="1" t="s">
        <v>1064</v>
      </c>
      <c r="P983" s="1">
        <v>2100</v>
      </c>
      <c r="T983"/>
    </row>
    <row r="984" spans="9:20">
      <c r="I984" s="1" t="s">
        <v>50</v>
      </c>
      <c r="J984" s="1" t="s">
        <v>4</v>
      </c>
      <c r="K984" s="1" t="s">
        <v>11</v>
      </c>
      <c r="L984" s="1">
        <v>0.5</v>
      </c>
      <c r="M984" s="1">
        <v>0.69</v>
      </c>
      <c r="N984" s="1" t="s">
        <v>77</v>
      </c>
      <c r="O984" s="1" t="s">
        <v>1065</v>
      </c>
      <c r="P984" s="1">
        <v>1900</v>
      </c>
      <c r="T984"/>
    </row>
    <row r="985" spans="9:20">
      <c r="I985" s="1" t="s">
        <v>50</v>
      </c>
      <c r="J985" s="1" t="s">
        <v>5</v>
      </c>
      <c r="K985" s="1" t="s">
        <v>11</v>
      </c>
      <c r="L985" s="1">
        <v>0.5</v>
      </c>
      <c r="M985" s="1">
        <v>0.69</v>
      </c>
      <c r="N985" s="1" t="s">
        <v>77</v>
      </c>
      <c r="O985" s="1" t="s">
        <v>1066</v>
      </c>
      <c r="P985" s="1">
        <v>1800</v>
      </c>
      <c r="T985"/>
    </row>
    <row r="986" spans="9:20">
      <c r="I986" s="1" t="s">
        <v>50</v>
      </c>
      <c r="J986" s="1" t="s">
        <v>6</v>
      </c>
      <c r="K986" s="1" t="s">
        <v>11</v>
      </c>
      <c r="L986" s="1">
        <v>0.5</v>
      </c>
      <c r="M986" s="1">
        <v>0.69</v>
      </c>
      <c r="N986" s="1" t="s">
        <v>77</v>
      </c>
      <c r="O986" s="1" t="s">
        <v>1067</v>
      </c>
      <c r="P986" s="1">
        <v>1500</v>
      </c>
      <c r="T986"/>
    </row>
    <row r="987" spans="9:20">
      <c r="I987" s="1" t="s">
        <v>50</v>
      </c>
      <c r="J987" s="1" t="s">
        <v>7</v>
      </c>
      <c r="K987" s="1" t="s">
        <v>11</v>
      </c>
      <c r="L987" s="1">
        <v>0.5</v>
      </c>
      <c r="M987" s="1">
        <v>0.69</v>
      </c>
      <c r="N987" s="1" t="s">
        <v>77</v>
      </c>
      <c r="O987" s="1" t="s">
        <v>1068</v>
      </c>
      <c r="P987" s="1">
        <v>1300</v>
      </c>
      <c r="T987"/>
    </row>
    <row r="988" spans="9:20">
      <c r="I988" s="1" t="s">
        <v>50</v>
      </c>
      <c r="J988" s="1" t="s">
        <v>75</v>
      </c>
      <c r="K988" s="1" t="s">
        <v>11</v>
      </c>
      <c r="L988" s="1">
        <v>0.5</v>
      </c>
      <c r="M988" s="1">
        <v>0.69</v>
      </c>
      <c r="N988" s="1" t="s">
        <v>77</v>
      </c>
      <c r="O988" s="1" t="s">
        <v>1069</v>
      </c>
      <c r="P988" s="1">
        <v>1200</v>
      </c>
      <c r="T988"/>
    </row>
    <row r="989" spans="9:20">
      <c r="I989" s="1" t="s">
        <v>50</v>
      </c>
      <c r="J989" s="1" t="s">
        <v>78</v>
      </c>
      <c r="K989" s="1" t="s">
        <v>11</v>
      </c>
      <c r="L989" s="1">
        <v>0.5</v>
      </c>
      <c r="M989" s="1">
        <v>0.69</v>
      </c>
      <c r="N989" s="1" t="s">
        <v>77</v>
      </c>
      <c r="O989" s="1" t="s">
        <v>1070</v>
      </c>
      <c r="P989" s="1">
        <v>1100</v>
      </c>
      <c r="T989"/>
    </row>
    <row r="990" spans="9:20">
      <c r="I990" s="1" t="s">
        <v>50</v>
      </c>
      <c r="J990" s="1" t="s">
        <v>81</v>
      </c>
      <c r="K990" s="1" t="s">
        <v>11</v>
      </c>
      <c r="L990" s="1">
        <v>0.5</v>
      </c>
      <c r="M990" s="1">
        <v>0.69</v>
      </c>
      <c r="N990" s="1" t="s">
        <v>77</v>
      </c>
      <c r="O990" s="1" t="s">
        <v>1071</v>
      </c>
      <c r="P990" s="1">
        <v>1000</v>
      </c>
      <c r="T990"/>
    </row>
    <row r="991" spans="9:20">
      <c r="I991" s="1" t="s">
        <v>50</v>
      </c>
      <c r="J991" s="1" t="s">
        <v>84</v>
      </c>
      <c r="K991" s="1" t="s">
        <v>11</v>
      </c>
      <c r="L991" s="1">
        <v>0.5</v>
      </c>
      <c r="M991" s="1">
        <v>0.69</v>
      </c>
      <c r="N991" s="1" t="s">
        <v>77</v>
      </c>
      <c r="O991" s="1" t="s">
        <v>1072</v>
      </c>
      <c r="P991" s="1">
        <v>900</v>
      </c>
      <c r="T991"/>
    </row>
    <row r="992" spans="9:20">
      <c r="I992" s="1" t="s">
        <v>50</v>
      </c>
      <c r="J992" s="1" t="s">
        <v>1</v>
      </c>
      <c r="K992" s="1" t="s">
        <v>12</v>
      </c>
      <c r="L992" s="1">
        <v>0.5</v>
      </c>
      <c r="M992" s="1">
        <v>0.69</v>
      </c>
      <c r="N992" s="1" t="s">
        <v>77</v>
      </c>
      <c r="O992" s="1" t="s">
        <v>1073</v>
      </c>
      <c r="P992" s="1">
        <v>2300</v>
      </c>
      <c r="T992"/>
    </row>
    <row r="993" spans="9:20">
      <c r="I993" s="1" t="s">
        <v>50</v>
      </c>
      <c r="J993" s="1" t="s">
        <v>2</v>
      </c>
      <c r="K993" s="1" t="s">
        <v>12</v>
      </c>
      <c r="L993" s="1">
        <v>0.5</v>
      </c>
      <c r="M993" s="1">
        <v>0.69</v>
      </c>
      <c r="N993" s="1" t="s">
        <v>77</v>
      </c>
      <c r="O993" s="1" t="s">
        <v>1074</v>
      </c>
      <c r="P993" s="1">
        <v>2100</v>
      </c>
      <c r="T993"/>
    </row>
    <row r="994" spans="9:20">
      <c r="I994" s="1" t="s">
        <v>50</v>
      </c>
      <c r="J994" s="1" t="s">
        <v>3</v>
      </c>
      <c r="K994" s="1" t="s">
        <v>12</v>
      </c>
      <c r="L994" s="1">
        <v>0.5</v>
      </c>
      <c r="M994" s="1">
        <v>0.69</v>
      </c>
      <c r="N994" s="1" t="s">
        <v>77</v>
      </c>
      <c r="O994" s="1" t="s">
        <v>1075</v>
      </c>
      <c r="P994" s="1">
        <v>1900</v>
      </c>
      <c r="T994"/>
    </row>
    <row r="995" spans="9:20">
      <c r="I995" s="1" t="s">
        <v>50</v>
      </c>
      <c r="J995" s="1" t="s">
        <v>4</v>
      </c>
      <c r="K995" s="1" t="s">
        <v>12</v>
      </c>
      <c r="L995" s="1">
        <v>0.5</v>
      </c>
      <c r="M995" s="1">
        <v>0.69</v>
      </c>
      <c r="N995" s="1" t="s">
        <v>77</v>
      </c>
      <c r="O995" s="1" t="s">
        <v>1076</v>
      </c>
      <c r="P995" s="1">
        <v>1700</v>
      </c>
      <c r="T995"/>
    </row>
    <row r="996" spans="9:20">
      <c r="I996" s="1" t="s">
        <v>50</v>
      </c>
      <c r="J996" s="1" t="s">
        <v>5</v>
      </c>
      <c r="K996" s="1" t="s">
        <v>12</v>
      </c>
      <c r="L996" s="1">
        <v>0.5</v>
      </c>
      <c r="M996" s="1">
        <v>0.69</v>
      </c>
      <c r="N996" s="1" t="s">
        <v>77</v>
      </c>
      <c r="O996" s="1" t="s">
        <v>1077</v>
      </c>
      <c r="P996" s="1">
        <v>1600</v>
      </c>
      <c r="T996"/>
    </row>
    <row r="997" spans="9:20">
      <c r="I997" s="1" t="s">
        <v>50</v>
      </c>
      <c r="J997" s="1" t="s">
        <v>6</v>
      </c>
      <c r="K997" s="1" t="s">
        <v>12</v>
      </c>
      <c r="L997" s="1">
        <v>0.5</v>
      </c>
      <c r="M997" s="1">
        <v>0.69</v>
      </c>
      <c r="N997" s="1" t="s">
        <v>77</v>
      </c>
      <c r="O997" s="1" t="s">
        <v>1078</v>
      </c>
      <c r="P997" s="1">
        <v>1400</v>
      </c>
      <c r="T997"/>
    </row>
    <row r="998" spans="9:20">
      <c r="I998" s="1" t="s">
        <v>50</v>
      </c>
      <c r="J998" s="1" t="s">
        <v>7</v>
      </c>
      <c r="K998" s="1" t="s">
        <v>12</v>
      </c>
      <c r="L998" s="1">
        <v>0.5</v>
      </c>
      <c r="M998" s="1">
        <v>0.69</v>
      </c>
      <c r="N998" s="1" t="s">
        <v>77</v>
      </c>
      <c r="O998" s="1" t="s">
        <v>1079</v>
      </c>
      <c r="P998" s="1">
        <v>1200</v>
      </c>
      <c r="T998"/>
    </row>
    <row r="999" spans="9:20">
      <c r="I999" s="1" t="s">
        <v>50</v>
      </c>
      <c r="J999" s="1" t="s">
        <v>75</v>
      </c>
      <c r="K999" s="1" t="s">
        <v>12</v>
      </c>
      <c r="L999" s="1">
        <v>0.5</v>
      </c>
      <c r="M999" s="1">
        <v>0.69</v>
      </c>
      <c r="N999" s="1" t="s">
        <v>77</v>
      </c>
      <c r="O999" s="1" t="s">
        <v>1080</v>
      </c>
      <c r="P999" s="1">
        <v>1100</v>
      </c>
      <c r="T999"/>
    </row>
    <row r="1000" spans="9:20">
      <c r="I1000" s="1" t="s">
        <v>50</v>
      </c>
      <c r="J1000" s="1" t="s">
        <v>78</v>
      </c>
      <c r="K1000" s="1" t="s">
        <v>12</v>
      </c>
      <c r="L1000" s="1">
        <v>0.5</v>
      </c>
      <c r="M1000" s="1">
        <v>0.69</v>
      </c>
      <c r="N1000" s="1" t="s">
        <v>77</v>
      </c>
      <c r="O1000" s="1" t="s">
        <v>1081</v>
      </c>
      <c r="P1000" s="1">
        <v>1000</v>
      </c>
      <c r="T1000"/>
    </row>
    <row r="1001" spans="9:20">
      <c r="I1001" s="1" t="s">
        <v>50</v>
      </c>
      <c r="J1001" s="1" t="s">
        <v>81</v>
      </c>
      <c r="K1001" s="1" t="s">
        <v>12</v>
      </c>
      <c r="L1001" s="1">
        <v>0.5</v>
      </c>
      <c r="M1001" s="1">
        <v>0.69</v>
      </c>
      <c r="N1001" s="1" t="s">
        <v>77</v>
      </c>
      <c r="O1001" s="1" t="s">
        <v>1082</v>
      </c>
      <c r="P1001" s="1">
        <v>1000</v>
      </c>
      <c r="T1001"/>
    </row>
    <row r="1002" spans="9:20">
      <c r="I1002" s="1" t="s">
        <v>50</v>
      </c>
      <c r="J1002" s="1" t="s">
        <v>84</v>
      </c>
      <c r="K1002" s="1" t="s">
        <v>12</v>
      </c>
      <c r="L1002" s="1">
        <v>0.5</v>
      </c>
      <c r="M1002" s="1">
        <v>0.69</v>
      </c>
      <c r="N1002" s="1" t="s">
        <v>77</v>
      </c>
      <c r="O1002" s="1" t="s">
        <v>1083</v>
      </c>
      <c r="P1002" s="1">
        <v>800</v>
      </c>
      <c r="T1002"/>
    </row>
    <row r="1003" spans="9:20">
      <c r="I1003" s="1" t="s">
        <v>50</v>
      </c>
      <c r="J1003" s="1" t="s">
        <v>1</v>
      </c>
      <c r="K1003" s="1" t="s">
        <v>13</v>
      </c>
      <c r="L1003" s="1">
        <v>0.5</v>
      </c>
      <c r="M1003" s="1">
        <v>0.69</v>
      </c>
      <c r="N1003" s="1" t="s">
        <v>77</v>
      </c>
      <c r="O1003" s="1" t="s">
        <v>1084</v>
      </c>
      <c r="P1003" s="1">
        <v>2000</v>
      </c>
      <c r="T1003"/>
    </row>
    <row r="1004" spans="9:20">
      <c r="I1004" s="1" t="s">
        <v>50</v>
      </c>
      <c r="J1004" s="1" t="s">
        <v>2</v>
      </c>
      <c r="K1004" s="1" t="s">
        <v>13</v>
      </c>
      <c r="L1004" s="1">
        <v>0.5</v>
      </c>
      <c r="M1004" s="1">
        <v>0.69</v>
      </c>
      <c r="N1004" s="1" t="s">
        <v>77</v>
      </c>
      <c r="O1004" s="1" t="s">
        <v>1085</v>
      </c>
      <c r="P1004" s="1">
        <v>1800</v>
      </c>
      <c r="T1004"/>
    </row>
    <row r="1005" spans="9:20">
      <c r="I1005" s="1" t="s">
        <v>50</v>
      </c>
      <c r="J1005" s="1" t="s">
        <v>3</v>
      </c>
      <c r="K1005" s="1" t="s">
        <v>13</v>
      </c>
      <c r="L1005" s="1">
        <v>0.5</v>
      </c>
      <c r="M1005" s="1">
        <v>0.69</v>
      </c>
      <c r="N1005" s="1" t="s">
        <v>77</v>
      </c>
      <c r="O1005" s="1" t="s">
        <v>1086</v>
      </c>
      <c r="P1005" s="1">
        <v>1600</v>
      </c>
      <c r="T1005"/>
    </row>
    <row r="1006" spans="9:20">
      <c r="I1006" s="1" t="s">
        <v>50</v>
      </c>
      <c r="J1006" s="1" t="s">
        <v>4</v>
      </c>
      <c r="K1006" s="1" t="s">
        <v>13</v>
      </c>
      <c r="L1006" s="1">
        <v>0.5</v>
      </c>
      <c r="M1006" s="1">
        <v>0.69</v>
      </c>
      <c r="N1006" s="1" t="s">
        <v>77</v>
      </c>
      <c r="O1006" s="1" t="s">
        <v>1087</v>
      </c>
      <c r="P1006" s="1">
        <v>1500</v>
      </c>
      <c r="T1006"/>
    </row>
    <row r="1007" spans="9:20">
      <c r="I1007" s="1" t="s">
        <v>50</v>
      </c>
      <c r="J1007" s="1" t="s">
        <v>5</v>
      </c>
      <c r="K1007" s="1" t="s">
        <v>13</v>
      </c>
      <c r="L1007" s="1">
        <v>0.5</v>
      </c>
      <c r="M1007" s="1">
        <v>0.69</v>
      </c>
      <c r="N1007" s="1" t="s">
        <v>77</v>
      </c>
      <c r="O1007" s="1" t="s">
        <v>1088</v>
      </c>
      <c r="P1007" s="1">
        <v>1400</v>
      </c>
      <c r="T1007"/>
    </row>
    <row r="1008" spans="9:20">
      <c r="I1008" s="1" t="s">
        <v>50</v>
      </c>
      <c r="J1008" s="1" t="s">
        <v>6</v>
      </c>
      <c r="K1008" s="1" t="s">
        <v>13</v>
      </c>
      <c r="L1008" s="1">
        <v>0.5</v>
      </c>
      <c r="M1008" s="1">
        <v>0.69</v>
      </c>
      <c r="N1008" s="1" t="s">
        <v>77</v>
      </c>
      <c r="O1008" s="1" t="s">
        <v>1089</v>
      </c>
      <c r="P1008" s="1">
        <v>1300</v>
      </c>
      <c r="T1008"/>
    </row>
    <row r="1009" spans="9:20">
      <c r="I1009" s="1" t="s">
        <v>50</v>
      </c>
      <c r="J1009" s="1" t="s">
        <v>7</v>
      </c>
      <c r="K1009" s="1" t="s">
        <v>13</v>
      </c>
      <c r="L1009" s="1">
        <v>0.5</v>
      </c>
      <c r="M1009" s="1">
        <v>0.69</v>
      </c>
      <c r="N1009" s="1" t="s">
        <v>77</v>
      </c>
      <c r="O1009" s="1" t="s">
        <v>1090</v>
      </c>
      <c r="P1009" s="1">
        <v>1100</v>
      </c>
      <c r="T1009"/>
    </row>
    <row r="1010" spans="9:20">
      <c r="I1010" s="1" t="s">
        <v>50</v>
      </c>
      <c r="J1010" s="1" t="s">
        <v>75</v>
      </c>
      <c r="K1010" s="1" t="s">
        <v>13</v>
      </c>
      <c r="L1010" s="1">
        <v>0.5</v>
      </c>
      <c r="M1010" s="1">
        <v>0.69</v>
      </c>
      <c r="N1010" s="1" t="s">
        <v>77</v>
      </c>
      <c r="O1010" s="1" t="s">
        <v>1091</v>
      </c>
      <c r="P1010" s="1">
        <v>1000</v>
      </c>
      <c r="T1010"/>
    </row>
    <row r="1011" spans="9:20">
      <c r="I1011" s="1" t="s">
        <v>50</v>
      </c>
      <c r="J1011" s="1" t="s">
        <v>78</v>
      </c>
      <c r="K1011" s="1" t="s">
        <v>13</v>
      </c>
      <c r="L1011" s="1">
        <v>0.5</v>
      </c>
      <c r="M1011" s="1">
        <v>0.69</v>
      </c>
      <c r="N1011" s="1" t="s">
        <v>77</v>
      </c>
      <c r="O1011" s="1" t="s">
        <v>1092</v>
      </c>
      <c r="P1011" s="1">
        <v>900</v>
      </c>
      <c r="T1011"/>
    </row>
    <row r="1012" spans="9:20">
      <c r="I1012" s="1" t="s">
        <v>50</v>
      </c>
      <c r="J1012" s="1" t="s">
        <v>81</v>
      </c>
      <c r="K1012" s="1" t="s">
        <v>13</v>
      </c>
      <c r="L1012" s="1">
        <v>0.5</v>
      </c>
      <c r="M1012" s="1">
        <v>0.69</v>
      </c>
      <c r="N1012" s="1" t="s">
        <v>77</v>
      </c>
      <c r="O1012" s="1" t="s">
        <v>1093</v>
      </c>
      <c r="P1012" s="1">
        <v>900</v>
      </c>
      <c r="T1012"/>
    </row>
    <row r="1013" spans="9:20">
      <c r="I1013" s="1" t="s">
        <v>50</v>
      </c>
      <c r="J1013" s="1" t="s">
        <v>84</v>
      </c>
      <c r="K1013" s="1" t="s">
        <v>13</v>
      </c>
      <c r="L1013" s="1">
        <v>0.5</v>
      </c>
      <c r="M1013" s="1">
        <v>0.69</v>
      </c>
      <c r="N1013" s="1" t="s">
        <v>77</v>
      </c>
      <c r="O1013" s="1" t="s">
        <v>1094</v>
      </c>
      <c r="P1013" s="1">
        <v>800</v>
      </c>
      <c r="T1013"/>
    </row>
    <row r="1014" spans="9:20">
      <c r="I1014" s="1" t="s">
        <v>50</v>
      </c>
      <c r="J1014" s="1" t="s">
        <v>1</v>
      </c>
      <c r="K1014" s="1" t="s">
        <v>14</v>
      </c>
      <c r="L1014" s="1">
        <v>0.5</v>
      </c>
      <c r="M1014" s="1">
        <v>0.69</v>
      </c>
      <c r="N1014" s="1" t="s">
        <v>77</v>
      </c>
      <c r="O1014" s="1" t="s">
        <v>1095</v>
      </c>
      <c r="P1014" s="1">
        <v>1700</v>
      </c>
      <c r="T1014"/>
    </row>
    <row r="1015" spans="9:20">
      <c r="I1015" s="1" t="s">
        <v>50</v>
      </c>
      <c r="J1015" s="1" t="s">
        <v>2</v>
      </c>
      <c r="K1015" s="1" t="s">
        <v>14</v>
      </c>
      <c r="L1015" s="1">
        <v>0.5</v>
      </c>
      <c r="M1015" s="1">
        <v>0.69</v>
      </c>
      <c r="N1015" s="1" t="s">
        <v>77</v>
      </c>
      <c r="O1015" s="1" t="s">
        <v>1096</v>
      </c>
      <c r="P1015" s="1">
        <v>1500</v>
      </c>
      <c r="T1015"/>
    </row>
    <row r="1016" spans="9:20">
      <c r="I1016" s="1" t="s">
        <v>50</v>
      </c>
      <c r="J1016" s="1" t="s">
        <v>3</v>
      </c>
      <c r="K1016" s="1" t="s">
        <v>14</v>
      </c>
      <c r="L1016" s="1">
        <v>0.5</v>
      </c>
      <c r="M1016" s="1">
        <v>0.69</v>
      </c>
      <c r="N1016" s="1" t="s">
        <v>77</v>
      </c>
      <c r="O1016" s="1" t="s">
        <v>1097</v>
      </c>
      <c r="P1016" s="1">
        <v>1400</v>
      </c>
      <c r="T1016"/>
    </row>
    <row r="1017" spans="9:20">
      <c r="I1017" s="1" t="s">
        <v>50</v>
      </c>
      <c r="J1017" s="1" t="s">
        <v>4</v>
      </c>
      <c r="K1017" s="1" t="s">
        <v>14</v>
      </c>
      <c r="L1017" s="1">
        <v>0.5</v>
      </c>
      <c r="M1017" s="1">
        <v>0.69</v>
      </c>
      <c r="N1017" s="1" t="s">
        <v>77</v>
      </c>
      <c r="O1017" s="1" t="s">
        <v>1098</v>
      </c>
      <c r="P1017" s="1">
        <v>1300</v>
      </c>
      <c r="T1017"/>
    </row>
    <row r="1018" spans="9:20">
      <c r="I1018" s="1" t="s">
        <v>50</v>
      </c>
      <c r="J1018" s="1" t="s">
        <v>5</v>
      </c>
      <c r="K1018" s="1" t="s">
        <v>14</v>
      </c>
      <c r="L1018" s="1">
        <v>0.5</v>
      </c>
      <c r="M1018" s="1">
        <v>0.69</v>
      </c>
      <c r="N1018" s="1" t="s">
        <v>77</v>
      </c>
      <c r="O1018" s="1" t="s">
        <v>1099</v>
      </c>
      <c r="P1018" s="1">
        <v>1200</v>
      </c>
      <c r="T1018"/>
    </row>
    <row r="1019" spans="9:20">
      <c r="I1019" s="1" t="s">
        <v>50</v>
      </c>
      <c r="J1019" s="1" t="s">
        <v>6</v>
      </c>
      <c r="K1019" s="1" t="s">
        <v>14</v>
      </c>
      <c r="L1019" s="1">
        <v>0.5</v>
      </c>
      <c r="M1019" s="1">
        <v>0.69</v>
      </c>
      <c r="N1019" s="1" t="s">
        <v>77</v>
      </c>
      <c r="O1019" s="1" t="s">
        <v>1100</v>
      </c>
      <c r="P1019" s="1">
        <v>1200</v>
      </c>
      <c r="T1019"/>
    </row>
    <row r="1020" spans="9:20">
      <c r="I1020" s="1" t="s">
        <v>50</v>
      </c>
      <c r="J1020" s="1" t="s">
        <v>7</v>
      </c>
      <c r="K1020" s="1" t="s">
        <v>14</v>
      </c>
      <c r="L1020" s="1">
        <v>0.5</v>
      </c>
      <c r="M1020" s="1">
        <v>0.69</v>
      </c>
      <c r="N1020" s="1" t="s">
        <v>77</v>
      </c>
      <c r="O1020" s="1" t="s">
        <v>1101</v>
      </c>
      <c r="P1020" s="1">
        <v>1100</v>
      </c>
      <c r="T1020"/>
    </row>
    <row r="1021" spans="9:20">
      <c r="I1021" s="1" t="s">
        <v>50</v>
      </c>
      <c r="J1021" s="1" t="s">
        <v>75</v>
      </c>
      <c r="K1021" s="1" t="s">
        <v>14</v>
      </c>
      <c r="L1021" s="1">
        <v>0.5</v>
      </c>
      <c r="M1021" s="1">
        <v>0.69</v>
      </c>
      <c r="N1021" s="1" t="s">
        <v>77</v>
      </c>
      <c r="O1021" s="1" t="s">
        <v>1102</v>
      </c>
      <c r="P1021" s="1">
        <v>1000</v>
      </c>
      <c r="T1021"/>
    </row>
    <row r="1022" spans="9:20">
      <c r="I1022" s="1" t="s">
        <v>50</v>
      </c>
      <c r="J1022" s="1" t="s">
        <v>78</v>
      </c>
      <c r="K1022" s="1" t="s">
        <v>14</v>
      </c>
      <c r="L1022" s="1">
        <v>0.5</v>
      </c>
      <c r="M1022" s="1">
        <v>0.69</v>
      </c>
      <c r="N1022" s="1" t="s">
        <v>77</v>
      </c>
      <c r="O1022" s="1" t="s">
        <v>1103</v>
      </c>
      <c r="P1022" s="1">
        <v>900</v>
      </c>
      <c r="T1022"/>
    </row>
    <row r="1023" spans="9:20">
      <c r="I1023" s="1" t="s">
        <v>50</v>
      </c>
      <c r="J1023" s="1" t="s">
        <v>81</v>
      </c>
      <c r="K1023" s="1" t="s">
        <v>14</v>
      </c>
      <c r="L1023" s="1">
        <v>0.5</v>
      </c>
      <c r="M1023" s="1">
        <v>0.69</v>
      </c>
      <c r="N1023" s="1" t="s">
        <v>77</v>
      </c>
      <c r="O1023" s="1" t="s">
        <v>1104</v>
      </c>
      <c r="P1023" s="1">
        <v>900</v>
      </c>
      <c r="T1023"/>
    </row>
    <row r="1024" spans="9:20">
      <c r="I1024" s="1" t="s">
        <v>50</v>
      </c>
      <c r="J1024" s="1" t="s">
        <v>84</v>
      </c>
      <c r="K1024" s="1" t="s">
        <v>14</v>
      </c>
      <c r="L1024" s="1">
        <v>0.5</v>
      </c>
      <c r="M1024" s="1">
        <v>0.69</v>
      </c>
      <c r="N1024" s="1" t="s">
        <v>77</v>
      </c>
      <c r="O1024" s="1" t="s">
        <v>1105</v>
      </c>
      <c r="P1024" s="1">
        <v>700</v>
      </c>
      <c r="T1024"/>
    </row>
    <row r="1025" spans="9:20">
      <c r="I1025" s="1" t="s">
        <v>50</v>
      </c>
      <c r="J1025" s="1" t="s">
        <v>1</v>
      </c>
      <c r="K1025" s="1" t="s">
        <v>15</v>
      </c>
      <c r="L1025" s="1">
        <v>0.5</v>
      </c>
      <c r="M1025" s="1">
        <v>0.69</v>
      </c>
      <c r="N1025" s="1" t="s">
        <v>77</v>
      </c>
      <c r="O1025" s="1" t="s">
        <v>1106</v>
      </c>
      <c r="P1025" s="1">
        <v>1500</v>
      </c>
      <c r="T1025"/>
    </row>
    <row r="1026" spans="9:20">
      <c r="I1026" s="1" t="s">
        <v>50</v>
      </c>
      <c r="J1026" s="1" t="s">
        <v>2</v>
      </c>
      <c r="K1026" s="1" t="s">
        <v>15</v>
      </c>
      <c r="L1026" s="1">
        <v>0.5</v>
      </c>
      <c r="M1026" s="1">
        <v>0.69</v>
      </c>
      <c r="N1026" s="1" t="s">
        <v>77</v>
      </c>
      <c r="O1026" s="1" t="s">
        <v>1107</v>
      </c>
      <c r="P1026" s="1">
        <v>1400</v>
      </c>
      <c r="T1026"/>
    </row>
    <row r="1027" spans="9:20">
      <c r="I1027" s="1" t="s">
        <v>50</v>
      </c>
      <c r="J1027" s="1" t="s">
        <v>3</v>
      </c>
      <c r="K1027" s="1" t="s">
        <v>15</v>
      </c>
      <c r="L1027" s="1">
        <v>0.5</v>
      </c>
      <c r="M1027" s="1">
        <v>0.69</v>
      </c>
      <c r="N1027" s="1" t="s">
        <v>77</v>
      </c>
      <c r="O1027" s="1" t="s">
        <v>1108</v>
      </c>
      <c r="P1027" s="1">
        <v>1300</v>
      </c>
      <c r="T1027"/>
    </row>
    <row r="1028" spans="9:20">
      <c r="I1028" s="1" t="s">
        <v>50</v>
      </c>
      <c r="J1028" s="1" t="s">
        <v>4</v>
      </c>
      <c r="K1028" s="1" t="s">
        <v>15</v>
      </c>
      <c r="L1028" s="1">
        <v>0.5</v>
      </c>
      <c r="M1028" s="1">
        <v>0.69</v>
      </c>
      <c r="N1028" s="1" t="s">
        <v>77</v>
      </c>
      <c r="O1028" s="1" t="s">
        <v>1109</v>
      </c>
      <c r="P1028" s="1">
        <v>1200</v>
      </c>
      <c r="T1028"/>
    </row>
    <row r="1029" spans="9:20">
      <c r="I1029" s="1" t="s">
        <v>50</v>
      </c>
      <c r="J1029" s="1" t="s">
        <v>5</v>
      </c>
      <c r="K1029" s="1" t="s">
        <v>15</v>
      </c>
      <c r="L1029" s="1">
        <v>0.5</v>
      </c>
      <c r="M1029" s="1">
        <v>0.69</v>
      </c>
      <c r="N1029" s="1" t="s">
        <v>77</v>
      </c>
      <c r="O1029" s="1" t="s">
        <v>1110</v>
      </c>
      <c r="P1029" s="1">
        <v>1100</v>
      </c>
      <c r="T1029"/>
    </row>
    <row r="1030" spans="9:20">
      <c r="I1030" s="1" t="s">
        <v>50</v>
      </c>
      <c r="J1030" s="1" t="s">
        <v>6</v>
      </c>
      <c r="K1030" s="1" t="s">
        <v>15</v>
      </c>
      <c r="L1030" s="1">
        <v>0.5</v>
      </c>
      <c r="M1030" s="1">
        <v>0.69</v>
      </c>
      <c r="N1030" s="1" t="s">
        <v>77</v>
      </c>
      <c r="O1030" s="1" t="s">
        <v>1111</v>
      </c>
      <c r="P1030" s="1">
        <v>1100</v>
      </c>
      <c r="T1030"/>
    </row>
    <row r="1031" spans="9:20">
      <c r="I1031" s="1" t="s">
        <v>50</v>
      </c>
      <c r="J1031" s="1" t="s">
        <v>7</v>
      </c>
      <c r="K1031" s="1" t="s">
        <v>15</v>
      </c>
      <c r="L1031" s="1">
        <v>0.5</v>
      </c>
      <c r="M1031" s="1">
        <v>0.69</v>
      </c>
      <c r="N1031" s="1" t="s">
        <v>77</v>
      </c>
      <c r="O1031" s="1" t="s">
        <v>1112</v>
      </c>
      <c r="P1031" s="1">
        <v>1000</v>
      </c>
      <c r="T1031"/>
    </row>
    <row r="1032" spans="9:20">
      <c r="I1032" s="1" t="s">
        <v>50</v>
      </c>
      <c r="J1032" s="1" t="s">
        <v>75</v>
      </c>
      <c r="K1032" s="1" t="s">
        <v>15</v>
      </c>
      <c r="L1032" s="1">
        <v>0.5</v>
      </c>
      <c r="M1032" s="1">
        <v>0.69</v>
      </c>
      <c r="N1032" s="1" t="s">
        <v>77</v>
      </c>
      <c r="O1032" s="1" t="s">
        <v>1113</v>
      </c>
      <c r="P1032" s="1">
        <v>900</v>
      </c>
      <c r="T1032"/>
    </row>
    <row r="1033" spans="9:20">
      <c r="I1033" s="1" t="s">
        <v>50</v>
      </c>
      <c r="J1033" s="1" t="s">
        <v>78</v>
      </c>
      <c r="K1033" s="1" t="s">
        <v>15</v>
      </c>
      <c r="L1033" s="1">
        <v>0.5</v>
      </c>
      <c r="M1033" s="1">
        <v>0.69</v>
      </c>
      <c r="N1033" s="1" t="s">
        <v>77</v>
      </c>
      <c r="O1033" s="1" t="s">
        <v>1114</v>
      </c>
      <c r="P1033" s="1">
        <v>800</v>
      </c>
      <c r="T1033"/>
    </row>
    <row r="1034" spans="9:20">
      <c r="I1034" s="1" t="s">
        <v>50</v>
      </c>
      <c r="J1034" s="1" t="s">
        <v>81</v>
      </c>
      <c r="K1034" s="1" t="s">
        <v>15</v>
      </c>
      <c r="L1034" s="1">
        <v>0.5</v>
      </c>
      <c r="M1034" s="1">
        <v>0.69</v>
      </c>
      <c r="N1034" s="1" t="s">
        <v>77</v>
      </c>
      <c r="O1034" s="1" t="s">
        <v>1115</v>
      </c>
      <c r="P1034" s="1">
        <v>800</v>
      </c>
      <c r="T1034"/>
    </row>
    <row r="1035" spans="9:20">
      <c r="I1035" s="1" t="s">
        <v>50</v>
      </c>
      <c r="J1035" s="1" t="s">
        <v>84</v>
      </c>
      <c r="K1035" s="1" t="s">
        <v>15</v>
      </c>
      <c r="L1035" s="1">
        <v>0.5</v>
      </c>
      <c r="M1035" s="1">
        <v>0.69</v>
      </c>
      <c r="N1035" s="1" t="s">
        <v>77</v>
      </c>
      <c r="O1035" s="1" t="s">
        <v>1116</v>
      </c>
      <c r="P1035" s="1">
        <v>700</v>
      </c>
      <c r="T1035"/>
    </row>
    <row r="1036" spans="9:20">
      <c r="I1036" s="1" t="s">
        <v>50</v>
      </c>
      <c r="J1036" s="1" t="s">
        <v>1</v>
      </c>
      <c r="K1036" s="1" t="s">
        <v>16</v>
      </c>
      <c r="L1036" s="1">
        <v>0.5</v>
      </c>
      <c r="M1036" s="1">
        <v>0.69</v>
      </c>
      <c r="N1036" s="1" t="s">
        <v>77</v>
      </c>
      <c r="O1036" s="1" t="s">
        <v>1117</v>
      </c>
      <c r="P1036" s="1">
        <v>1400</v>
      </c>
      <c r="T1036"/>
    </row>
    <row r="1037" spans="9:20">
      <c r="I1037" s="1" t="s">
        <v>50</v>
      </c>
      <c r="J1037" s="1" t="s">
        <v>2</v>
      </c>
      <c r="K1037" s="1" t="s">
        <v>16</v>
      </c>
      <c r="L1037" s="1">
        <v>0.5</v>
      </c>
      <c r="M1037" s="1">
        <v>0.69</v>
      </c>
      <c r="N1037" s="1" t="s">
        <v>77</v>
      </c>
      <c r="O1037" s="1" t="s">
        <v>1118</v>
      </c>
      <c r="P1037" s="1">
        <v>1300</v>
      </c>
      <c r="T1037"/>
    </row>
    <row r="1038" spans="9:20">
      <c r="I1038" s="1" t="s">
        <v>50</v>
      </c>
      <c r="J1038" s="1" t="s">
        <v>3</v>
      </c>
      <c r="K1038" s="1" t="s">
        <v>16</v>
      </c>
      <c r="L1038" s="1">
        <v>0.5</v>
      </c>
      <c r="M1038" s="1">
        <v>0.69</v>
      </c>
      <c r="N1038" s="1" t="s">
        <v>77</v>
      </c>
      <c r="O1038" s="1" t="s">
        <v>1119</v>
      </c>
      <c r="P1038" s="1">
        <v>1200</v>
      </c>
      <c r="T1038"/>
    </row>
    <row r="1039" spans="9:20">
      <c r="I1039" s="1" t="s">
        <v>50</v>
      </c>
      <c r="J1039" s="1" t="s">
        <v>4</v>
      </c>
      <c r="K1039" s="1" t="s">
        <v>16</v>
      </c>
      <c r="L1039" s="1">
        <v>0.5</v>
      </c>
      <c r="M1039" s="1">
        <v>0.69</v>
      </c>
      <c r="N1039" s="1" t="s">
        <v>77</v>
      </c>
      <c r="O1039" s="1" t="s">
        <v>1120</v>
      </c>
      <c r="P1039" s="1">
        <v>1100</v>
      </c>
      <c r="T1039"/>
    </row>
    <row r="1040" spans="9:20">
      <c r="I1040" s="1" t="s">
        <v>50</v>
      </c>
      <c r="J1040" s="1" t="s">
        <v>5</v>
      </c>
      <c r="K1040" s="1" t="s">
        <v>16</v>
      </c>
      <c r="L1040" s="1">
        <v>0.5</v>
      </c>
      <c r="M1040" s="1">
        <v>0.69</v>
      </c>
      <c r="N1040" s="1" t="s">
        <v>77</v>
      </c>
      <c r="O1040" s="1" t="s">
        <v>1121</v>
      </c>
      <c r="P1040" s="1">
        <v>1000</v>
      </c>
      <c r="T1040"/>
    </row>
    <row r="1041" spans="9:20">
      <c r="I1041" s="1" t="s">
        <v>50</v>
      </c>
      <c r="J1041" s="1" t="s">
        <v>6</v>
      </c>
      <c r="K1041" s="1" t="s">
        <v>16</v>
      </c>
      <c r="L1041" s="1">
        <v>0.5</v>
      </c>
      <c r="M1041" s="1">
        <v>0.69</v>
      </c>
      <c r="N1041" s="1" t="s">
        <v>77</v>
      </c>
      <c r="O1041" s="1" t="s">
        <v>1122</v>
      </c>
      <c r="P1041" s="1">
        <v>1000</v>
      </c>
      <c r="T1041"/>
    </row>
    <row r="1042" spans="9:20">
      <c r="I1042" s="1" t="s">
        <v>50</v>
      </c>
      <c r="J1042" s="1" t="s">
        <v>7</v>
      </c>
      <c r="K1042" s="1" t="s">
        <v>16</v>
      </c>
      <c r="L1042" s="1">
        <v>0.5</v>
      </c>
      <c r="M1042" s="1">
        <v>0.69</v>
      </c>
      <c r="N1042" s="1" t="s">
        <v>77</v>
      </c>
      <c r="O1042" s="1" t="s">
        <v>1123</v>
      </c>
      <c r="P1042" s="1">
        <v>900</v>
      </c>
      <c r="T1042"/>
    </row>
    <row r="1043" spans="9:20">
      <c r="I1043" s="1" t="s">
        <v>50</v>
      </c>
      <c r="J1043" s="1" t="s">
        <v>75</v>
      </c>
      <c r="K1043" s="1" t="s">
        <v>16</v>
      </c>
      <c r="L1043" s="1">
        <v>0.5</v>
      </c>
      <c r="M1043" s="1">
        <v>0.69</v>
      </c>
      <c r="N1043" s="1" t="s">
        <v>77</v>
      </c>
      <c r="O1043" s="1" t="s">
        <v>1124</v>
      </c>
      <c r="P1043" s="1">
        <v>900</v>
      </c>
      <c r="T1043"/>
    </row>
    <row r="1044" spans="9:20">
      <c r="I1044" s="1" t="s">
        <v>50</v>
      </c>
      <c r="J1044" s="1" t="s">
        <v>78</v>
      </c>
      <c r="K1044" s="1" t="s">
        <v>16</v>
      </c>
      <c r="L1044" s="1">
        <v>0.5</v>
      </c>
      <c r="M1044" s="1">
        <v>0.69</v>
      </c>
      <c r="N1044" s="1" t="s">
        <v>77</v>
      </c>
      <c r="O1044" s="1" t="s">
        <v>1125</v>
      </c>
      <c r="P1044" s="1">
        <v>800</v>
      </c>
      <c r="T1044"/>
    </row>
    <row r="1045" spans="9:20">
      <c r="I1045" s="1" t="s">
        <v>50</v>
      </c>
      <c r="J1045" s="1" t="s">
        <v>81</v>
      </c>
      <c r="K1045" s="1" t="s">
        <v>16</v>
      </c>
      <c r="L1045" s="1">
        <v>0.5</v>
      </c>
      <c r="M1045" s="1">
        <v>0.69</v>
      </c>
      <c r="N1045" s="1" t="s">
        <v>77</v>
      </c>
      <c r="O1045" s="1" t="s">
        <v>1126</v>
      </c>
      <c r="P1045" s="1">
        <v>700</v>
      </c>
      <c r="T1045"/>
    </row>
    <row r="1046" spans="9:20">
      <c r="I1046" s="1" t="s">
        <v>50</v>
      </c>
      <c r="J1046" s="1" t="s">
        <v>84</v>
      </c>
      <c r="K1046" s="1" t="s">
        <v>16</v>
      </c>
      <c r="L1046" s="1">
        <v>0.5</v>
      </c>
      <c r="M1046" s="1">
        <v>0.69</v>
      </c>
      <c r="N1046" s="1" t="s">
        <v>77</v>
      </c>
      <c r="O1046" s="1" t="s">
        <v>1127</v>
      </c>
      <c r="P1046" s="1">
        <v>600</v>
      </c>
      <c r="T1046"/>
    </row>
    <row r="1047" spans="9:20">
      <c r="I1047" s="1" t="s">
        <v>50</v>
      </c>
      <c r="J1047" s="1" t="s">
        <v>1</v>
      </c>
      <c r="K1047" s="1" t="s">
        <v>17</v>
      </c>
      <c r="L1047" s="1">
        <v>0.5</v>
      </c>
      <c r="M1047" s="1">
        <v>0.69</v>
      </c>
      <c r="N1047" s="1" t="s">
        <v>77</v>
      </c>
      <c r="O1047" s="1" t="s">
        <v>1128</v>
      </c>
      <c r="P1047" s="1">
        <v>1300</v>
      </c>
      <c r="T1047"/>
    </row>
    <row r="1048" spans="9:20">
      <c r="I1048" s="1" t="s">
        <v>50</v>
      </c>
      <c r="J1048" s="1" t="s">
        <v>2</v>
      </c>
      <c r="K1048" s="1" t="s">
        <v>17</v>
      </c>
      <c r="L1048" s="1">
        <v>0.5</v>
      </c>
      <c r="M1048" s="1">
        <v>0.69</v>
      </c>
      <c r="N1048" s="1" t="s">
        <v>77</v>
      </c>
      <c r="O1048" s="1" t="s">
        <v>1129</v>
      </c>
      <c r="P1048" s="1">
        <v>1200</v>
      </c>
      <c r="T1048"/>
    </row>
    <row r="1049" spans="9:20">
      <c r="I1049" s="1" t="s">
        <v>50</v>
      </c>
      <c r="J1049" s="1" t="s">
        <v>3</v>
      </c>
      <c r="K1049" s="1" t="s">
        <v>17</v>
      </c>
      <c r="L1049" s="1">
        <v>0.5</v>
      </c>
      <c r="M1049" s="1">
        <v>0.69</v>
      </c>
      <c r="N1049" s="1" t="s">
        <v>77</v>
      </c>
      <c r="O1049" s="1" t="s">
        <v>1130</v>
      </c>
      <c r="P1049" s="1">
        <v>1100</v>
      </c>
      <c r="T1049"/>
    </row>
    <row r="1050" spans="9:20">
      <c r="I1050" s="1" t="s">
        <v>50</v>
      </c>
      <c r="J1050" s="1" t="s">
        <v>4</v>
      </c>
      <c r="K1050" s="1" t="s">
        <v>17</v>
      </c>
      <c r="L1050" s="1">
        <v>0.5</v>
      </c>
      <c r="M1050" s="1">
        <v>0.69</v>
      </c>
      <c r="N1050" s="1" t="s">
        <v>77</v>
      </c>
      <c r="O1050" s="1" t="s">
        <v>1131</v>
      </c>
      <c r="P1050" s="1">
        <v>1000</v>
      </c>
      <c r="T1050"/>
    </row>
    <row r="1051" spans="9:20">
      <c r="I1051" s="1" t="s">
        <v>50</v>
      </c>
      <c r="J1051" s="1" t="s">
        <v>5</v>
      </c>
      <c r="K1051" s="1" t="s">
        <v>17</v>
      </c>
      <c r="L1051" s="1">
        <v>0.5</v>
      </c>
      <c r="M1051" s="1">
        <v>0.69</v>
      </c>
      <c r="N1051" s="1" t="s">
        <v>77</v>
      </c>
      <c r="O1051" s="1" t="s">
        <v>1132</v>
      </c>
      <c r="P1051" s="1">
        <v>900</v>
      </c>
      <c r="T1051"/>
    </row>
    <row r="1052" spans="9:20">
      <c r="I1052" s="1" t="s">
        <v>50</v>
      </c>
      <c r="J1052" s="1" t="s">
        <v>6</v>
      </c>
      <c r="K1052" s="1" t="s">
        <v>17</v>
      </c>
      <c r="L1052" s="1">
        <v>0.5</v>
      </c>
      <c r="M1052" s="1">
        <v>0.69</v>
      </c>
      <c r="N1052" s="1" t="s">
        <v>77</v>
      </c>
      <c r="O1052" s="1" t="s">
        <v>1133</v>
      </c>
      <c r="P1052" s="1">
        <v>900</v>
      </c>
      <c r="T1052"/>
    </row>
    <row r="1053" spans="9:20">
      <c r="I1053" s="1" t="s">
        <v>50</v>
      </c>
      <c r="J1053" s="1" t="s">
        <v>7</v>
      </c>
      <c r="K1053" s="1" t="s">
        <v>17</v>
      </c>
      <c r="L1053" s="1">
        <v>0.5</v>
      </c>
      <c r="M1053" s="1">
        <v>0.69</v>
      </c>
      <c r="N1053" s="1" t="s">
        <v>77</v>
      </c>
      <c r="O1053" s="1" t="s">
        <v>1134</v>
      </c>
      <c r="P1053" s="1">
        <v>800</v>
      </c>
      <c r="T1053"/>
    </row>
    <row r="1054" spans="9:20">
      <c r="I1054" s="1" t="s">
        <v>50</v>
      </c>
      <c r="J1054" s="1" t="s">
        <v>75</v>
      </c>
      <c r="K1054" s="1" t="s">
        <v>17</v>
      </c>
      <c r="L1054" s="1">
        <v>0.5</v>
      </c>
      <c r="M1054" s="1">
        <v>0.69</v>
      </c>
      <c r="N1054" s="1" t="s">
        <v>77</v>
      </c>
      <c r="O1054" s="1" t="s">
        <v>1135</v>
      </c>
      <c r="P1054" s="1">
        <v>800</v>
      </c>
      <c r="T1054"/>
    </row>
    <row r="1055" spans="9:20">
      <c r="I1055" s="1" t="s">
        <v>50</v>
      </c>
      <c r="J1055" s="1" t="s">
        <v>78</v>
      </c>
      <c r="K1055" s="1" t="s">
        <v>17</v>
      </c>
      <c r="L1055" s="1">
        <v>0.5</v>
      </c>
      <c r="M1055" s="1">
        <v>0.69</v>
      </c>
      <c r="N1055" s="1" t="s">
        <v>77</v>
      </c>
      <c r="O1055" s="1" t="s">
        <v>1136</v>
      </c>
      <c r="P1055" s="1">
        <v>800</v>
      </c>
      <c r="T1055"/>
    </row>
    <row r="1056" spans="9:20">
      <c r="I1056" s="1" t="s">
        <v>50</v>
      </c>
      <c r="J1056" s="1" t="s">
        <v>81</v>
      </c>
      <c r="K1056" s="1" t="s">
        <v>17</v>
      </c>
      <c r="L1056" s="1">
        <v>0.5</v>
      </c>
      <c r="M1056" s="1">
        <v>0.69</v>
      </c>
      <c r="N1056" s="1" t="s">
        <v>77</v>
      </c>
      <c r="O1056" s="1" t="s">
        <v>1137</v>
      </c>
      <c r="P1056" s="1">
        <v>600</v>
      </c>
      <c r="T1056"/>
    </row>
    <row r="1057" spans="9:20">
      <c r="I1057" s="1" t="s">
        <v>50</v>
      </c>
      <c r="J1057" s="1" t="s">
        <v>84</v>
      </c>
      <c r="K1057" s="1" t="s">
        <v>17</v>
      </c>
      <c r="L1057" s="1">
        <v>0.5</v>
      </c>
      <c r="M1057" s="1">
        <v>0.69</v>
      </c>
      <c r="N1057" s="1" t="s">
        <v>77</v>
      </c>
      <c r="O1057" s="1" t="s">
        <v>1138</v>
      </c>
      <c r="P1057" s="1">
        <v>500</v>
      </c>
      <c r="T1057"/>
    </row>
    <row r="1058" spans="9:20">
      <c r="I1058" s="1" t="s">
        <v>50</v>
      </c>
      <c r="J1058" s="1" t="s">
        <v>1</v>
      </c>
      <c r="K1058" s="1" t="s">
        <v>8</v>
      </c>
      <c r="L1058" s="1">
        <v>0.7</v>
      </c>
      <c r="M1058" s="1">
        <v>0.89</v>
      </c>
      <c r="N1058" s="1" t="s">
        <v>80</v>
      </c>
      <c r="O1058" s="1" t="s">
        <v>1139</v>
      </c>
      <c r="P1058" s="1">
        <v>6400</v>
      </c>
      <c r="T1058"/>
    </row>
    <row r="1059" spans="9:20">
      <c r="I1059" s="1" t="s">
        <v>50</v>
      </c>
      <c r="J1059" s="1" t="s">
        <v>2</v>
      </c>
      <c r="K1059" s="1" t="s">
        <v>8</v>
      </c>
      <c r="L1059" s="1">
        <v>0.7</v>
      </c>
      <c r="M1059" s="1">
        <v>0.89</v>
      </c>
      <c r="N1059" s="1" t="s">
        <v>80</v>
      </c>
      <c r="O1059" s="1" t="s">
        <v>1140</v>
      </c>
      <c r="P1059" s="1">
        <v>5100</v>
      </c>
      <c r="T1059"/>
    </row>
    <row r="1060" spans="9:20">
      <c r="I1060" s="1" t="s">
        <v>50</v>
      </c>
      <c r="J1060" s="1" t="s">
        <v>3</v>
      </c>
      <c r="K1060" s="1" t="s">
        <v>8</v>
      </c>
      <c r="L1060" s="1">
        <v>0.7</v>
      </c>
      <c r="M1060" s="1">
        <v>0.89</v>
      </c>
      <c r="N1060" s="1" t="s">
        <v>80</v>
      </c>
      <c r="O1060" s="1" t="s">
        <v>1141</v>
      </c>
      <c r="P1060" s="1">
        <v>4100</v>
      </c>
      <c r="T1060"/>
    </row>
    <row r="1061" spans="9:20">
      <c r="I1061" s="1" t="s">
        <v>50</v>
      </c>
      <c r="J1061" s="1" t="s">
        <v>4</v>
      </c>
      <c r="K1061" s="1" t="s">
        <v>8</v>
      </c>
      <c r="L1061" s="1">
        <v>0.7</v>
      </c>
      <c r="M1061" s="1">
        <v>0.89</v>
      </c>
      <c r="N1061" s="1" t="s">
        <v>80</v>
      </c>
      <c r="O1061" s="1" t="s">
        <v>1142</v>
      </c>
      <c r="P1061" s="1">
        <v>3500</v>
      </c>
      <c r="T1061"/>
    </row>
    <row r="1062" spans="9:20">
      <c r="I1062" s="1" t="s">
        <v>50</v>
      </c>
      <c r="J1062" s="1" t="s">
        <v>5</v>
      </c>
      <c r="K1062" s="1" t="s">
        <v>8</v>
      </c>
      <c r="L1062" s="1">
        <v>0.7</v>
      </c>
      <c r="M1062" s="1">
        <v>0.89</v>
      </c>
      <c r="N1062" s="1" t="s">
        <v>80</v>
      </c>
      <c r="O1062" s="1" t="s">
        <v>1143</v>
      </c>
      <c r="P1062" s="1">
        <v>3000</v>
      </c>
      <c r="T1062"/>
    </row>
    <row r="1063" spans="9:20">
      <c r="I1063" s="1" t="s">
        <v>50</v>
      </c>
      <c r="J1063" s="1" t="s">
        <v>6</v>
      </c>
      <c r="K1063" s="1" t="s">
        <v>8</v>
      </c>
      <c r="L1063" s="1">
        <v>0.7</v>
      </c>
      <c r="M1063" s="1">
        <v>0.89</v>
      </c>
      <c r="N1063" s="1" t="s">
        <v>80</v>
      </c>
      <c r="O1063" s="1" t="s">
        <v>1144</v>
      </c>
      <c r="P1063" s="1">
        <v>2600</v>
      </c>
      <c r="T1063"/>
    </row>
    <row r="1064" spans="9:20">
      <c r="I1064" s="1" t="s">
        <v>50</v>
      </c>
      <c r="J1064" s="1" t="s">
        <v>7</v>
      </c>
      <c r="K1064" s="1" t="s">
        <v>8</v>
      </c>
      <c r="L1064" s="1">
        <v>0.7</v>
      </c>
      <c r="M1064" s="1">
        <v>0.89</v>
      </c>
      <c r="N1064" s="1" t="s">
        <v>80</v>
      </c>
      <c r="O1064" s="1" t="s">
        <v>1145</v>
      </c>
      <c r="P1064" s="1">
        <v>2300</v>
      </c>
      <c r="T1064"/>
    </row>
    <row r="1065" spans="9:20">
      <c r="I1065" s="1" t="s">
        <v>50</v>
      </c>
      <c r="J1065" s="1" t="s">
        <v>75</v>
      </c>
      <c r="K1065" s="1" t="s">
        <v>8</v>
      </c>
      <c r="L1065" s="1">
        <v>0.7</v>
      </c>
      <c r="M1065" s="1">
        <v>0.89</v>
      </c>
      <c r="N1065" s="1" t="s">
        <v>80</v>
      </c>
      <c r="O1065" s="1" t="s">
        <v>1146</v>
      </c>
      <c r="P1065" s="1">
        <v>2100</v>
      </c>
      <c r="T1065"/>
    </row>
    <row r="1066" spans="9:20">
      <c r="I1066" s="1" t="s">
        <v>50</v>
      </c>
      <c r="J1066" s="1" t="s">
        <v>78</v>
      </c>
      <c r="K1066" s="1" t="s">
        <v>8</v>
      </c>
      <c r="L1066" s="1">
        <v>0.7</v>
      </c>
      <c r="M1066" s="1">
        <v>0.89</v>
      </c>
      <c r="N1066" s="1" t="s">
        <v>80</v>
      </c>
      <c r="O1066" s="1" t="s">
        <v>1147</v>
      </c>
      <c r="P1066" s="1">
        <v>1900</v>
      </c>
      <c r="T1066"/>
    </row>
    <row r="1067" spans="9:20">
      <c r="I1067" s="1" t="s">
        <v>50</v>
      </c>
      <c r="J1067" s="1" t="s">
        <v>81</v>
      </c>
      <c r="K1067" s="1" t="s">
        <v>8</v>
      </c>
      <c r="L1067" s="1">
        <v>0.7</v>
      </c>
      <c r="M1067" s="1">
        <v>0.89</v>
      </c>
      <c r="N1067" s="1" t="s">
        <v>80</v>
      </c>
      <c r="O1067" s="1" t="s">
        <v>1148</v>
      </c>
      <c r="P1067" s="1">
        <v>1700</v>
      </c>
      <c r="T1067"/>
    </row>
    <row r="1068" spans="9:20">
      <c r="I1068" s="1" t="s">
        <v>50</v>
      </c>
      <c r="J1068" s="1" t="s">
        <v>84</v>
      </c>
      <c r="K1068" s="1" t="s">
        <v>8</v>
      </c>
      <c r="L1068" s="1">
        <v>0.7</v>
      </c>
      <c r="M1068" s="1">
        <v>0.89</v>
      </c>
      <c r="N1068" s="1" t="s">
        <v>80</v>
      </c>
      <c r="O1068" s="1" t="s">
        <v>1149</v>
      </c>
      <c r="P1068" s="1">
        <v>1200</v>
      </c>
      <c r="T1068"/>
    </row>
    <row r="1069" spans="9:20">
      <c r="I1069" s="1" t="s">
        <v>50</v>
      </c>
      <c r="J1069" s="1" t="s">
        <v>1</v>
      </c>
      <c r="K1069" s="1" t="s">
        <v>9</v>
      </c>
      <c r="L1069" s="1">
        <v>0.7</v>
      </c>
      <c r="M1069" s="1">
        <v>0.89</v>
      </c>
      <c r="N1069" s="1" t="s">
        <v>80</v>
      </c>
      <c r="O1069" s="1" t="s">
        <v>1150</v>
      </c>
      <c r="P1069" s="1">
        <v>5200</v>
      </c>
      <c r="T1069"/>
    </row>
    <row r="1070" spans="9:20">
      <c r="I1070" s="1" t="s">
        <v>50</v>
      </c>
      <c r="J1070" s="1" t="s">
        <v>2</v>
      </c>
      <c r="K1070" s="1" t="s">
        <v>9</v>
      </c>
      <c r="L1070" s="1">
        <v>0.7</v>
      </c>
      <c r="M1070" s="1">
        <v>0.89</v>
      </c>
      <c r="N1070" s="1" t="s">
        <v>80</v>
      </c>
      <c r="O1070" s="1" t="s">
        <v>1151</v>
      </c>
      <c r="P1070" s="1">
        <v>4500</v>
      </c>
      <c r="T1070"/>
    </row>
    <row r="1071" spans="9:20">
      <c r="I1071" s="1" t="s">
        <v>50</v>
      </c>
      <c r="J1071" s="1" t="s">
        <v>3</v>
      </c>
      <c r="K1071" s="1" t="s">
        <v>9</v>
      </c>
      <c r="L1071" s="1">
        <v>0.7</v>
      </c>
      <c r="M1071" s="1">
        <v>0.89</v>
      </c>
      <c r="N1071" s="1" t="s">
        <v>80</v>
      </c>
      <c r="O1071" s="1" t="s">
        <v>1152</v>
      </c>
      <c r="P1071" s="1">
        <v>3800</v>
      </c>
      <c r="T1071"/>
    </row>
    <row r="1072" spans="9:20">
      <c r="I1072" s="1" t="s">
        <v>50</v>
      </c>
      <c r="J1072" s="1" t="s">
        <v>4</v>
      </c>
      <c r="K1072" s="1" t="s">
        <v>9</v>
      </c>
      <c r="L1072" s="1">
        <v>0.7</v>
      </c>
      <c r="M1072" s="1">
        <v>0.89</v>
      </c>
      <c r="N1072" s="1" t="s">
        <v>80</v>
      </c>
      <c r="O1072" s="1" t="s">
        <v>1153</v>
      </c>
      <c r="P1072" s="1">
        <v>3300</v>
      </c>
      <c r="T1072"/>
    </row>
    <row r="1073" spans="9:20">
      <c r="I1073" s="1" t="s">
        <v>50</v>
      </c>
      <c r="J1073" s="1" t="s">
        <v>5</v>
      </c>
      <c r="K1073" s="1" t="s">
        <v>9</v>
      </c>
      <c r="L1073" s="1">
        <v>0.7</v>
      </c>
      <c r="M1073" s="1">
        <v>0.89</v>
      </c>
      <c r="N1073" s="1" t="s">
        <v>80</v>
      </c>
      <c r="O1073" s="1" t="s">
        <v>1154</v>
      </c>
      <c r="P1073" s="1">
        <v>2800</v>
      </c>
      <c r="T1073"/>
    </row>
    <row r="1074" spans="9:20">
      <c r="I1074" s="1" t="s">
        <v>50</v>
      </c>
      <c r="J1074" s="1" t="s">
        <v>6</v>
      </c>
      <c r="K1074" s="1" t="s">
        <v>9</v>
      </c>
      <c r="L1074" s="1">
        <v>0.7</v>
      </c>
      <c r="M1074" s="1">
        <v>0.89</v>
      </c>
      <c r="N1074" s="1" t="s">
        <v>80</v>
      </c>
      <c r="O1074" s="1" t="s">
        <v>1155</v>
      </c>
      <c r="P1074" s="1">
        <v>2400</v>
      </c>
      <c r="T1074"/>
    </row>
    <row r="1075" spans="9:20">
      <c r="I1075" s="1" t="s">
        <v>50</v>
      </c>
      <c r="J1075" s="1" t="s">
        <v>7</v>
      </c>
      <c r="K1075" s="1" t="s">
        <v>9</v>
      </c>
      <c r="L1075" s="1">
        <v>0.7</v>
      </c>
      <c r="M1075" s="1">
        <v>0.89</v>
      </c>
      <c r="N1075" s="1" t="s">
        <v>80</v>
      </c>
      <c r="O1075" s="1" t="s">
        <v>1156</v>
      </c>
      <c r="P1075" s="1">
        <v>2100</v>
      </c>
      <c r="T1075"/>
    </row>
    <row r="1076" spans="9:20">
      <c r="I1076" s="1" t="s">
        <v>50</v>
      </c>
      <c r="J1076" s="1" t="s">
        <v>75</v>
      </c>
      <c r="K1076" s="1" t="s">
        <v>9</v>
      </c>
      <c r="L1076" s="1">
        <v>0.7</v>
      </c>
      <c r="M1076" s="1">
        <v>0.89</v>
      </c>
      <c r="N1076" s="1" t="s">
        <v>80</v>
      </c>
      <c r="O1076" s="1" t="s">
        <v>1157</v>
      </c>
      <c r="P1076" s="1">
        <v>1900</v>
      </c>
      <c r="T1076"/>
    </row>
    <row r="1077" spans="9:20">
      <c r="I1077" s="1" t="s">
        <v>50</v>
      </c>
      <c r="J1077" s="1" t="s">
        <v>78</v>
      </c>
      <c r="K1077" s="1" t="s">
        <v>9</v>
      </c>
      <c r="L1077" s="1">
        <v>0.7</v>
      </c>
      <c r="M1077" s="1">
        <v>0.89</v>
      </c>
      <c r="N1077" s="1" t="s">
        <v>80</v>
      </c>
      <c r="O1077" s="1" t="s">
        <v>1158</v>
      </c>
      <c r="P1077" s="1">
        <v>1700</v>
      </c>
      <c r="T1077"/>
    </row>
    <row r="1078" spans="9:20">
      <c r="I1078" s="1" t="s">
        <v>50</v>
      </c>
      <c r="J1078" s="1" t="s">
        <v>81</v>
      </c>
      <c r="K1078" s="1" t="s">
        <v>9</v>
      </c>
      <c r="L1078" s="1">
        <v>0.7</v>
      </c>
      <c r="M1078" s="1">
        <v>0.89</v>
      </c>
      <c r="N1078" s="1" t="s">
        <v>80</v>
      </c>
      <c r="O1078" s="1" t="s">
        <v>1159</v>
      </c>
      <c r="P1078" s="1">
        <v>1600</v>
      </c>
      <c r="T1078"/>
    </row>
    <row r="1079" spans="9:20">
      <c r="I1079" s="1" t="s">
        <v>50</v>
      </c>
      <c r="J1079" s="1" t="s">
        <v>84</v>
      </c>
      <c r="K1079" s="1" t="s">
        <v>9</v>
      </c>
      <c r="L1079" s="1">
        <v>0.7</v>
      </c>
      <c r="M1079" s="1">
        <v>0.89</v>
      </c>
      <c r="N1079" s="1" t="s">
        <v>80</v>
      </c>
      <c r="O1079" s="1" t="s">
        <v>1160</v>
      </c>
      <c r="P1079" s="1">
        <v>1100</v>
      </c>
      <c r="T1079"/>
    </row>
    <row r="1080" spans="9:20">
      <c r="I1080" s="1" t="s">
        <v>50</v>
      </c>
      <c r="J1080" s="1" t="s">
        <v>1</v>
      </c>
      <c r="K1080" s="1" t="s">
        <v>10</v>
      </c>
      <c r="L1080" s="1">
        <v>0.7</v>
      </c>
      <c r="M1080" s="1">
        <v>0.89</v>
      </c>
      <c r="N1080" s="1" t="s">
        <v>80</v>
      </c>
      <c r="O1080" s="1" t="s">
        <v>1161</v>
      </c>
      <c r="P1080" s="1">
        <v>4500</v>
      </c>
      <c r="T1080"/>
    </row>
    <row r="1081" spans="9:20">
      <c r="I1081" s="1" t="s">
        <v>50</v>
      </c>
      <c r="J1081" s="1" t="s">
        <v>2</v>
      </c>
      <c r="K1081" s="1" t="s">
        <v>10</v>
      </c>
      <c r="L1081" s="1">
        <v>0.7</v>
      </c>
      <c r="M1081" s="1">
        <v>0.89</v>
      </c>
      <c r="N1081" s="1" t="s">
        <v>80</v>
      </c>
      <c r="O1081" s="1" t="s">
        <v>1162</v>
      </c>
      <c r="P1081" s="1">
        <v>4000</v>
      </c>
      <c r="T1081"/>
    </row>
    <row r="1082" spans="9:20">
      <c r="I1082" s="1" t="s">
        <v>50</v>
      </c>
      <c r="J1082" s="1" t="s">
        <v>3</v>
      </c>
      <c r="K1082" s="1" t="s">
        <v>10</v>
      </c>
      <c r="L1082" s="1">
        <v>0.7</v>
      </c>
      <c r="M1082" s="1">
        <v>0.89</v>
      </c>
      <c r="N1082" s="1" t="s">
        <v>80</v>
      </c>
      <c r="O1082" s="1" t="s">
        <v>1163</v>
      </c>
      <c r="P1082" s="1">
        <v>3400</v>
      </c>
      <c r="T1082"/>
    </row>
    <row r="1083" spans="9:20">
      <c r="I1083" s="1" t="s">
        <v>50</v>
      </c>
      <c r="J1083" s="1" t="s">
        <v>4</v>
      </c>
      <c r="K1083" s="1" t="s">
        <v>10</v>
      </c>
      <c r="L1083" s="1">
        <v>0.7</v>
      </c>
      <c r="M1083" s="1">
        <v>0.89</v>
      </c>
      <c r="N1083" s="1" t="s">
        <v>80</v>
      </c>
      <c r="O1083" s="1" t="s">
        <v>1164</v>
      </c>
      <c r="P1083" s="1">
        <v>3000</v>
      </c>
      <c r="T1083"/>
    </row>
    <row r="1084" spans="9:20">
      <c r="I1084" s="1" t="s">
        <v>50</v>
      </c>
      <c r="J1084" s="1" t="s">
        <v>5</v>
      </c>
      <c r="K1084" s="1" t="s">
        <v>10</v>
      </c>
      <c r="L1084" s="1">
        <v>0.7</v>
      </c>
      <c r="M1084" s="1">
        <v>0.89</v>
      </c>
      <c r="N1084" s="1" t="s">
        <v>80</v>
      </c>
      <c r="O1084" s="1" t="s">
        <v>1165</v>
      </c>
      <c r="P1084" s="1">
        <v>2600</v>
      </c>
      <c r="T1084"/>
    </row>
    <row r="1085" spans="9:20">
      <c r="I1085" s="1" t="s">
        <v>50</v>
      </c>
      <c r="J1085" s="1" t="s">
        <v>6</v>
      </c>
      <c r="K1085" s="1" t="s">
        <v>10</v>
      </c>
      <c r="L1085" s="1">
        <v>0.7</v>
      </c>
      <c r="M1085" s="1">
        <v>0.89</v>
      </c>
      <c r="N1085" s="1" t="s">
        <v>80</v>
      </c>
      <c r="O1085" s="1" t="s">
        <v>1166</v>
      </c>
      <c r="P1085" s="1">
        <v>2200</v>
      </c>
      <c r="T1085"/>
    </row>
    <row r="1086" spans="9:20">
      <c r="I1086" s="1" t="s">
        <v>50</v>
      </c>
      <c r="J1086" s="1" t="s">
        <v>7</v>
      </c>
      <c r="K1086" s="1" t="s">
        <v>10</v>
      </c>
      <c r="L1086" s="1">
        <v>0.7</v>
      </c>
      <c r="M1086" s="1">
        <v>0.89</v>
      </c>
      <c r="N1086" s="1" t="s">
        <v>80</v>
      </c>
      <c r="O1086" s="1" t="s">
        <v>1167</v>
      </c>
      <c r="P1086" s="1">
        <v>1900</v>
      </c>
      <c r="T1086"/>
    </row>
    <row r="1087" spans="9:20">
      <c r="I1087" s="1" t="s">
        <v>50</v>
      </c>
      <c r="J1087" s="1" t="s">
        <v>75</v>
      </c>
      <c r="K1087" s="1" t="s">
        <v>10</v>
      </c>
      <c r="L1087" s="1">
        <v>0.7</v>
      </c>
      <c r="M1087" s="1">
        <v>0.89</v>
      </c>
      <c r="N1087" s="1" t="s">
        <v>80</v>
      </c>
      <c r="O1087" s="1" t="s">
        <v>1168</v>
      </c>
      <c r="P1087" s="1">
        <v>1700</v>
      </c>
      <c r="T1087"/>
    </row>
    <row r="1088" spans="9:20">
      <c r="I1088" s="1" t="s">
        <v>50</v>
      </c>
      <c r="J1088" s="1" t="s">
        <v>78</v>
      </c>
      <c r="K1088" s="1" t="s">
        <v>10</v>
      </c>
      <c r="L1088" s="1">
        <v>0.7</v>
      </c>
      <c r="M1088" s="1">
        <v>0.89</v>
      </c>
      <c r="N1088" s="1" t="s">
        <v>80</v>
      </c>
      <c r="O1088" s="1" t="s">
        <v>1169</v>
      </c>
      <c r="P1088" s="1">
        <v>1600</v>
      </c>
      <c r="T1088"/>
    </row>
    <row r="1089" spans="9:20">
      <c r="I1089" s="1" t="s">
        <v>50</v>
      </c>
      <c r="J1089" s="1" t="s">
        <v>81</v>
      </c>
      <c r="K1089" s="1" t="s">
        <v>10</v>
      </c>
      <c r="L1089" s="1">
        <v>0.7</v>
      </c>
      <c r="M1089" s="1">
        <v>0.89</v>
      </c>
      <c r="N1089" s="1" t="s">
        <v>80</v>
      </c>
      <c r="O1089" s="1" t="s">
        <v>1170</v>
      </c>
      <c r="P1089" s="1">
        <v>1500</v>
      </c>
      <c r="T1089"/>
    </row>
    <row r="1090" spans="9:20">
      <c r="I1090" s="1" t="s">
        <v>50</v>
      </c>
      <c r="J1090" s="1" t="s">
        <v>84</v>
      </c>
      <c r="K1090" s="1" t="s">
        <v>10</v>
      </c>
      <c r="L1090" s="1">
        <v>0.7</v>
      </c>
      <c r="M1090" s="1">
        <v>0.89</v>
      </c>
      <c r="N1090" s="1" t="s">
        <v>80</v>
      </c>
      <c r="O1090" s="1" t="s">
        <v>1171</v>
      </c>
      <c r="P1090" s="1">
        <v>1100</v>
      </c>
      <c r="T1090"/>
    </row>
    <row r="1091" spans="9:20">
      <c r="I1091" s="1" t="s">
        <v>50</v>
      </c>
      <c r="J1091" s="1" t="s">
        <v>1</v>
      </c>
      <c r="K1091" s="1" t="s">
        <v>11</v>
      </c>
      <c r="L1091" s="1">
        <v>0.7</v>
      </c>
      <c r="M1091" s="1">
        <v>0.89</v>
      </c>
      <c r="N1091" s="1" t="s">
        <v>80</v>
      </c>
      <c r="O1091" s="1" t="s">
        <v>1172</v>
      </c>
      <c r="P1091" s="1">
        <v>3800</v>
      </c>
      <c r="T1091"/>
    </row>
    <row r="1092" spans="9:20">
      <c r="I1092" s="1" t="s">
        <v>50</v>
      </c>
      <c r="J1092" s="1" t="s">
        <v>2</v>
      </c>
      <c r="K1092" s="1" t="s">
        <v>11</v>
      </c>
      <c r="L1092" s="1">
        <v>0.7</v>
      </c>
      <c r="M1092" s="1">
        <v>0.89</v>
      </c>
      <c r="N1092" s="1" t="s">
        <v>80</v>
      </c>
      <c r="O1092" s="1" t="s">
        <v>1173</v>
      </c>
      <c r="P1092" s="1">
        <v>3300</v>
      </c>
      <c r="T1092"/>
    </row>
    <row r="1093" spans="9:20">
      <c r="I1093" s="1" t="s">
        <v>50</v>
      </c>
      <c r="J1093" s="1" t="s">
        <v>3</v>
      </c>
      <c r="K1093" s="1" t="s">
        <v>11</v>
      </c>
      <c r="L1093" s="1">
        <v>0.7</v>
      </c>
      <c r="M1093" s="1">
        <v>0.89</v>
      </c>
      <c r="N1093" s="1" t="s">
        <v>80</v>
      </c>
      <c r="O1093" s="1" t="s">
        <v>1174</v>
      </c>
      <c r="P1093" s="1">
        <v>3000</v>
      </c>
      <c r="T1093"/>
    </row>
    <row r="1094" spans="9:20">
      <c r="I1094" s="1" t="s">
        <v>50</v>
      </c>
      <c r="J1094" s="1" t="s">
        <v>4</v>
      </c>
      <c r="K1094" s="1" t="s">
        <v>11</v>
      </c>
      <c r="L1094" s="1">
        <v>0.7</v>
      </c>
      <c r="M1094" s="1">
        <v>0.89</v>
      </c>
      <c r="N1094" s="1" t="s">
        <v>80</v>
      </c>
      <c r="O1094" s="1" t="s">
        <v>1175</v>
      </c>
      <c r="P1094" s="1">
        <v>2700</v>
      </c>
      <c r="T1094"/>
    </row>
    <row r="1095" spans="9:20">
      <c r="I1095" s="1" t="s">
        <v>50</v>
      </c>
      <c r="J1095" s="1" t="s">
        <v>5</v>
      </c>
      <c r="K1095" s="1" t="s">
        <v>11</v>
      </c>
      <c r="L1095" s="1">
        <v>0.7</v>
      </c>
      <c r="M1095" s="1">
        <v>0.89</v>
      </c>
      <c r="N1095" s="1" t="s">
        <v>80</v>
      </c>
      <c r="O1095" s="1" t="s">
        <v>1176</v>
      </c>
      <c r="P1095" s="1">
        <v>2400</v>
      </c>
      <c r="T1095"/>
    </row>
    <row r="1096" spans="9:20">
      <c r="I1096" s="1" t="s">
        <v>50</v>
      </c>
      <c r="J1096" s="1" t="s">
        <v>6</v>
      </c>
      <c r="K1096" s="1" t="s">
        <v>11</v>
      </c>
      <c r="L1096" s="1">
        <v>0.7</v>
      </c>
      <c r="M1096" s="1">
        <v>0.89</v>
      </c>
      <c r="N1096" s="1" t="s">
        <v>80</v>
      </c>
      <c r="O1096" s="1" t="s">
        <v>1177</v>
      </c>
      <c r="P1096" s="1">
        <v>2000</v>
      </c>
      <c r="T1096"/>
    </row>
    <row r="1097" spans="9:20">
      <c r="I1097" s="1" t="s">
        <v>50</v>
      </c>
      <c r="J1097" s="1" t="s">
        <v>7</v>
      </c>
      <c r="K1097" s="1" t="s">
        <v>11</v>
      </c>
      <c r="L1097" s="1">
        <v>0.7</v>
      </c>
      <c r="M1097" s="1">
        <v>0.89</v>
      </c>
      <c r="N1097" s="1" t="s">
        <v>80</v>
      </c>
      <c r="O1097" s="1" t="s">
        <v>1178</v>
      </c>
      <c r="P1097" s="1">
        <v>1700</v>
      </c>
      <c r="T1097"/>
    </row>
    <row r="1098" spans="9:20">
      <c r="I1098" s="1" t="s">
        <v>50</v>
      </c>
      <c r="J1098" s="1" t="s">
        <v>75</v>
      </c>
      <c r="K1098" s="1" t="s">
        <v>11</v>
      </c>
      <c r="L1098" s="1">
        <v>0.7</v>
      </c>
      <c r="M1098" s="1">
        <v>0.89</v>
      </c>
      <c r="N1098" s="1" t="s">
        <v>80</v>
      </c>
      <c r="O1098" s="1" t="s">
        <v>1179</v>
      </c>
      <c r="P1098" s="1">
        <v>1600</v>
      </c>
      <c r="T1098"/>
    </row>
    <row r="1099" spans="9:20">
      <c r="I1099" s="1" t="s">
        <v>50</v>
      </c>
      <c r="J1099" s="1" t="s">
        <v>78</v>
      </c>
      <c r="K1099" s="1" t="s">
        <v>11</v>
      </c>
      <c r="L1099" s="1">
        <v>0.7</v>
      </c>
      <c r="M1099" s="1">
        <v>0.89</v>
      </c>
      <c r="N1099" s="1" t="s">
        <v>80</v>
      </c>
      <c r="O1099" s="1" t="s">
        <v>1180</v>
      </c>
      <c r="P1099" s="1">
        <v>1500</v>
      </c>
      <c r="T1099"/>
    </row>
    <row r="1100" spans="9:20">
      <c r="I1100" s="1" t="s">
        <v>50</v>
      </c>
      <c r="J1100" s="1" t="s">
        <v>81</v>
      </c>
      <c r="K1100" s="1" t="s">
        <v>11</v>
      </c>
      <c r="L1100" s="1">
        <v>0.7</v>
      </c>
      <c r="M1100" s="1">
        <v>0.89</v>
      </c>
      <c r="N1100" s="1" t="s">
        <v>80</v>
      </c>
      <c r="O1100" s="1" t="s">
        <v>1181</v>
      </c>
      <c r="P1100" s="1">
        <v>1400</v>
      </c>
      <c r="T1100"/>
    </row>
    <row r="1101" spans="9:20">
      <c r="I1101" s="1" t="s">
        <v>50</v>
      </c>
      <c r="J1101" s="1" t="s">
        <v>84</v>
      </c>
      <c r="K1101" s="1" t="s">
        <v>11</v>
      </c>
      <c r="L1101" s="1">
        <v>0.7</v>
      </c>
      <c r="M1101" s="1">
        <v>0.89</v>
      </c>
      <c r="N1101" s="1" t="s">
        <v>80</v>
      </c>
      <c r="O1101" s="1" t="s">
        <v>1182</v>
      </c>
      <c r="P1101" s="1">
        <v>1000</v>
      </c>
      <c r="T1101"/>
    </row>
    <row r="1102" spans="9:20">
      <c r="I1102" s="1" t="s">
        <v>50</v>
      </c>
      <c r="J1102" s="1" t="s">
        <v>1</v>
      </c>
      <c r="K1102" s="1" t="s">
        <v>12</v>
      </c>
      <c r="L1102" s="1">
        <v>0.7</v>
      </c>
      <c r="M1102" s="1">
        <v>0.89</v>
      </c>
      <c r="N1102" s="1" t="s">
        <v>80</v>
      </c>
      <c r="O1102" s="1" t="s">
        <v>1183</v>
      </c>
      <c r="P1102" s="1">
        <v>3100</v>
      </c>
      <c r="T1102"/>
    </row>
    <row r="1103" spans="9:20">
      <c r="I1103" s="1" t="s">
        <v>50</v>
      </c>
      <c r="J1103" s="1" t="s">
        <v>2</v>
      </c>
      <c r="K1103" s="1" t="s">
        <v>12</v>
      </c>
      <c r="L1103" s="1">
        <v>0.7</v>
      </c>
      <c r="M1103" s="1">
        <v>0.89</v>
      </c>
      <c r="N1103" s="1" t="s">
        <v>80</v>
      </c>
      <c r="O1103" s="1" t="s">
        <v>1184</v>
      </c>
      <c r="P1103" s="1">
        <v>2800</v>
      </c>
      <c r="T1103"/>
    </row>
    <row r="1104" spans="9:20">
      <c r="I1104" s="1" t="s">
        <v>50</v>
      </c>
      <c r="J1104" s="1" t="s">
        <v>3</v>
      </c>
      <c r="K1104" s="1" t="s">
        <v>12</v>
      </c>
      <c r="L1104" s="1">
        <v>0.7</v>
      </c>
      <c r="M1104" s="1">
        <v>0.89</v>
      </c>
      <c r="N1104" s="1" t="s">
        <v>80</v>
      </c>
      <c r="O1104" s="1" t="s">
        <v>1185</v>
      </c>
      <c r="P1104" s="1">
        <v>2500</v>
      </c>
      <c r="T1104"/>
    </row>
    <row r="1105" spans="9:20">
      <c r="I1105" s="1" t="s">
        <v>50</v>
      </c>
      <c r="J1105" s="1" t="s">
        <v>4</v>
      </c>
      <c r="K1105" s="1" t="s">
        <v>12</v>
      </c>
      <c r="L1105" s="1">
        <v>0.7</v>
      </c>
      <c r="M1105" s="1">
        <v>0.89</v>
      </c>
      <c r="N1105" s="1" t="s">
        <v>80</v>
      </c>
      <c r="O1105" s="1" t="s">
        <v>1186</v>
      </c>
      <c r="P1105" s="1">
        <v>2300</v>
      </c>
      <c r="T1105"/>
    </row>
    <row r="1106" spans="9:20">
      <c r="I1106" s="1" t="s">
        <v>50</v>
      </c>
      <c r="J1106" s="1" t="s">
        <v>5</v>
      </c>
      <c r="K1106" s="1" t="s">
        <v>12</v>
      </c>
      <c r="L1106" s="1">
        <v>0.7</v>
      </c>
      <c r="M1106" s="1">
        <v>0.89</v>
      </c>
      <c r="N1106" s="1" t="s">
        <v>80</v>
      </c>
      <c r="O1106" s="1" t="s">
        <v>1187</v>
      </c>
      <c r="P1106" s="1">
        <v>2100</v>
      </c>
      <c r="T1106"/>
    </row>
    <row r="1107" spans="9:20">
      <c r="I1107" s="1" t="s">
        <v>50</v>
      </c>
      <c r="J1107" s="1" t="s">
        <v>6</v>
      </c>
      <c r="K1107" s="1" t="s">
        <v>12</v>
      </c>
      <c r="L1107" s="1">
        <v>0.7</v>
      </c>
      <c r="M1107" s="1">
        <v>0.89</v>
      </c>
      <c r="N1107" s="1" t="s">
        <v>80</v>
      </c>
      <c r="O1107" s="1" t="s">
        <v>1188</v>
      </c>
      <c r="P1107" s="1">
        <v>1800</v>
      </c>
      <c r="T1107"/>
    </row>
    <row r="1108" spans="9:20">
      <c r="I1108" s="1" t="s">
        <v>50</v>
      </c>
      <c r="J1108" s="1" t="s">
        <v>7</v>
      </c>
      <c r="K1108" s="1" t="s">
        <v>12</v>
      </c>
      <c r="L1108" s="1">
        <v>0.7</v>
      </c>
      <c r="M1108" s="1">
        <v>0.89</v>
      </c>
      <c r="N1108" s="1" t="s">
        <v>80</v>
      </c>
      <c r="O1108" s="1" t="s">
        <v>1189</v>
      </c>
      <c r="P1108" s="1">
        <v>1600</v>
      </c>
      <c r="T1108"/>
    </row>
    <row r="1109" spans="9:20">
      <c r="I1109" s="1" t="s">
        <v>50</v>
      </c>
      <c r="J1109" s="1" t="s">
        <v>75</v>
      </c>
      <c r="K1109" s="1" t="s">
        <v>12</v>
      </c>
      <c r="L1109" s="1">
        <v>0.7</v>
      </c>
      <c r="M1109" s="1">
        <v>0.89</v>
      </c>
      <c r="N1109" s="1" t="s">
        <v>80</v>
      </c>
      <c r="O1109" s="1" t="s">
        <v>1190</v>
      </c>
      <c r="P1109" s="1">
        <v>1500</v>
      </c>
      <c r="T1109"/>
    </row>
    <row r="1110" spans="9:20">
      <c r="I1110" s="1" t="s">
        <v>50</v>
      </c>
      <c r="J1110" s="1" t="s">
        <v>78</v>
      </c>
      <c r="K1110" s="1" t="s">
        <v>12</v>
      </c>
      <c r="L1110" s="1">
        <v>0.7</v>
      </c>
      <c r="M1110" s="1">
        <v>0.89</v>
      </c>
      <c r="N1110" s="1" t="s">
        <v>80</v>
      </c>
      <c r="O1110" s="1" t="s">
        <v>1191</v>
      </c>
      <c r="P1110" s="1">
        <v>1400</v>
      </c>
      <c r="T1110"/>
    </row>
    <row r="1111" spans="9:20">
      <c r="I1111" s="1" t="s">
        <v>50</v>
      </c>
      <c r="J1111" s="1" t="s">
        <v>81</v>
      </c>
      <c r="K1111" s="1" t="s">
        <v>12</v>
      </c>
      <c r="L1111" s="1">
        <v>0.7</v>
      </c>
      <c r="M1111" s="1">
        <v>0.89</v>
      </c>
      <c r="N1111" s="1" t="s">
        <v>80</v>
      </c>
      <c r="O1111" s="1" t="s">
        <v>1192</v>
      </c>
      <c r="P1111" s="1">
        <v>1400</v>
      </c>
      <c r="T1111"/>
    </row>
    <row r="1112" spans="9:20">
      <c r="I1112" s="1" t="s">
        <v>50</v>
      </c>
      <c r="J1112" s="1" t="s">
        <v>84</v>
      </c>
      <c r="K1112" s="1" t="s">
        <v>12</v>
      </c>
      <c r="L1112" s="1">
        <v>0.7</v>
      </c>
      <c r="M1112" s="1">
        <v>0.89</v>
      </c>
      <c r="N1112" s="1" t="s">
        <v>80</v>
      </c>
      <c r="O1112" s="1" t="s">
        <v>1193</v>
      </c>
      <c r="P1112" s="1">
        <v>900</v>
      </c>
      <c r="T1112"/>
    </row>
    <row r="1113" spans="9:20">
      <c r="I1113" s="1" t="s">
        <v>50</v>
      </c>
      <c r="J1113" s="1" t="s">
        <v>1</v>
      </c>
      <c r="K1113" s="1" t="s">
        <v>13</v>
      </c>
      <c r="L1113" s="1">
        <v>0.7</v>
      </c>
      <c r="M1113" s="1">
        <v>0.89</v>
      </c>
      <c r="N1113" s="1" t="s">
        <v>80</v>
      </c>
      <c r="O1113" s="1" t="s">
        <v>1194</v>
      </c>
      <c r="P1113" s="1">
        <v>2600</v>
      </c>
      <c r="T1113"/>
    </row>
    <row r="1114" spans="9:20">
      <c r="I1114" s="1" t="s">
        <v>50</v>
      </c>
      <c r="J1114" s="1" t="s">
        <v>2</v>
      </c>
      <c r="K1114" s="1" t="s">
        <v>13</v>
      </c>
      <c r="L1114" s="1">
        <v>0.7</v>
      </c>
      <c r="M1114" s="1">
        <v>0.89</v>
      </c>
      <c r="N1114" s="1" t="s">
        <v>80</v>
      </c>
      <c r="O1114" s="1" t="s">
        <v>1195</v>
      </c>
      <c r="P1114" s="1">
        <v>2300</v>
      </c>
      <c r="T1114"/>
    </row>
    <row r="1115" spans="9:20">
      <c r="I1115" s="1" t="s">
        <v>50</v>
      </c>
      <c r="J1115" s="1" t="s">
        <v>3</v>
      </c>
      <c r="K1115" s="1" t="s">
        <v>13</v>
      </c>
      <c r="L1115" s="1">
        <v>0.7</v>
      </c>
      <c r="M1115" s="1">
        <v>0.89</v>
      </c>
      <c r="N1115" s="1" t="s">
        <v>80</v>
      </c>
      <c r="O1115" s="1" t="s">
        <v>1196</v>
      </c>
      <c r="P1115" s="1">
        <v>2100</v>
      </c>
      <c r="T1115"/>
    </row>
    <row r="1116" spans="9:20">
      <c r="I1116" s="1" t="s">
        <v>50</v>
      </c>
      <c r="J1116" s="1" t="s">
        <v>4</v>
      </c>
      <c r="K1116" s="1" t="s">
        <v>13</v>
      </c>
      <c r="L1116" s="1">
        <v>0.7</v>
      </c>
      <c r="M1116" s="1">
        <v>0.89</v>
      </c>
      <c r="N1116" s="1" t="s">
        <v>80</v>
      </c>
      <c r="O1116" s="1" t="s">
        <v>1197</v>
      </c>
      <c r="P1116" s="1">
        <v>2000</v>
      </c>
      <c r="T1116"/>
    </row>
    <row r="1117" spans="9:20">
      <c r="I1117" s="1" t="s">
        <v>50</v>
      </c>
      <c r="J1117" s="1" t="s">
        <v>5</v>
      </c>
      <c r="K1117" s="1" t="s">
        <v>13</v>
      </c>
      <c r="L1117" s="1">
        <v>0.7</v>
      </c>
      <c r="M1117" s="1">
        <v>0.89</v>
      </c>
      <c r="N1117" s="1" t="s">
        <v>80</v>
      </c>
      <c r="O1117" s="1" t="s">
        <v>1198</v>
      </c>
      <c r="P1117" s="1">
        <v>1800</v>
      </c>
      <c r="T1117"/>
    </row>
    <row r="1118" spans="9:20">
      <c r="I1118" s="1" t="s">
        <v>50</v>
      </c>
      <c r="J1118" s="1" t="s">
        <v>6</v>
      </c>
      <c r="K1118" s="1" t="s">
        <v>13</v>
      </c>
      <c r="L1118" s="1">
        <v>0.7</v>
      </c>
      <c r="M1118" s="1">
        <v>0.89</v>
      </c>
      <c r="N1118" s="1" t="s">
        <v>80</v>
      </c>
      <c r="O1118" s="1" t="s">
        <v>1199</v>
      </c>
      <c r="P1118" s="1">
        <v>1600</v>
      </c>
      <c r="T1118"/>
    </row>
    <row r="1119" spans="9:20">
      <c r="I1119" s="1" t="s">
        <v>50</v>
      </c>
      <c r="J1119" s="1" t="s">
        <v>7</v>
      </c>
      <c r="K1119" s="1" t="s">
        <v>13</v>
      </c>
      <c r="L1119" s="1">
        <v>0.7</v>
      </c>
      <c r="M1119" s="1">
        <v>0.89</v>
      </c>
      <c r="N1119" s="1" t="s">
        <v>80</v>
      </c>
      <c r="O1119" s="1" t="s">
        <v>1200</v>
      </c>
      <c r="P1119" s="1">
        <v>1500</v>
      </c>
      <c r="T1119"/>
    </row>
    <row r="1120" spans="9:20">
      <c r="I1120" s="1" t="s">
        <v>50</v>
      </c>
      <c r="J1120" s="1" t="s">
        <v>75</v>
      </c>
      <c r="K1120" s="1" t="s">
        <v>13</v>
      </c>
      <c r="L1120" s="1">
        <v>0.7</v>
      </c>
      <c r="M1120" s="1">
        <v>0.89</v>
      </c>
      <c r="N1120" s="1" t="s">
        <v>80</v>
      </c>
      <c r="O1120" s="1" t="s">
        <v>1201</v>
      </c>
      <c r="P1120" s="1">
        <v>1400</v>
      </c>
      <c r="T1120"/>
    </row>
    <row r="1121" spans="9:20">
      <c r="I1121" s="1" t="s">
        <v>50</v>
      </c>
      <c r="J1121" s="1" t="s">
        <v>78</v>
      </c>
      <c r="K1121" s="1" t="s">
        <v>13</v>
      </c>
      <c r="L1121" s="1">
        <v>0.7</v>
      </c>
      <c r="M1121" s="1">
        <v>0.89</v>
      </c>
      <c r="N1121" s="1" t="s">
        <v>80</v>
      </c>
      <c r="O1121" s="1" t="s">
        <v>1202</v>
      </c>
      <c r="P1121" s="1">
        <v>1300</v>
      </c>
      <c r="T1121"/>
    </row>
    <row r="1122" spans="9:20">
      <c r="I1122" s="1" t="s">
        <v>50</v>
      </c>
      <c r="J1122" s="1" t="s">
        <v>81</v>
      </c>
      <c r="K1122" s="1" t="s">
        <v>13</v>
      </c>
      <c r="L1122" s="1">
        <v>0.7</v>
      </c>
      <c r="M1122" s="1">
        <v>0.89</v>
      </c>
      <c r="N1122" s="1" t="s">
        <v>80</v>
      </c>
      <c r="O1122" s="1" t="s">
        <v>1203</v>
      </c>
      <c r="P1122" s="1">
        <v>1300</v>
      </c>
      <c r="T1122"/>
    </row>
    <row r="1123" spans="9:20">
      <c r="I1123" s="1" t="s">
        <v>50</v>
      </c>
      <c r="J1123" s="1" t="s">
        <v>84</v>
      </c>
      <c r="K1123" s="1" t="s">
        <v>13</v>
      </c>
      <c r="L1123" s="1">
        <v>0.7</v>
      </c>
      <c r="M1123" s="1">
        <v>0.89</v>
      </c>
      <c r="N1123" s="1" t="s">
        <v>80</v>
      </c>
      <c r="O1123" s="1" t="s">
        <v>1204</v>
      </c>
      <c r="P1123" s="1">
        <v>900</v>
      </c>
      <c r="T1123"/>
    </row>
    <row r="1124" spans="9:20">
      <c r="I1124" s="1" t="s">
        <v>50</v>
      </c>
      <c r="J1124" s="1" t="s">
        <v>1</v>
      </c>
      <c r="K1124" s="1" t="s">
        <v>14</v>
      </c>
      <c r="L1124" s="1">
        <v>0.7</v>
      </c>
      <c r="M1124" s="1">
        <v>0.89</v>
      </c>
      <c r="N1124" s="1" t="s">
        <v>80</v>
      </c>
      <c r="O1124" s="1" t="s">
        <v>1205</v>
      </c>
      <c r="P1124" s="1">
        <v>2200</v>
      </c>
      <c r="T1124"/>
    </row>
    <row r="1125" spans="9:20">
      <c r="I1125" s="1" t="s">
        <v>50</v>
      </c>
      <c r="J1125" s="1" t="s">
        <v>2</v>
      </c>
      <c r="K1125" s="1" t="s">
        <v>14</v>
      </c>
      <c r="L1125" s="1">
        <v>0.7</v>
      </c>
      <c r="M1125" s="1">
        <v>0.89</v>
      </c>
      <c r="N1125" s="1" t="s">
        <v>80</v>
      </c>
      <c r="O1125" s="1" t="s">
        <v>1206</v>
      </c>
      <c r="P1125" s="1">
        <v>2000</v>
      </c>
      <c r="T1125"/>
    </row>
    <row r="1126" spans="9:20">
      <c r="I1126" s="1" t="s">
        <v>50</v>
      </c>
      <c r="J1126" s="1" t="s">
        <v>3</v>
      </c>
      <c r="K1126" s="1" t="s">
        <v>14</v>
      </c>
      <c r="L1126" s="1">
        <v>0.7</v>
      </c>
      <c r="M1126" s="1">
        <v>0.89</v>
      </c>
      <c r="N1126" s="1" t="s">
        <v>80</v>
      </c>
      <c r="O1126" s="1" t="s">
        <v>1207</v>
      </c>
      <c r="P1126" s="1">
        <v>1900</v>
      </c>
      <c r="T1126"/>
    </row>
    <row r="1127" spans="9:20">
      <c r="I1127" s="1" t="s">
        <v>50</v>
      </c>
      <c r="J1127" s="1" t="s">
        <v>4</v>
      </c>
      <c r="K1127" s="1" t="s">
        <v>14</v>
      </c>
      <c r="L1127" s="1">
        <v>0.7</v>
      </c>
      <c r="M1127" s="1">
        <v>0.89</v>
      </c>
      <c r="N1127" s="1" t="s">
        <v>80</v>
      </c>
      <c r="O1127" s="1" t="s">
        <v>1208</v>
      </c>
      <c r="P1127" s="1">
        <v>1800</v>
      </c>
      <c r="T1127"/>
    </row>
    <row r="1128" spans="9:20">
      <c r="I1128" s="1" t="s">
        <v>50</v>
      </c>
      <c r="J1128" s="1" t="s">
        <v>5</v>
      </c>
      <c r="K1128" s="1" t="s">
        <v>14</v>
      </c>
      <c r="L1128" s="1">
        <v>0.7</v>
      </c>
      <c r="M1128" s="1">
        <v>0.89</v>
      </c>
      <c r="N1128" s="1" t="s">
        <v>80</v>
      </c>
      <c r="O1128" s="1" t="s">
        <v>1209</v>
      </c>
      <c r="P1128" s="1">
        <v>1600</v>
      </c>
      <c r="T1128"/>
    </row>
    <row r="1129" spans="9:20">
      <c r="I1129" s="1" t="s">
        <v>50</v>
      </c>
      <c r="J1129" s="1" t="s">
        <v>6</v>
      </c>
      <c r="K1129" s="1" t="s">
        <v>14</v>
      </c>
      <c r="L1129" s="1">
        <v>0.7</v>
      </c>
      <c r="M1129" s="1">
        <v>0.89</v>
      </c>
      <c r="N1129" s="1" t="s">
        <v>80</v>
      </c>
      <c r="O1129" s="1" t="s">
        <v>1210</v>
      </c>
      <c r="P1129" s="1">
        <v>1500</v>
      </c>
      <c r="T1129"/>
    </row>
    <row r="1130" spans="9:20">
      <c r="I1130" s="1" t="s">
        <v>50</v>
      </c>
      <c r="J1130" s="1" t="s">
        <v>7</v>
      </c>
      <c r="K1130" s="1" t="s">
        <v>14</v>
      </c>
      <c r="L1130" s="1">
        <v>0.7</v>
      </c>
      <c r="M1130" s="1">
        <v>0.89</v>
      </c>
      <c r="N1130" s="1" t="s">
        <v>80</v>
      </c>
      <c r="O1130" s="1" t="s">
        <v>1211</v>
      </c>
      <c r="P1130" s="1">
        <v>1400</v>
      </c>
      <c r="T1130"/>
    </row>
    <row r="1131" spans="9:20">
      <c r="I1131" s="1" t="s">
        <v>50</v>
      </c>
      <c r="J1131" s="1" t="s">
        <v>75</v>
      </c>
      <c r="K1131" s="1" t="s">
        <v>14</v>
      </c>
      <c r="L1131" s="1">
        <v>0.7</v>
      </c>
      <c r="M1131" s="1">
        <v>0.89</v>
      </c>
      <c r="N1131" s="1" t="s">
        <v>80</v>
      </c>
      <c r="O1131" s="1" t="s">
        <v>1212</v>
      </c>
      <c r="P1131" s="1">
        <v>1300</v>
      </c>
      <c r="T1131"/>
    </row>
    <row r="1132" spans="9:20">
      <c r="I1132" s="1" t="s">
        <v>50</v>
      </c>
      <c r="J1132" s="1" t="s">
        <v>78</v>
      </c>
      <c r="K1132" s="1" t="s">
        <v>14</v>
      </c>
      <c r="L1132" s="1">
        <v>0.7</v>
      </c>
      <c r="M1132" s="1">
        <v>0.89</v>
      </c>
      <c r="N1132" s="1" t="s">
        <v>80</v>
      </c>
      <c r="O1132" s="1" t="s">
        <v>1213</v>
      </c>
      <c r="P1132" s="1">
        <v>1200</v>
      </c>
      <c r="T1132"/>
    </row>
    <row r="1133" spans="9:20">
      <c r="I1133" s="1" t="s">
        <v>50</v>
      </c>
      <c r="J1133" s="1" t="s">
        <v>81</v>
      </c>
      <c r="K1133" s="1" t="s">
        <v>14</v>
      </c>
      <c r="L1133" s="1">
        <v>0.7</v>
      </c>
      <c r="M1133" s="1">
        <v>0.89</v>
      </c>
      <c r="N1133" s="1" t="s">
        <v>80</v>
      </c>
      <c r="O1133" s="1" t="s">
        <v>1214</v>
      </c>
      <c r="P1133" s="1">
        <v>1200</v>
      </c>
      <c r="T1133"/>
    </row>
    <row r="1134" spans="9:20">
      <c r="I1134" s="1" t="s">
        <v>50</v>
      </c>
      <c r="J1134" s="1" t="s">
        <v>84</v>
      </c>
      <c r="K1134" s="1" t="s">
        <v>14</v>
      </c>
      <c r="L1134" s="1">
        <v>0.7</v>
      </c>
      <c r="M1134" s="1">
        <v>0.89</v>
      </c>
      <c r="N1134" s="1" t="s">
        <v>80</v>
      </c>
      <c r="O1134" s="1" t="s">
        <v>1215</v>
      </c>
      <c r="P1134" s="1">
        <v>800</v>
      </c>
      <c r="T1134"/>
    </row>
    <row r="1135" spans="9:20">
      <c r="I1135" s="1" t="s">
        <v>50</v>
      </c>
      <c r="J1135" s="1" t="s">
        <v>1</v>
      </c>
      <c r="K1135" s="1" t="s">
        <v>15</v>
      </c>
      <c r="L1135" s="1">
        <v>0.7</v>
      </c>
      <c r="M1135" s="1">
        <v>0.89</v>
      </c>
      <c r="N1135" s="1" t="s">
        <v>80</v>
      </c>
      <c r="O1135" s="1" t="s">
        <v>1216</v>
      </c>
      <c r="P1135" s="1">
        <v>2000</v>
      </c>
      <c r="T1135"/>
    </row>
    <row r="1136" spans="9:20">
      <c r="I1136" s="1" t="s">
        <v>50</v>
      </c>
      <c r="J1136" s="1" t="s">
        <v>2</v>
      </c>
      <c r="K1136" s="1" t="s">
        <v>15</v>
      </c>
      <c r="L1136" s="1">
        <v>0.7</v>
      </c>
      <c r="M1136" s="1">
        <v>0.89</v>
      </c>
      <c r="N1136" s="1" t="s">
        <v>80</v>
      </c>
      <c r="O1136" s="1" t="s">
        <v>1217</v>
      </c>
      <c r="P1136" s="1">
        <v>1800</v>
      </c>
      <c r="T1136"/>
    </row>
    <row r="1137" spans="9:20">
      <c r="I1137" s="1" t="s">
        <v>50</v>
      </c>
      <c r="J1137" s="1" t="s">
        <v>3</v>
      </c>
      <c r="K1137" s="1" t="s">
        <v>15</v>
      </c>
      <c r="L1137" s="1">
        <v>0.7</v>
      </c>
      <c r="M1137" s="1">
        <v>0.89</v>
      </c>
      <c r="N1137" s="1" t="s">
        <v>80</v>
      </c>
      <c r="O1137" s="1" t="s">
        <v>1218</v>
      </c>
      <c r="P1137" s="1">
        <v>1700</v>
      </c>
      <c r="T1137"/>
    </row>
    <row r="1138" spans="9:20">
      <c r="I1138" s="1" t="s">
        <v>50</v>
      </c>
      <c r="J1138" s="1" t="s">
        <v>4</v>
      </c>
      <c r="K1138" s="1" t="s">
        <v>15</v>
      </c>
      <c r="L1138" s="1">
        <v>0.7</v>
      </c>
      <c r="M1138" s="1">
        <v>0.89</v>
      </c>
      <c r="N1138" s="1" t="s">
        <v>80</v>
      </c>
      <c r="O1138" s="1" t="s">
        <v>1219</v>
      </c>
      <c r="P1138" s="1">
        <v>1600</v>
      </c>
      <c r="T1138"/>
    </row>
    <row r="1139" spans="9:20">
      <c r="I1139" s="1" t="s">
        <v>50</v>
      </c>
      <c r="J1139" s="1" t="s">
        <v>5</v>
      </c>
      <c r="K1139" s="1" t="s">
        <v>15</v>
      </c>
      <c r="L1139" s="1">
        <v>0.7</v>
      </c>
      <c r="M1139" s="1">
        <v>0.89</v>
      </c>
      <c r="N1139" s="1" t="s">
        <v>80</v>
      </c>
      <c r="O1139" s="1" t="s">
        <v>1220</v>
      </c>
      <c r="P1139" s="1">
        <v>1500</v>
      </c>
      <c r="T1139"/>
    </row>
    <row r="1140" spans="9:20">
      <c r="I1140" s="1" t="s">
        <v>50</v>
      </c>
      <c r="J1140" s="1" t="s">
        <v>6</v>
      </c>
      <c r="K1140" s="1" t="s">
        <v>15</v>
      </c>
      <c r="L1140" s="1">
        <v>0.7</v>
      </c>
      <c r="M1140" s="1">
        <v>0.89</v>
      </c>
      <c r="N1140" s="1" t="s">
        <v>80</v>
      </c>
      <c r="O1140" s="1" t="s">
        <v>1221</v>
      </c>
      <c r="P1140" s="1">
        <v>1400</v>
      </c>
      <c r="T1140"/>
    </row>
    <row r="1141" spans="9:20">
      <c r="I1141" s="1" t="s">
        <v>50</v>
      </c>
      <c r="J1141" s="1" t="s">
        <v>7</v>
      </c>
      <c r="K1141" s="1" t="s">
        <v>15</v>
      </c>
      <c r="L1141" s="1">
        <v>0.7</v>
      </c>
      <c r="M1141" s="1">
        <v>0.89</v>
      </c>
      <c r="N1141" s="1" t="s">
        <v>80</v>
      </c>
      <c r="O1141" s="1" t="s">
        <v>1222</v>
      </c>
      <c r="P1141" s="1">
        <v>1300</v>
      </c>
      <c r="T1141"/>
    </row>
    <row r="1142" spans="9:20">
      <c r="I1142" s="1" t="s">
        <v>50</v>
      </c>
      <c r="J1142" s="1" t="s">
        <v>75</v>
      </c>
      <c r="K1142" s="1" t="s">
        <v>15</v>
      </c>
      <c r="L1142" s="1">
        <v>0.7</v>
      </c>
      <c r="M1142" s="1">
        <v>0.89</v>
      </c>
      <c r="N1142" s="1" t="s">
        <v>80</v>
      </c>
      <c r="O1142" s="1" t="s">
        <v>1223</v>
      </c>
      <c r="P1142" s="1">
        <v>1200</v>
      </c>
      <c r="T1142"/>
    </row>
    <row r="1143" spans="9:20">
      <c r="I1143" s="1" t="s">
        <v>50</v>
      </c>
      <c r="J1143" s="1" t="s">
        <v>78</v>
      </c>
      <c r="K1143" s="1" t="s">
        <v>15</v>
      </c>
      <c r="L1143" s="1">
        <v>0.7</v>
      </c>
      <c r="M1143" s="1">
        <v>0.89</v>
      </c>
      <c r="N1143" s="1" t="s">
        <v>80</v>
      </c>
      <c r="O1143" s="1" t="s">
        <v>1224</v>
      </c>
      <c r="P1143" s="1">
        <v>1100</v>
      </c>
      <c r="T1143"/>
    </row>
    <row r="1144" spans="9:20">
      <c r="I1144" s="1" t="s">
        <v>50</v>
      </c>
      <c r="J1144" s="1" t="s">
        <v>81</v>
      </c>
      <c r="K1144" s="1" t="s">
        <v>15</v>
      </c>
      <c r="L1144" s="1">
        <v>0.7</v>
      </c>
      <c r="M1144" s="1">
        <v>0.89</v>
      </c>
      <c r="N1144" s="1" t="s">
        <v>80</v>
      </c>
      <c r="O1144" s="1" t="s">
        <v>1225</v>
      </c>
      <c r="P1144" s="1">
        <v>1000</v>
      </c>
      <c r="T1144"/>
    </row>
    <row r="1145" spans="9:20">
      <c r="I1145" s="1" t="s">
        <v>50</v>
      </c>
      <c r="J1145" s="1" t="s">
        <v>84</v>
      </c>
      <c r="K1145" s="1" t="s">
        <v>15</v>
      </c>
      <c r="L1145" s="1">
        <v>0.7</v>
      </c>
      <c r="M1145" s="1">
        <v>0.89</v>
      </c>
      <c r="N1145" s="1" t="s">
        <v>80</v>
      </c>
      <c r="O1145" s="1" t="s">
        <v>1226</v>
      </c>
      <c r="P1145" s="1">
        <v>800</v>
      </c>
      <c r="T1145"/>
    </row>
    <row r="1146" spans="9:20">
      <c r="I1146" s="1" t="s">
        <v>50</v>
      </c>
      <c r="J1146" s="1" t="s">
        <v>1</v>
      </c>
      <c r="K1146" s="1" t="s">
        <v>16</v>
      </c>
      <c r="L1146" s="1">
        <v>0.7</v>
      </c>
      <c r="M1146" s="1">
        <v>0.89</v>
      </c>
      <c r="N1146" s="1" t="s">
        <v>80</v>
      </c>
      <c r="O1146" s="1" t="s">
        <v>1227</v>
      </c>
      <c r="P1146" s="1">
        <v>1800</v>
      </c>
      <c r="T1146"/>
    </row>
    <row r="1147" spans="9:20">
      <c r="I1147" s="1" t="s">
        <v>50</v>
      </c>
      <c r="J1147" s="1" t="s">
        <v>2</v>
      </c>
      <c r="K1147" s="1" t="s">
        <v>16</v>
      </c>
      <c r="L1147" s="1">
        <v>0.7</v>
      </c>
      <c r="M1147" s="1">
        <v>0.89</v>
      </c>
      <c r="N1147" s="1" t="s">
        <v>80</v>
      </c>
      <c r="O1147" s="1" t="s">
        <v>1228</v>
      </c>
      <c r="P1147" s="1">
        <v>1600</v>
      </c>
      <c r="T1147"/>
    </row>
    <row r="1148" spans="9:20">
      <c r="I1148" s="1" t="s">
        <v>50</v>
      </c>
      <c r="J1148" s="1" t="s">
        <v>3</v>
      </c>
      <c r="K1148" s="1" t="s">
        <v>16</v>
      </c>
      <c r="L1148" s="1">
        <v>0.7</v>
      </c>
      <c r="M1148" s="1">
        <v>0.89</v>
      </c>
      <c r="N1148" s="1" t="s">
        <v>80</v>
      </c>
      <c r="O1148" s="1" t="s">
        <v>1229</v>
      </c>
      <c r="P1148" s="1">
        <v>1500</v>
      </c>
      <c r="T1148"/>
    </row>
    <row r="1149" spans="9:20">
      <c r="I1149" s="1" t="s">
        <v>50</v>
      </c>
      <c r="J1149" s="1" t="s">
        <v>4</v>
      </c>
      <c r="K1149" s="1" t="s">
        <v>16</v>
      </c>
      <c r="L1149" s="1">
        <v>0.7</v>
      </c>
      <c r="M1149" s="1">
        <v>0.89</v>
      </c>
      <c r="N1149" s="1" t="s">
        <v>80</v>
      </c>
      <c r="O1149" s="1" t="s">
        <v>1230</v>
      </c>
      <c r="P1149" s="1">
        <v>1400</v>
      </c>
      <c r="T1149"/>
    </row>
    <row r="1150" spans="9:20">
      <c r="I1150" s="1" t="s">
        <v>50</v>
      </c>
      <c r="J1150" s="1" t="s">
        <v>5</v>
      </c>
      <c r="K1150" s="1" t="s">
        <v>16</v>
      </c>
      <c r="L1150" s="1">
        <v>0.7</v>
      </c>
      <c r="M1150" s="1">
        <v>0.89</v>
      </c>
      <c r="N1150" s="1" t="s">
        <v>80</v>
      </c>
      <c r="O1150" s="1" t="s">
        <v>1231</v>
      </c>
      <c r="P1150" s="1">
        <v>1300</v>
      </c>
      <c r="T1150"/>
    </row>
    <row r="1151" spans="9:20">
      <c r="I1151" s="1" t="s">
        <v>50</v>
      </c>
      <c r="J1151" s="1" t="s">
        <v>6</v>
      </c>
      <c r="K1151" s="1" t="s">
        <v>16</v>
      </c>
      <c r="L1151" s="1">
        <v>0.7</v>
      </c>
      <c r="M1151" s="1">
        <v>0.89</v>
      </c>
      <c r="N1151" s="1" t="s">
        <v>80</v>
      </c>
      <c r="O1151" s="1" t="s">
        <v>1232</v>
      </c>
      <c r="P1151" s="1">
        <v>1200</v>
      </c>
      <c r="T1151"/>
    </row>
    <row r="1152" spans="9:20">
      <c r="I1152" s="1" t="s">
        <v>50</v>
      </c>
      <c r="J1152" s="1" t="s">
        <v>7</v>
      </c>
      <c r="K1152" s="1" t="s">
        <v>16</v>
      </c>
      <c r="L1152" s="1">
        <v>0.7</v>
      </c>
      <c r="M1152" s="1">
        <v>0.89</v>
      </c>
      <c r="N1152" s="1" t="s">
        <v>80</v>
      </c>
      <c r="O1152" s="1" t="s">
        <v>1233</v>
      </c>
      <c r="P1152" s="1">
        <v>1100</v>
      </c>
      <c r="T1152"/>
    </row>
    <row r="1153" spans="9:20">
      <c r="I1153" s="1" t="s">
        <v>50</v>
      </c>
      <c r="J1153" s="1" t="s">
        <v>75</v>
      </c>
      <c r="K1153" s="1" t="s">
        <v>16</v>
      </c>
      <c r="L1153" s="1">
        <v>0.7</v>
      </c>
      <c r="M1153" s="1">
        <v>0.89</v>
      </c>
      <c r="N1153" s="1" t="s">
        <v>80</v>
      </c>
      <c r="O1153" s="1" t="s">
        <v>1234</v>
      </c>
      <c r="P1153" s="1">
        <v>1100</v>
      </c>
      <c r="T1153"/>
    </row>
    <row r="1154" spans="9:20">
      <c r="I1154" s="1" t="s">
        <v>50</v>
      </c>
      <c r="J1154" s="1" t="s">
        <v>78</v>
      </c>
      <c r="K1154" s="1" t="s">
        <v>16</v>
      </c>
      <c r="L1154" s="1">
        <v>0.7</v>
      </c>
      <c r="M1154" s="1">
        <v>0.89</v>
      </c>
      <c r="N1154" s="1" t="s">
        <v>80</v>
      </c>
      <c r="O1154" s="1" t="s">
        <v>1235</v>
      </c>
      <c r="P1154" s="1">
        <v>1100</v>
      </c>
      <c r="T1154"/>
    </row>
    <row r="1155" spans="9:20">
      <c r="I1155" s="1" t="s">
        <v>50</v>
      </c>
      <c r="J1155" s="1" t="s">
        <v>81</v>
      </c>
      <c r="K1155" s="1" t="s">
        <v>16</v>
      </c>
      <c r="L1155" s="1">
        <v>0.7</v>
      </c>
      <c r="M1155" s="1">
        <v>0.89</v>
      </c>
      <c r="N1155" s="1" t="s">
        <v>80</v>
      </c>
      <c r="O1155" s="1" t="s">
        <v>1236</v>
      </c>
      <c r="P1155" s="1">
        <v>800</v>
      </c>
      <c r="T1155"/>
    </row>
    <row r="1156" spans="9:20">
      <c r="I1156" s="1" t="s">
        <v>50</v>
      </c>
      <c r="J1156" s="1" t="s">
        <v>84</v>
      </c>
      <c r="K1156" s="1" t="s">
        <v>16</v>
      </c>
      <c r="L1156" s="1">
        <v>0.7</v>
      </c>
      <c r="M1156" s="1">
        <v>0.89</v>
      </c>
      <c r="N1156" s="1" t="s">
        <v>80</v>
      </c>
      <c r="O1156" s="1" t="s">
        <v>1237</v>
      </c>
      <c r="P1156" s="1">
        <v>700</v>
      </c>
      <c r="T1156"/>
    </row>
    <row r="1157" spans="9:20">
      <c r="I1157" s="1" t="s">
        <v>50</v>
      </c>
      <c r="J1157" s="1" t="s">
        <v>1</v>
      </c>
      <c r="K1157" s="1" t="s">
        <v>17</v>
      </c>
      <c r="L1157" s="1">
        <v>0.7</v>
      </c>
      <c r="M1157" s="1">
        <v>0.89</v>
      </c>
      <c r="N1157" s="1" t="s">
        <v>80</v>
      </c>
      <c r="O1157" s="1" t="s">
        <v>1238</v>
      </c>
      <c r="P1157" s="1">
        <v>1600</v>
      </c>
      <c r="T1157"/>
    </row>
    <row r="1158" spans="9:20">
      <c r="I1158" s="1" t="s">
        <v>50</v>
      </c>
      <c r="J1158" s="1" t="s">
        <v>2</v>
      </c>
      <c r="K1158" s="1" t="s">
        <v>17</v>
      </c>
      <c r="L1158" s="1">
        <v>0.7</v>
      </c>
      <c r="M1158" s="1">
        <v>0.89</v>
      </c>
      <c r="N1158" s="1" t="s">
        <v>80</v>
      </c>
      <c r="O1158" s="1" t="s">
        <v>1239</v>
      </c>
      <c r="P1158" s="1">
        <v>1400</v>
      </c>
      <c r="T1158"/>
    </row>
    <row r="1159" spans="9:20">
      <c r="I1159" s="1" t="s">
        <v>50</v>
      </c>
      <c r="J1159" s="1" t="s">
        <v>3</v>
      </c>
      <c r="K1159" s="1" t="s">
        <v>17</v>
      </c>
      <c r="L1159" s="1">
        <v>0.7</v>
      </c>
      <c r="M1159" s="1">
        <v>0.89</v>
      </c>
      <c r="N1159" s="1" t="s">
        <v>80</v>
      </c>
      <c r="O1159" s="1" t="s">
        <v>1240</v>
      </c>
      <c r="P1159" s="1">
        <v>1300</v>
      </c>
      <c r="T1159"/>
    </row>
    <row r="1160" spans="9:20">
      <c r="I1160" s="1" t="s">
        <v>50</v>
      </c>
      <c r="J1160" s="1" t="s">
        <v>4</v>
      </c>
      <c r="K1160" s="1" t="s">
        <v>17</v>
      </c>
      <c r="L1160" s="1">
        <v>0.7</v>
      </c>
      <c r="M1160" s="1">
        <v>0.89</v>
      </c>
      <c r="N1160" s="1" t="s">
        <v>80</v>
      </c>
      <c r="O1160" s="1" t="s">
        <v>1241</v>
      </c>
      <c r="P1160" s="1">
        <v>1200</v>
      </c>
      <c r="T1160"/>
    </row>
    <row r="1161" spans="9:20">
      <c r="I1161" s="1" t="s">
        <v>50</v>
      </c>
      <c r="J1161" s="1" t="s">
        <v>5</v>
      </c>
      <c r="K1161" s="1" t="s">
        <v>17</v>
      </c>
      <c r="L1161" s="1">
        <v>0.7</v>
      </c>
      <c r="M1161" s="1">
        <v>0.89</v>
      </c>
      <c r="N1161" s="1" t="s">
        <v>80</v>
      </c>
      <c r="O1161" s="1" t="s">
        <v>1242</v>
      </c>
      <c r="P1161" s="1">
        <v>1100</v>
      </c>
      <c r="T1161"/>
    </row>
    <row r="1162" spans="9:20">
      <c r="I1162" s="1" t="s">
        <v>50</v>
      </c>
      <c r="J1162" s="1" t="s">
        <v>6</v>
      </c>
      <c r="K1162" s="1" t="s">
        <v>17</v>
      </c>
      <c r="L1162" s="1">
        <v>0.7</v>
      </c>
      <c r="M1162" s="1">
        <v>0.89</v>
      </c>
      <c r="N1162" s="1" t="s">
        <v>80</v>
      </c>
      <c r="O1162" s="1" t="s">
        <v>1243</v>
      </c>
      <c r="P1162" s="1">
        <v>1100</v>
      </c>
      <c r="T1162"/>
    </row>
    <row r="1163" spans="9:20">
      <c r="I1163" s="1" t="s">
        <v>50</v>
      </c>
      <c r="J1163" s="1" t="s">
        <v>7</v>
      </c>
      <c r="K1163" s="1" t="s">
        <v>17</v>
      </c>
      <c r="L1163" s="1">
        <v>0.7</v>
      </c>
      <c r="M1163" s="1">
        <v>0.89</v>
      </c>
      <c r="N1163" s="1" t="s">
        <v>80</v>
      </c>
      <c r="O1163" s="1" t="s">
        <v>1244</v>
      </c>
      <c r="P1163" s="1">
        <v>1000</v>
      </c>
      <c r="T1163"/>
    </row>
    <row r="1164" spans="9:20">
      <c r="I1164" s="1" t="s">
        <v>50</v>
      </c>
      <c r="J1164" s="1" t="s">
        <v>75</v>
      </c>
      <c r="K1164" s="1" t="s">
        <v>17</v>
      </c>
      <c r="L1164" s="1">
        <v>0.7</v>
      </c>
      <c r="M1164" s="1">
        <v>0.89</v>
      </c>
      <c r="N1164" s="1" t="s">
        <v>80</v>
      </c>
      <c r="O1164" s="1" t="s">
        <v>1245</v>
      </c>
      <c r="P1164" s="1">
        <v>1000</v>
      </c>
      <c r="T1164"/>
    </row>
    <row r="1165" spans="9:20">
      <c r="I1165" s="1" t="s">
        <v>50</v>
      </c>
      <c r="J1165" s="1" t="s">
        <v>78</v>
      </c>
      <c r="K1165" s="1" t="s">
        <v>17</v>
      </c>
      <c r="L1165" s="1">
        <v>0.7</v>
      </c>
      <c r="M1165" s="1">
        <v>0.89</v>
      </c>
      <c r="N1165" s="1" t="s">
        <v>80</v>
      </c>
      <c r="O1165" s="1" t="s">
        <v>1246</v>
      </c>
      <c r="P1165" s="1">
        <v>1000</v>
      </c>
      <c r="T1165"/>
    </row>
    <row r="1166" spans="9:20">
      <c r="I1166" s="1" t="s">
        <v>50</v>
      </c>
      <c r="J1166" s="1" t="s">
        <v>81</v>
      </c>
      <c r="K1166" s="1" t="s">
        <v>17</v>
      </c>
      <c r="L1166" s="1">
        <v>0.7</v>
      </c>
      <c r="M1166" s="1">
        <v>0.89</v>
      </c>
      <c r="N1166" s="1" t="s">
        <v>80</v>
      </c>
      <c r="O1166" s="1" t="s">
        <v>1247</v>
      </c>
      <c r="P1166" s="1">
        <v>700</v>
      </c>
      <c r="T1166"/>
    </row>
    <row r="1167" spans="9:20">
      <c r="I1167" s="1" t="s">
        <v>50</v>
      </c>
      <c r="J1167" s="1" t="s">
        <v>84</v>
      </c>
      <c r="K1167" s="1" t="s">
        <v>17</v>
      </c>
      <c r="L1167" s="1">
        <v>0.7</v>
      </c>
      <c r="M1167" s="1">
        <v>0.89</v>
      </c>
      <c r="N1167" s="1" t="s">
        <v>80</v>
      </c>
      <c r="O1167" s="1" t="s">
        <v>1248</v>
      </c>
      <c r="P1167" s="1">
        <v>600</v>
      </c>
      <c r="T1167"/>
    </row>
    <row r="1168" spans="9:20">
      <c r="I1168" s="1" t="s">
        <v>50</v>
      </c>
      <c r="J1168" s="1" t="s">
        <v>1</v>
      </c>
      <c r="K1168" s="1" t="s">
        <v>8</v>
      </c>
      <c r="L1168" s="1">
        <v>0.9</v>
      </c>
      <c r="M1168" s="1">
        <v>0.99</v>
      </c>
      <c r="N1168" s="1" t="s">
        <v>83</v>
      </c>
      <c r="O1168" s="1" t="s">
        <v>1249</v>
      </c>
      <c r="P1168" s="1">
        <v>9600</v>
      </c>
      <c r="T1168"/>
    </row>
    <row r="1169" spans="9:20">
      <c r="I1169" s="1" t="s">
        <v>50</v>
      </c>
      <c r="J1169" s="1" t="s">
        <v>2</v>
      </c>
      <c r="K1169" s="1" t="s">
        <v>8</v>
      </c>
      <c r="L1169" s="1">
        <v>0.9</v>
      </c>
      <c r="M1169" s="1">
        <v>0.99</v>
      </c>
      <c r="N1169" s="1" t="s">
        <v>83</v>
      </c>
      <c r="O1169" s="1" t="s">
        <v>1250</v>
      </c>
      <c r="P1169" s="1">
        <v>8200</v>
      </c>
      <c r="T1169"/>
    </row>
    <row r="1170" spans="9:20">
      <c r="I1170" s="1" t="s">
        <v>50</v>
      </c>
      <c r="J1170" s="1" t="s">
        <v>3</v>
      </c>
      <c r="K1170" s="1" t="s">
        <v>8</v>
      </c>
      <c r="L1170" s="1">
        <v>0.9</v>
      </c>
      <c r="M1170" s="1">
        <v>0.99</v>
      </c>
      <c r="N1170" s="1" t="s">
        <v>83</v>
      </c>
      <c r="O1170" s="1" t="s">
        <v>1251</v>
      </c>
      <c r="P1170" s="1">
        <v>6200</v>
      </c>
      <c r="T1170"/>
    </row>
    <row r="1171" spans="9:20">
      <c r="I1171" s="1" t="s">
        <v>50</v>
      </c>
      <c r="J1171" s="1" t="s">
        <v>4</v>
      </c>
      <c r="K1171" s="1" t="s">
        <v>8</v>
      </c>
      <c r="L1171" s="1">
        <v>0.9</v>
      </c>
      <c r="M1171" s="1">
        <v>0.99</v>
      </c>
      <c r="N1171" s="1" t="s">
        <v>83</v>
      </c>
      <c r="O1171" s="1" t="s">
        <v>1252</v>
      </c>
      <c r="P1171" s="1">
        <v>5300</v>
      </c>
      <c r="T1171"/>
    </row>
    <row r="1172" spans="9:20">
      <c r="I1172" s="1" t="s">
        <v>50</v>
      </c>
      <c r="J1172" s="1" t="s">
        <v>5</v>
      </c>
      <c r="K1172" s="1" t="s">
        <v>8</v>
      </c>
      <c r="L1172" s="1">
        <v>0.9</v>
      </c>
      <c r="M1172" s="1">
        <v>0.99</v>
      </c>
      <c r="N1172" s="1" t="s">
        <v>83</v>
      </c>
      <c r="O1172" s="1" t="s">
        <v>1253</v>
      </c>
      <c r="P1172" s="1">
        <v>4500</v>
      </c>
      <c r="T1172"/>
    </row>
    <row r="1173" spans="9:20">
      <c r="I1173" s="1" t="s">
        <v>50</v>
      </c>
      <c r="J1173" s="1" t="s">
        <v>6</v>
      </c>
      <c r="K1173" s="1" t="s">
        <v>8</v>
      </c>
      <c r="L1173" s="1">
        <v>0.9</v>
      </c>
      <c r="M1173" s="1">
        <v>0.99</v>
      </c>
      <c r="N1173" s="1" t="s">
        <v>83</v>
      </c>
      <c r="O1173" s="1" t="s">
        <v>1254</v>
      </c>
      <c r="P1173" s="1">
        <v>3600</v>
      </c>
      <c r="T1173"/>
    </row>
    <row r="1174" spans="9:20">
      <c r="I1174" s="1" t="s">
        <v>50</v>
      </c>
      <c r="J1174" s="1" t="s">
        <v>7</v>
      </c>
      <c r="K1174" s="1" t="s">
        <v>8</v>
      </c>
      <c r="L1174" s="1">
        <v>0.9</v>
      </c>
      <c r="M1174" s="1">
        <v>0.99</v>
      </c>
      <c r="N1174" s="1" t="s">
        <v>83</v>
      </c>
      <c r="O1174" s="1" t="s">
        <v>1255</v>
      </c>
      <c r="P1174" s="1">
        <v>2900</v>
      </c>
      <c r="T1174"/>
    </row>
    <row r="1175" spans="9:20">
      <c r="I1175" s="1" t="s">
        <v>50</v>
      </c>
      <c r="J1175" s="1" t="s">
        <v>75</v>
      </c>
      <c r="K1175" s="1" t="s">
        <v>8</v>
      </c>
      <c r="L1175" s="1">
        <v>0.9</v>
      </c>
      <c r="M1175" s="1">
        <v>0.99</v>
      </c>
      <c r="N1175" s="1" t="s">
        <v>83</v>
      </c>
      <c r="O1175" s="1" t="s">
        <v>1256</v>
      </c>
      <c r="P1175" s="1">
        <v>2600</v>
      </c>
      <c r="T1175"/>
    </row>
    <row r="1176" spans="9:20">
      <c r="I1176" s="1" t="s">
        <v>50</v>
      </c>
      <c r="J1176" s="1" t="s">
        <v>78</v>
      </c>
      <c r="K1176" s="1" t="s">
        <v>8</v>
      </c>
      <c r="L1176" s="1">
        <v>0.9</v>
      </c>
      <c r="M1176" s="1">
        <v>0.99</v>
      </c>
      <c r="N1176" s="1" t="s">
        <v>83</v>
      </c>
      <c r="O1176" s="1" t="s">
        <v>1257</v>
      </c>
      <c r="P1176" s="1">
        <v>2500</v>
      </c>
      <c r="T1176"/>
    </row>
    <row r="1177" spans="9:20">
      <c r="I1177" s="1" t="s">
        <v>50</v>
      </c>
      <c r="J1177" s="1" t="s">
        <v>81</v>
      </c>
      <c r="K1177" s="1" t="s">
        <v>8</v>
      </c>
      <c r="L1177" s="1">
        <v>0.9</v>
      </c>
      <c r="M1177" s="1">
        <v>0.99</v>
      </c>
      <c r="N1177" s="1" t="s">
        <v>83</v>
      </c>
      <c r="O1177" s="1" t="s">
        <v>1258</v>
      </c>
      <c r="P1177" s="1">
        <v>2000</v>
      </c>
      <c r="T1177"/>
    </row>
    <row r="1178" spans="9:20">
      <c r="I1178" s="1" t="s">
        <v>50</v>
      </c>
      <c r="J1178" s="1" t="s">
        <v>84</v>
      </c>
      <c r="K1178" s="1" t="s">
        <v>8</v>
      </c>
      <c r="L1178" s="1">
        <v>0.9</v>
      </c>
      <c r="M1178" s="1">
        <v>0.99</v>
      </c>
      <c r="N1178" s="1" t="s">
        <v>83</v>
      </c>
      <c r="O1178" s="1" t="s">
        <v>1259</v>
      </c>
      <c r="P1178" s="1">
        <v>1500</v>
      </c>
      <c r="T1178"/>
    </row>
    <row r="1179" spans="9:20">
      <c r="I1179" s="1" t="s">
        <v>50</v>
      </c>
      <c r="J1179" s="1" t="s">
        <v>1</v>
      </c>
      <c r="K1179" s="1" t="s">
        <v>9</v>
      </c>
      <c r="L1179" s="1">
        <v>0.9</v>
      </c>
      <c r="M1179" s="1">
        <v>0.99</v>
      </c>
      <c r="N1179" s="1" t="s">
        <v>83</v>
      </c>
      <c r="O1179" s="1" t="s">
        <v>1260</v>
      </c>
      <c r="P1179" s="1">
        <v>8300</v>
      </c>
      <c r="T1179"/>
    </row>
    <row r="1180" spans="9:20">
      <c r="I1180" s="1" t="s">
        <v>50</v>
      </c>
      <c r="J1180" s="1" t="s">
        <v>2</v>
      </c>
      <c r="K1180" s="1" t="s">
        <v>9</v>
      </c>
      <c r="L1180" s="1">
        <v>0.9</v>
      </c>
      <c r="M1180" s="1">
        <v>0.99</v>
      </c>
      <c r="N1180" s="1" t="s">
        <v>83</v>
      </c>
      <c r="O1180" s="1" t="s">
        <v>1261</v>
      </c>
      <c r="P1180" s="1">
        <v>7100</v>
      </c>
      <c r="T1180"/>
    </row>
    <row r="1181" spans="9:20">
      <c r="I1181" s="1" t="s">
        <v>50</v>
      </c>
      <c r="J1181" s="1" t="s">
        <v>3</v>
      </c>
      <c r="K1181" s="1" t="s">
        <v>9</v>
      </c>
      <c r="L1181" s="1">
        <v>0.9</v>
      </c>
      <c r="M1181" s="1">
        <v>0.99</v>
      </c>
      <c r="N1181" s="1" t="s">
        <v>83</v>
      </c>
      <c r="O1181" s="1" t="s">
        <v>1262</v>
      </c>
      <c r="P1181" s="1">
        <v>5700</v>
      </c>
      <c r="T1181"/>
    </row>
    <row r="1182" spans="9:20">
      <c r="I1182" s="1" t="s">
        <v>50</v>
      </c>
      <c r="J1182" s="1" t="s">
        <v>4</v>
      </c>
      <c r="K1182" s="1" t="s">
        <v>9</v>
      </c>
      <c r="L1182" s="1">
        <v>0.9</v>
      </c>
      <c r="M1182" s="1">
        <v>0.99</v>
      </c>
      <c r="N1182" s="1" t="s">
        <v>83</v>
      </c>
      <c r="O1182" s="1" t="s">
        <v>1263</v>
      </c>
      <c r="P1182" s="1">
        <v>4800</v>
      </c>
      <c r="T1182"/>
    </row>
    <row r="1183" spans="9:20">
      <c r="I1183" s="1" t="s">
        <v>50</v>
      </c>
      <c r="J1183" s="1" t="s">
        <v>5</v>
      </c>
      <c r="K1183" s="1" t="s">
        <v>9</v>
      </c>
      <c r="L1183" s="1">
        <v>0.9</v>
      </c>
      <c r="M1183" s="1">
        <v>0.99</v>
      </c>
      <c r="N1183" s="1" t="s">
        <v>83</v>
      </c>
      <c r="O1183" s="1" t="s">
        <v>1264</v>
      </c>
      <c r="P1183" s="1">
        <v>4100</v>
      </c>
      <c r="T1183"/>
    </row>
    <row r="1184" spans="9:20">
      <c r="I1184" s="1" t="s">
        <v>50</v>
      </c>
      <c r="J1184" s="1" t="s">
        <v>6</v>
      </c>
      <c r="K1184" s="1" t="s">
        <v>9</v>
      </c>
      <c r="L1184" s="1">
        <v>0.9</v>
      </c>
      <c r="M1184" s="1">
        <v>0.99</v>
      </c>
      <c r="N1184" s="1" t="s">
        <v>83</v>
      </c>
      <c r="O1184" s="1" t="s">
        <v>1265</v>
      </c>
      <c r="P1184" s="1">
        <v>3200</v>
      </c>
      <c r="T1184"/>
    </row>
    <row r="1185" spans="9:20">
      <c r="I1185" s="1" t="s">
        <v>50</v>
      </c>
      <c r="J1185" s="1" t="s">
        <v>7</v>
      </c>
      <c r="K1185" s="1" t="s">
        <v>9</v>
      </c>
      <c r="L1185" s="1">
        <v>0.9</v>
      </c>
      <c r="M1185" s="1">
        <v>0.99</v>
      </c>
      <c r="N1185" s="1" t="s">
        <v>83</v>
      </c>
      <c r="O1185" s="1" t="s">
        <v>1266</v>
      </c>
      <c r="P1185" s="1">
        <v>2600</v>
      </c>
      <c r="T1185"/>
    </row>
    <row r="1186" spans="9:20">
      <c r="I1186" s="1" t="s">
        <v>50</v>
      </c>
      <c r="J1186" s="1" t="s">
        <v>75</v>
      </c>
      <c r="K1186" s="1" t="s">
        <v>9</v>
      </c>
      <c r="L1186" s="1">
        <v>0.9</v>
      </c>
      <c r="M1186" s="1">
        <v>0.99</v>
      </c>
      <c r="N1186" s="1" t="s">
        <v>83</v>
      </c>
      <c r="O1186" s="1" t="s">
        <v>1267</v>
      </c>
      <c r="P1186" s="1">
        <v>2400</v>
      </c>
      <c r="T1186"/>
    </row>
    <row r="1187" spans="9:20">
      <c r="I1187" s="1" t="s">
        <v>50</v>
      </c>
      <c r="J1187" s="1" t="s">
        <v>78</v>
      </c>
      <c r="K1187" s="1" t="s">
        <v>9</v>
      </c>
      <c r="L1187" s="1">
        <v>0.9</v>
      </c>
      <c r="M1187" s="1">
        <v>0.99</v>
      </c>
      <c r="N1187" s="1" t="s">
        <v>83</v>
      </c>
      <c r="O1187" s="1" t="s">
        <v>1268</v>
      </c>
      <c r="P1187" s="1">
        <v>2300</v>
      </c>
      <c r="T1187"/>
    </row>
    <row r="1188" spans="9:20">
      <c r="I1188" s="1" t="s">
        <v>50</v>
      </c>
      <c r="J1188" s="1" t="s">
        <v>81</v>
      </c>
      <c r="K1188" s="1" t="s">
        <v>9</v>
      </c>
      <c r="L1188" s="1">
        <v>0.9</v>
      </c>
      <c r="M1188" s="1">
        <v>0.99</v>
      </c>
      <c r="N1188" s="1" t="s">
        <v>83</v>
      </c>
      <c r="O1188" s="1" t="s">
        <v>1269</v>
      </c>
      <c r="P1188" s="1">
        <v>1900</v>
      </c>
      <c r="T1188"/>
    </row>
    <row r="1189" spans="9:20">
      <c r="I1189" s="1" t="s">
        <v>50</v>
      </c>
      <c r="J1189" s="1" t="s">
        <v>84</v>
      </c>
      <c r="K1189" s="1" t="s">
        <v>9</v>
      </c>
      <c r="L1189" s="1">
        <v>0.9</v>
      </c>
      <c r="M1189" s="1">
        <v>0.99</v>
      </c>
      <c r="N1189" s="1" t="s">
        <v>83</v>
      </c>
      <c r="O1189" s="1" t="s">
        <v>1270</v>
      </c>
      <c r="P1189" s="1">
        <v>1400</v>
      </c>
      <c r="T1189"/>
    </row>
    <row r="1190" spans="9:20">
      <c r="I1190" s="1" t="s">
        <v>50</v>
      </c>
      <c r="J1190" s="1" t="s">
        <v>1</v>
      </c>
      <c r="K1190" s="1" t="s">
        <v>10</v>
      </c>
      <c r="L1190" s="1">
        <v>0.9</v>
      </c>
      <c r="M1190" s="1">
        <v>0.99</v>
      </c>
      <c r="N1190" s="1" t="s">
        <v>83</v>
      </c>
      <c r="O1190" s="1" t="s">
        <v>1271</v>
      </c>
      <c r="P1190" s="1">
        <v>7300</v>
      </c>
      <c r="T1190"/>
    </row>
    <row r="1191" spans="9:20">
      <c r="I1191" s="1" t="s">
        <v>50</v>
      </c>
      <c r="J1191" s="1" t="s">
        <v>2</v>
      </c>
      <c r="K1191" s="1" t="s">
        <v>10</v>
      </c>
      <c r="L1191" s="1">
        <v>0.9</v>
      </c>
      <c r="M1191" s="1">
        <v>0.99</v>
      </c>
      <c r="N1191" s="1" t="s">
        <v>83</v>
      </c>
      <c r="O1191" s="1" t="s">
        <v>1272</v>
      </c>
      <c r="P1191" s="1">
        <v>6300</v>
      </c>
      <c r="T1191"/>
    </row>
    <row r="1192" spans="9:20">
      <c r="I1192" s="1" t="s">
        <v>50</v>
      </c>
      <c r="J1192" s="1" t="s">
        <v>3</v>
      </c>
      <c r="K1192" s="1" t="s">
        <v>10</v>
      </c>
      <c r="L1192" s="1">
        <v>0.9</v>
      </c>
      <c r="M1192" s="1">
        <v>0.99</v>
      </c>
      <c r="N1192" s="1" t="s">
        <v>83</v>
      </c>
      <c r="O1192" s="1" t="s">
        <v>1273</v>
      </c>
      <c r="P1192" s="1">
        <v>5200</v>
      </c>
      <c r="T1192"/>
    </row>
    <row r="1193" spans="9:20">
      <c r="I1193" s="1" t="s">
        <v>50</v>
      </c>
      <c r="J1193" s="1" t="s">
        <v>4</v>
      </c>
      <c r="K1193" s="1" t="s">
        <v>10</v>
      </c>
      <c r="L1193" s="1">
        <v>0.9</v>
      </c>
      <c r="M1193" s="1">
        <v>0.99</v>
      </c>
      <c r="N1193" s="1" t="s">
        <v>83</v>
      </c>
      <c r="O1193" s="1" t="s">
        <v>1274</v>
      </c>
      <c r="P1193" s="1">
        <v>4400</v>
      </c>
      <c r="T1193"/>
    </row>
    <row r="1194" spans="9:20">
      <c r="I1194" s="1" t="s">
        <v>50</v>
      </c>
      <c r="J1194" s="1" t="s">
        <v>5</v>
      </c>
      <c r="K1194" s="1" t="s">
        <v>10</v>
      </c>
      <c r="L1194" s="1">
        <v>0.9</v>
      </c>
      <c r="M1194" s="1">
        <v>0.99</v>
      </c>
      <c r="N1194" s="1" t="s">
        <v>83</v>
      </c>
      <c r="O1194" s="1" t="s">
        <v>1275</v>
      </c>
      <c r="P1194" s="1">
        <v>3800</v>
      </c>
      <c r="T1194"/>
    </row>
    <row r="1195" spans="9:20">
      <c r="I1195" s="1" t="s">
        <v>50</v>
      </c>
      <c r="J1195" s="1" t="s">
        <v>6</v>
      </c>
      <c r="K1195" s="1" t="s">
        <v>10</v>
      </c>
      <c r="L1195" s="1">
        <v>0.9</v>
      </c>
      <c r="M1195" s="1">
        <v>0.99</v>
      </c>
      <c r="N1195" s="1" t="s">
        <v>83</v>
      </c>
      <c r="O1195" s="1" t="s">
        <v>1276</v>
      </c>
      <c r="P1195" s="1">
        <v>3000</v>
      </c>
      <c r="T1195"/>
    </row>
    <row r="1196" spans="9:20">
      <c r="I1196" s="1" t="s">
        <v>50</v>
      </c>
      <c r="J1196" s="1" t="s">
        <v>7</v>
      </c>
      <c r="K1196" s="1" t="s">
        <v>10</v>
      </c>
      <c r="L1196" s="1">
        <v>0.9</v>
      </c>
      <c r="M1196" s="1">
        <v>0.99</v>
      </c>
      <c r="N1196" s="1" t="s">
        <v>83</v>
      </c>
      <c r="O1196" s="1" t="s">
        <v>1277</v>
      </c>
      <c r="P1196" s="1">
        <v>2400</v>
      </c>
      <c r="T1196"/>
    </row>
    <row r="1197" spans="9:20">
      <c r="I1197" s="1" t="s">
        <v>50</v>
      </c>
      <c r="J1197" s="1" t="s">
        <v>75</v>
      </c>
      <c r="K1197" s="1" t="s">
        <v>10</v>
      </c>
      <c r="L1197" s="1">
        <v>0.9</v>
      </c>
      <c r="M1197" s="1">
        <v>0.99</v>
      </c>
      <c r="N1197" s="1" t="s">
        <v>83</v>
      </c>
      <c r="O1197" s="1" t="s">
        <v>1278</v>
      </c>
      <c r="P1197" s="1">
        <v>2200</v>
      </c>
      <c r="T1197"/>
    </row>
    <row r="1198" spans="9:20">
      <c r="I1198" s="1" t="s">
        <v>50</v>
      </c>
      <c r="J1198" s="1" t="s">
        <v>78</v>
      </c>
      <c r="K1198" s="1" t="s">
        <v>10</v>
      </c>
      <c r="L1198" s="1">
        <v>0.9</v>
      </c>
      <c r="M1198" s="1">
        <v>0.99</v>
      </c>
      <c r="N1198" s="1" t="s">
        <v>83</v>
      </c>
      <c r="O1198" s="1" t="s">
        <v>1279</v>
      </c>
      <c r="P1198" s="1">
        <v>2100</v>
      </c>
      <c r="T1198"/>
    </row>
    <row r="1199" spans="9:20">
      <c r="I1199" s="1" t="s">
        <v>50</v>
      </c>
      <c r="J1199" s="1" t="s">
        <v>81</v>
      </c>
      <c r="K1199" s="1" t="s">
        <v>10</v>
      </c>
      <c r="L1199" s="1">
        <v>0.9</v>
      </c>
      <c r="M1199" s="1">
        <v>0.99</v>
      </c>
      <c r="N1199" s="1" t="s">
        <v>83</v>
      </c>
      <c r="O1199" s="1" t="s">
        <v>1280</v>
      </c>
      <c r="P1199" s="1">
        <v>1800</v>
      </c>
      <c r="T1199"/>
    </row>
    <row r="1200" spans="9:20">
      <c r="I1200" s="1" t="s">
        <v>50</v>
      </c>
      <c r="J1200" s="1" t="s">
        <v>84</v>
      </c>
      <c r="K1200" s="1" t="s">
        <v>10</v>
      </c>
      <c r="L1200" s="1">
        <v>0.9</v>
      </c>
      <c r="M1200" s="1">
        <v>0.99</v>
      </c>
      <c r="N1200" s="1" t="s">
        <v>83</v>
      </c>
      <c r="O1200" s="1" t="s">
        <v>1281</v>
      </c>
      <c r="P1200" s="1">
        <v>1300</v>
      </c>
      <c r="T1200"/>
    </row>
    <row r="1201" spans="9:20">
      <c r="I1201" s="1" t="s">
        <v>50</v>
      </c>
      <c r="J1201" s="1" t="s">
        <v>1</v>
      </c>
      <c r="K1201" s="1" t="s">
        <v>11</v>
      </c>
      <c r="L1201" s="1">
        <v>0.9</v>
      </c>
      <c r="M1201" s="1">
        <v>0.99</v>
      </c>
      <c r="N1201" s="1" t="s">
        <v>83</v>
      </c>
      <c r="O1201" s="1" t="s">
        <v>1282</v>
      </c>
      <c r="P1201" s="1">
        <v>5900</v>
      </c>
      <c r="T1201"/>
    </row>
    <row r="1202" spans="9:20">
      <c r="I1202" s="1" t="s">
        <v>50</v>
      </c>
      <c r="J1202" s="1" t="s">
        <v>2</v>
      </c>
      <c r="K1202" s="1" t="s">
        <v>11</v>
      </c>
      <c r="L1202" s="1">
        <v>0.9</v>
      </c>
      <c r="M1202" s="1">
        <v>0.99</v>
      </c>
      <c r="N1202" s="1" t="s">
        <v>83</v>
      </c>
      <c r="O1202" s="1" t="s">
        <v>1283</v>
      </c>
      <c r="P1202" s="1">
        <v>5200</v>
      </c>
      <c r="T1202"/>
    </row>
    <row r="1203" spans="9:20">
      <c r="I1203" s="1" t="s">
        <v>50</v>
      </c>
      <c r="J1203" s="1" t="s">
        <v>3</v>
      </c>
      <c r="K1203" s="1" t="s">
        <v>11</v>
      </c>
      <c r="L1203" s="1">
        <v>0.9</v>
      </c>
      <c r="M1203" s="1">
        <v>0.99</v>
      </c>
      <c r="N1203" s="1" t="s">
        <v>83</v>
      </c>
      <c r="O1203" s="1" t="s">
        <v>1284</v>
      </c>
      <c r="P1203" s="1">
        <v>4500</v>
      </c>
      <c r="T1203"/>
    </row>
    <row r="1204" spans="9:20">
      <c r="I1204" s="1" t="s">
        <v>50</v>
      </c>
      <c r="J1204" s="1" t="s">
        <v>4</v>
      </c>
      <c r="K1204" s="1" t="s">
        <v>11</v>
      </c>
      <c r="L1204" s="1">
        <v>0.9</v>
      </c>
      <c r="M1204" s="1">
        <v>0.99</v>
      </c>
      <c r="N1204" s="1" t="s">
        <v>83</v>
      </c>
      <c r="O1204" s="1" t="s">
        <v>1285</v>
      </c>
      <c r="P1204" s="1">
        <v>4000</v>
      </c>
      <c r="T1204"/>
    </row>
    <row r="1205" spans="9:20">
      <c r="I1205" s="1" t="s">
        <v>50</v>
      </c>
      <c r="J1205" s="1" t="s">
        <v>5</v>
      </c>
      <c r="K1205" s="1" t="s">
        <v>11</v>
      </c>
      <c r="L1205" s="1">
        <v>0.9</v>
      </c>
      <c r="M1205" s="1">
        <v>0.99</v>
      </c>
      <c r="N1205" s="1" t="s">
        <v>83</v>
      </c>
      <c r="O1205" s="1" t="s">
        <v>1286</v>
      </c>
      <c r="P1205" s="1">
        <v>3500</v>
      </c>
      <c r="T1205"/>
    </row>
    <row r="1206" spans="9:20">
      <c r="I1206" s="1" t="s">
        <v>50</v>
      </c>
      <c r="J1206" s="1" t="s">
        <v>6</v>
      </c>
      <c r="K1206" s="1" t="s">
        <v>11</v>
      </c>
      <c r="L1206" s="1">
        <v>0.9</v>
      </c>
      <c r="M1206" s="1">
        <v>0.99</v>
      </c>
      <c r="N1206" s="1" t="s">
        <v>83</v>
      </c>
      <c r="O1206" s="1" t="s">
        <v>1287</v>
      </c>
      <c r="P1206" s="1">
        <v>2800</v>
      </c>
      <c r="T1206"/>
    </row>
    <row r="1207" spans="9:20">
      <c r="I1207" s="1" t="s">
        <v>50</v>
      </c>
      <c r="J1207" s="1" t="s">
        <v>7</v>
      </c>
      <c r="K1207" s="1" t="s">
        <v>11</v>
      </c>
      <c r="L1207" s="1">
        <v>0.9</v>
      </c>
      <c r="M1207" s="1">
        <v>0.99</v>
      </c>
      <c r="N1207" s="1" t="s">
        <v>83</v>
      </c>
      <c r="O1207" s="1" t="s">
        <v>1288</v>
      </c>
      <c r="P1207" s="1">
        <v>2300</v>
      </c>
      <c r="T1207"/>
    </row>
    <row r="1208" spans="9:20">
      <c r="I1208" s="1" t="s">
        <v>50</v>
      </c>
      <c r="J1208" s="1" t="s">
        <v>75</v>
      </c>
      <c r="K1208" s="1" t="s">
        <v>11</v>
      </c>
      <c r="L1208" s="1">
        <v>0.9</v>
      </c>
      <c r="M1208" s="1">
        <v>0.99</v>
      </c>
      <c r="N1208" s="1" t="s">
        <v>83</v>
      </c>
      <c r="O1208" s="1" t="s">
        <v>1289</v>
      </c>
      <c r="P1208" s="1">
        <v>2100</v>
      </c>
      <c r="T1208"/>
    </row>
    <row r="1209" spans="9:20">
      <c r="I1209" s="1" t="s">
        <v>50</v>
      </c>
      <c r="J1209" s="1" t="s">
        <v>78</v>
      </c>
      <c r="K1209" s="1" t="s">
        <v>11</v>
      </c>
      <c r="L1209" s="1">
        <v>0.9</v>
      </c>
      <c r="M1209" s="1">
        <v>0.99</v>
      </c>
      <c r="N1209" s="1" t="s">
        <v>83</v>
      </c>
      <c r="O1209" s="1" t="s">
        <v>1290</v>
      </c>
      <c r="P1209" s="1">
        <v>2000</v>
      </c>
      <c r="T1209"/>
    </row>
    <row r="1210" spans="9:20">
      <c r="I1210" s="1" t="s">
        <v>50</v>
      </c>
      <c r="J1210" s="1" t="s">
        <v>81</v>
      </c>
      <c r="K1210" s="1" t="s">
        <v>11</v>
      </c>
      <c r="L1210" s="1">
        <v>0.9</v>
      </c>
      <c r="M1210" s="1">
        <v>0.99</v>
      </c>
      <c r="N1210" s="1" t="s">
        <v>83</v>
      </c>
      <c r="O1210" s="1" t="s">
        <v>1291</v>
      </c>
      <c r="P1210" s="1">
        <v>1700</v>
      </c>
      <c r="T1210"/>
    </row>
    <row r="1211" spans="9:20">
      <c r="I1211" s="1" t="s">
        <v>50</v>
      </c>
      <c r="J1211" s="1" t="s">
        <v>84</v>
      </c>
      <c r="K1211" s="1" t="s">
        <v>11</v>
      </c>
      <c r="L1211" s="1">
        <v>0.9</v>
      </c>
      <c r="M1211" s="1">
        <v>0.99</v>
      </c>
      <c r="N1211" s="1" t="s">
        <v>83</v>
      </c>
      <c r="O1211" s="1" t="s">
        <v>1292</v>
      </c>
      <c r="P1211" s="1">
        <v>1200</v>
      </c>
      <c r="T1211"/>
    </row>
    <row r="1212" spans="9:20">
      <c r="I1212" s="1" t="s">
        <v>50</v>
      </c>
      <c r="J1212" s="1" t="s">
        <v>1</v>
      </c>
      <c r="K1212" s="1" t="s">
        <v>12</v>
      </c>
      <c r="L1212" s="1">
        <v>0.9</v>
      </c>
      <c r="M1212" s="1">
        <v>0.99</v>
      </c>
      <c r="N1212" s="1" t="s">
        <v>83</v>
      </c>
      <c r="O1212" s="1" t="s">
        <v>1293</v>
      </c>
      <c r="P1212" s="1">
        <v>4700</v>
      </c>
      <c r="T1212"/>
    </row>
    <row r="1213" spans="9:20">
      <c r="I1213" s="1" t="s">
        <v>50</v>
      </c>
      <c r="J1213" s="1" t="s">
        <v>2</v>
      </c>
      <c r="K1213" s="1" t="s">
        <v>12</v>
      </c>
      <c r="L1213" s="1">
        <v>0.9</v>
      </c>
      <c r="M1213" s="1">
        <v>0.99</v>
      </c>
      <c r="N1213" s="1" t="s">
        <v>83</v>
      </c>
      <c r="O1213" s="1" t="s">
        <v>1294</v>
      </c>
      <c r="P1213" s="1">
        <v>4300</v>
      </c>
      <c r="T1213"/>
    </row>
    <row r="1214" spans="9:20">
      <c r="I1214" s="1" t="s">
        <v>50</v>
      </c>
      <c r="J1214" s="1" t="s">
        <v>3</v>
      </c>
      <c r="K1214" s="1" t="s">
        <v>12</v>
      </c>
      <c r="L1214" s="1">
        <v>0.9</v>
      </c>
      <c r="M1214" s="1">
        <v>0.99</v>
      </c>
      <c r="N1214" s="1" t="s">
        <v>83</v>
      </c>
      <c r="O1214" s="1" t="s">
        <v>1295</v>
      </c>
      <c r="P1214" s="1">
        <v>3900</v>
      </c>
      <c r="T1214"/>
    </row>
    <row r="1215" spans="9:20">
      <c r="I1215" s="1" t="s">
        <v>50</v>
      </c>
      <c r="J1215" s="1" t="s">
        <v>4</v>
      </c>
      <c r="K1215" s="1" t="s">
        <v>12</v>
      </c>
      <c r="L1215" s="1">
        <v>0.9</v>
      </c>
      <c r="M1215" s="1">
        <v>0.99</v>
      </c>
      <c r="N1215" s="1" t="s">
        <v>83</v>
      </c>
      <c r="O1215" s="1" t="s">
        <v>1296</v>
      </c>
      <c r="P1215" s="1">
        <v>3400</v>
      </c>
      <c r="T1215"/>
    </row>
    <row r="1216" spans="9:20">
      <c r="I1216" s="1" t="s">
        <v>50</v>
      </c>
      <c r="J1216" s="1" t="s">
        <v>5</v>
      </c>
      <c r="K1216" s="1" t="s">
        <v>12</v>
      </c>
      <c r="L1216" s="1">
        <v>0.9</v>
      </c>
      <c r="M1216" s="1">
        <v>0.99</v>
      </c>
      <c r="N1216" s="1" t="s">
        <v>83</v>
      </c>
      <c r="O1216" s="1" t="s">
        <v>1297</v>
      </c>
      <c r="P1216" s="1">
        <v>3100</v>
      </c>
      <c r="T1216"/>
    </row>
    <row r="1217" spans="9:20">
      <c r="I1217" s="1" t="s">
        <v>50</v>
      </c>
      <c r="J1217" s="1" t="s">
        <v>6</v>
      </c>
      <c r="K1217" s="1" t="s">
        <v>12</v>
      </c>
      <c r="L1217" s="1">
        <v>0.9</v>
      </c>
      <c r="M1217" s="1">
        <v>0.99</v>
      </c>
      <c r="N1217" s="1" t="s">
        <v>83</v>
      </c>
      <c r="O1217" s="1" t="s">
        <v>1298</v>
      </c>
      <c r="P1217" s="1">
        <v>2600</v>
      </c>
      <c r="T1217"/>
    </row>
    <row r="1218" spans="9:20">
      <c r="I1218" s="1" t="s">
        <v>50</v>
      </c>
      <c r="J1218" s="1" t="s">
        <v>7</v>
      </c>
      <c r="K1218" s="1" t="s">
        <v>12</v>
      </c>
      <c r="L1218" s="1">
        <v>0.9</v>
      </c>
      <c r="M1218" s="1">
        <v>0.99</v>
      </c>
      <c r="N1218" s="1" t="s">
        <v>83</v>
      </c>
      <c r="O1218" s="1" t="s">
        <v>1299</v>
      </c>
      <c r="P1218" s="1">
        <v>2200</v>
      </c>
      <c r="T1218"/>
    </row>
    <row r="1219" spans="9:20">
      <c r="I1219" s="1" t="s">
        <v>50</v>
      </c>
      <c r="J1219" s="1" t="s">
        <v>75</v>
      </c>
      <c r="K1219" s="1" t="s">
        <v>12</v>
      </c>
      <c r="L1219" s="1">
        <v>0.9</v>
      </c>
      <c r="M1219" s="1">
        <v>0.99</v>
      </c>
      <c r="N1219" s="1" t="s">
        <v>83</v>
      </c>
      <c r="O1219" s="1" t="s">
        <v>1300</v>
      </c>
      <c r="P1219" s="1">
        <v>2000</v>
      </c>
      <c r="T1219"/>
    </row>
    <row r="1220" spans="9:20">
      <c r="I1220" s="1" t="s">
        <v>50</v>
      </c>
      <c r="J1220" s="1" t="s">
        <v>78</v>
      </c>
      <c r="K1220" s="1" t="s">
        <v>12</v>
      </c>
      <c r="L1220" s="1">
        <v>0.9</v>
      </c>
      <c r="M1220" s="1">
        <v>0.99</v>
      </c>
      <c r="N1220" s="1" t="s">
        <v>83</v>
      </c>
      <c r="O1220" s="1" t="s">
        <v>1301</v>
      </c>
      <c r="P1220" s="1">
        <v>1900</v>
      </c>
      <c r="T1220"/>
    </row>
    <row r="1221" spans="9:20">
      <c r="I1221" s="1" t="s">
        <v>50</v>
      </c>
      <c r="J1221" s="1" t="s">
        <v>81</v>
      </c>
      <c r="K1221" s="1" t="s">
        <v>12</v>
      </c>
      <c r="L1221" s="1">
        <v>0.9</v>
      </c>
      <c r="M1221" s="1">
        <v>0.99</v>
      </c>
      <c r="N1221" s="1" t="s">
        <v>83</v>
      </c>
      <c r="O1221" s="1" t="s">
        <v>1302</v>
      </c>
      <c r="P1221" s="1">
        <v>1600</v>
      </c>
      <c r="T1221"/>
    </row>
    <row r="1222" spans="9:20">
      <c r="I1222" s="1" t="s">
        <v>50</v>
      </c>
      <c r="J1222" s="1" t="s">
        <v>84</v>
      </c>
      <c r="K1222" s="1" t="s">
        <v>12</v>
      </c>
      <c r="L1222" s="1">
        <v>0.9</v>
      </c>
      <c r="M1222" s="1">
        <v>0.99</v>
      </c>
      <c r="N1222" s="1" t="s">
        <v>83</v>
      </c>
      <c r="O1222" s="1" t="s">
        <v>1303</v>
      </c>
      <c r="P1222" s="1">
        <v>1200</v>
      </c>
      <c r="T1222"/>
    </row>
    <row r="1223" spans="9:20">
      <c r="I1223" s="1" t="s">
        <v>50</v>
      </c>
      <c r="J1223" s="1" t="s">
        <v>1</v>
      </c>
      <c r="K1223" s="1" t="s">
        <v>13</v>
      </c>
      <c r="L1223" s="1">
        <v>0.9</v>
      </c>
      <c r="M1223" s="1">
        <v>0.99</v>
      </c>
      <c r="N1223" s="1" t="s">
        <v>83</v>
      </c>
      <c r="O1223" s="1" t="s">
        <v>1304</v>
      </c>
      <c r="P1223" s="1">
        <v>4100</v>
      </c>
      <c r="T1223"/>
    </row>
    <row r="1224" spans="9:20">
      <c r="I1224" s="1" t="s">
        <v>50</v>
      </c>
      <c r="J1224" s="1" t="s">
        <v>2</v>
      </c>
      <c r="K1224" s="1" t="s">
        <v>13</v>
      </c>
      <c r="L1224" s="1">
        <v>0.9</v>
      </c>
      <c r="M1224" s="1">
        <v>0.99</v>
      </c>
      <c r="N1224" s="1" t="s">
        <v>83</v>
      </c>
      <c r="O1224" s="1" t="s">
        <v>1305</v>
      </c>
      <c r="P1224" s="1">
        <v>3700</v>
      </c>
      <c r="T1224"/>
    </row>
    <row r="1225" spans="9:20">
      <c r="I1225" s="1" t="s">
        <v>50</v>
      </c>
      <c r="J1225" s="1" t="s">
        <v>3</v>
      </c>
      <c r="K1225" s="1" t="s">
        <v>13</v>
      </c>
      <c r="L1225" s="1">
        <v>0.9</v>
      </c>
      <c r="M1225" s="1">
        <v>0.99</v>
      </c>
      <c r="N1225" s="1" t="s">
        <v>83</v>
      </c>
      <c r="O1225" s="1" t="s">
        <v>1306</v>
      </c>
      <c r="P1225" s="1">
        <v>3400</v>
      </c>
      <c r="T1225"/>
    </row>
    <row r="1226" spans="9:20">
      <c r="I1226" s="1" t="s">
        <v>50</v>
      </c>
      <c r="J1226" s="1" t="s">
        <v>4</v>
      </c>
      <c r="K1226" s="1" t="s">
        <v>13</v>
      </c>
      <c r="L1226" s="1">
        <v>0.9</v>
      </c>
      <c r="M1226" s="1">
        <v>0.99</v>
      </c>
      <c r="N1226" s="1" t="s">
        <v>83</v>
      </c>
      <c r="O1226" s="1" t="s">
        <v>1307</v>
      </c>
      <c r="P1226" s="1">
        <v>3000</v>
      </c>
      <c r="T1226"/>
    </row>
    <row r="1227" spans="9:20">
      <c r="I1227" s="1" t="s">
        <v>50</v>
      </c>
      <c r="J1227" s="1" t="s">
        <v>5</v>
      </c>
      <c r="K1227" s="1" t="s">
        <v>13</v>
      </c>
      <c r="L1227" s="1">
        <v>0.9</v>
      </c>
      <c r="M1227" s="1">
        <v>0.99</v>
      </c>
      <c r="N1227" s="1" t="s">
        <v>83</v>
      </c>
      <c r="O1227" s="1" t="s">
        <v>1308</v>
      </c>
      <c r="P1227" s="1">
        <v>2800</v>
      </c>
      <c r="T1227"/>
    </row>
    <row r="1228" spans="9:20">
      <c r="I1228" s="1" t="s">
        <v>50</v>
      </c>
      <c r="J1228" s="1" t="s">
        <v>6</v>
      </c>
      <c r="K1228" s="1" t="s">
        <v>13</v>
      </c>
      <c r="L1228" s="1">
        <v>0.9</v>
      </c>
      <c r="M1228" s="1">
        <v>0.99</v>
      </c>
      <c r="N1228" s="1" t="s">
        <v>83</v>
      </c>
      <c r="O1228" s="1" t="s">
        <v>1309</v>
      </c>
      <c r="P1228" s="1">
        <v>2400</v>
      </c>
      <c r="T1228"/>
    </row>
    <row r="1229" spans="9:20">
      <c r="I1229" s="1" t="s">
        <v>50</v>
      </c>
      <c r="J1229" s="1" t="s">
        <v>7</v>
      </c>
      <c r="K1229" s="1" t="s">
        <v>13</v>
      </c>
      <c r="L1229" s="1">
        <v>0.9</v>
      </c>
      <c r="M1229" s="1">
        <v>0.99</v>
      </c>
      <c r="N1229" s="1" t="s">
        <v>83</v>
      </c>
      <c r="O1229" s="1" t="s">
        <v>1310</v>
      </c>
      <c r="P1229" s="1">
        <v>2000</v>
      </c>
      <c r="T1229"/>
    </row>
    <row r="1230" spans="9:20">
      <c r="I1230" s="1" t="s">
        <v>50</v>
      </c>
      <c r="J1230" s="1" t="s">
        <v>75</v>
      </c>
      <c r="K1230" s="1" t="s">
        <v>13</v>
      </c>
      <c r="L1230" s="1">
        <v>0.9</v>
      </c>
      <c r="M1230" s="1">
        <v>0.99</v>
      </c>
      <c r="N1230" s="1" t="s">
        <v>83</v>
      </c>
      <c r="O1230" s="1" t="s">
        <v>1311</v>
      </c>
      <c r="P1230" s="1">
        <v>1900</v>
      </c>
      <c r="T1230"/>
    </row>
    <row r="1231" spans="9:20">
      <c r="I1231" s="1" t="s">
        <v>50</v>
      </c>
      <c r="J1231" s="1" t="s">
        <v>78</v>
      </c>
      <c r="K1231" s="1" t="s">
        <v>13</v>
      </c>
      <c r="L1231" s="1">
        <v>0.9</v>
      </c>
      <c r="M1231" s="1">
        <v>0.99</v>
      </c>
      <c r="N1231" s="1" t="s">
        <v>83</v>
      </c>
      <c r="O1231" s="1" t="s">
        <v>1312</v>
      </c>
      <c r="P1231" s="1">
        <v>1800</v>
      </c>
      <c r="T1231"/>
    </row>
    <row r="1232" spans="9:20">
      <c r="I1232" s="1" t="s">
        <v>50</v>
      </c>
      <c r="J1232" s="1" t="s">
        <v>81</v>
      </c>
      <c r="K1232" s="1" t="s">
        <v>13</v>
      </c>
      <c r="L1232" s="1">
        <v>0.9</v>
      </c>
      <c r="M1232" s="1">
        <v>0.99</v>
      </c>
      <c r="N1232" s="1" t="s">
        <v>83</v>
      </c>
      <c r="O1232" s="1" t="s">
        <v>1313</v>
      </c>
      <c r="P1232" s="1">
        <v>1500</v>
      </c>
      <c r="T1232"/>
    </row>
    <row r="1233" spans="9:20">
      <c r="I1233" s="1" t="s">
        <v>50</v>
      </c>
      <c r="J1233" s="1" t="s">
        <v>84</v>
      </c>
      <c r="K1233" s="1" t="s">
        <v>13</v>
      </c>
      <c r="L1233" s="1">
        <v>0.9</v>
      </c>
      <c r="M1233" s="1">
        <v>0.99</v>
      </c>
      <c r="N1233" s="1" t="s">
        <v>83</v>
      </c>
      <c r="O1233" s="1" t="s">
        <v>1314</v>
      </c>
      <c r="P1233" s="1">
        <v>1100</v>
      </c>
      <c r="T1233"/>
    </row>
    <row r="1234" spans="9:20">
      <c r="I1234" s="1" t="s">
        <v>50</v>
      </c>
      <c r="J1234" s="1" t="s">
        <v>1</v>
      </c>
      <c r="K1234" s="1" t="s">
        <v>14</v>
      </c>
      <c r="L1234" s="1">
        <v>0.9</v>
      </c>
      <c r="M1234" s="1">
        <v>0.99</v>
      </c>
      <c r="N1234" s="1" t="s">
        <v>83</v>
      </c>
      <c r="O1234" s="1" t="s">
        <v>1315</v>
      </c>
      <c r="P1234" s="1">
        <v>3500</v>
      </c>
      <c r="T1234"/>
    </row>
    <row r="1235" spans="9:20">
      <c r="I1235" s="1" t="s">
        <v>50</v>
      </c>
      <c r="J1235" s="1" t="s">
        <v>2</v>
      </c>
      <c r="K1235" s="1" t="s">
        <v>14</v>
      </c>
      <c r="L1235" s="1">
        <v>0.9</v>
      </c>
      <c r="M1235" s="1">
        <v>0.99</v>
      </c>
      <c r="N1235" s="1" t="s">
        <v>83</v>
      </c>
      <c r="O1235" s="1" t="s">
        <v>1316</v>
      </c>
      <c r="P1235" s="1">
        <v>3200</v>
      </c>
      <c r="T1235"/>
    </row>
    <row r="1236" spans="9:20">
      <c r="I1236" s="1" t="s">
        <v>50</v>
      </c>
      <c r="J1236" s="1" t="s">
        <v>3</v>
      </c>
      <c r="K1236" s="1" t="s">
        <v>14</v>
      </c>
      <c r="L1236" s="1">
        <v>0.9</v>
      </c>
      <c r="M1236" s="1">
        <v>0.99</v>
      </c>
      <c r="N1236" s="1" t="s">
        <v>83</v>
      </c>
      <c r="O1236" s="1" t="s">
        <v>1317</v>
      </c>
      <c r="P1236" s="1">
        <v>2900</v>
      </c>
      <c r="T1236"/>
    </row>
    <row r="1237" spans="9:20">
      <c r="I1237" s="1" t="s">
        <v>50</v>
      </c>
      <c r="J1237" s="1" t="s">
        <v>4</v>
      </c>
      <c r="K1237" s="1" t="s">
        <v>14</v>
      </c>
      <c r="L1237" s="1">
        <v>0.9</v>
      </c>
      <c r="M1237" s="1">
        <v>0.99</v>
      </c>
      <c r="N1237" s="1" t="s">
        <v>83</v>
      </c>
      <c r="O1237" s="1" t="s">
        <v>1318</v>
      </c>
      <c r="P1237" s="1">
        <v>2600</v>
      </c>
      <c r="T1237"/>
    </row>
    <row r="1238" spans="9:20">
      <c r="I1238" s="1" t="s">
        <v>50</v>
      </c>
      <c r="J1238" s="1" t="s">
        <v>5</v>
      </c>
      <c r="K1238" s="1" t="s">
        <v>14</v>
      </c>
      <c r="L1238" s="1">
        <v>0.9</v>
      </c>
      <c r="M1238" s="1">
        <v>0.99</v>
      </c>
      <c r="N1238" s="1" t="s">
        <v>83</v>
      </c>
      <c r="O1238" s="1" t="s">
        <v>1319</v>
      </c>
      <c r="P1238" s="1">
        <v>2400</v>
      </c>
      <c r="T1238"/>
    </row>
    <row r="1239" spans="9:20">
      <c r="I1239" s="1" t="s">
        <v>50</v>
      </c>
      <c r="J1239" s="1" t="s">
        <v>6</v>
      </c>
      <c r="K1239" s="1" t="s">
        <v>14</v>
      </c>
      <c r="L1239" s="1">
        <v>0.9</v>
      </c>
      <c r="M1239" s="1">
        <v>0.99</v>
      </c>
      <c r="N1239" s="1" t="s">
        <v>83</v>
      </c>
      <c r="O1239" s="1" t="s">
        <v>1320</v>
      </c>
      <c r="P1239" s="1">
        <v>2100</v>
      </c>
      <c r="T1239"/>
    </row>
    <row r="1240" spans="9:20">
      <c r="I1240" s="1" t="s">
        <v>50</v>
      </c>
      <c r="J1240" s="1" t="s">
        <v>7</v>
      </c>
      <c r="K1240" s="1" t="s">
        <v>14</v>
      </c>
      <c r="L1240" s="1">
        <v>0.9</v>
      </c>
      <c r="M1240" s="1">
        <v>0.99</v>
      </c>
      <c r="N1240" s="1" t="s">
        <v>83</v>
      </c>
      <c r="O1240" s="1" t="s">
        <v>1321</v>
      </c>
      <c r="P1240" s="1">
        <v>1900</v>
      </c>
      <c r="T1240"/>
    </row>
    <row r="1241" spans="9:20">
      <c r="I1241" s="1" t="s">
        <v>50</v>
      </c>
      <c r="J1241" s="1" t="s">
        <v>75</v>
      </c>
      <c r="K1241" s="1" t="s">
        <v>14</v>
      </c>
      <c r="L1241" s="1">
        <v>0.9</v>
      </c>
      <c r="M1241" s="1">
        <v>0.99</v>
      </c>
      <c r="N1241" s="1" t="s">
        <v>83</v>
      </c>
      <c r="O1241" s="1" t="s">
        <v>1322</v>
      </c>
      <c r="P1241" s="1">
        <v>1800</v>
      </c>
      <c r="T1241"/>
    </row>
    <row r="1242" spans="9:20">
      <c r="I1242" s="1" t="s">
        <v>50</v>
      </c>
      <c r="J1242" s="1" t="s">
        <v>78</v>
      </c>
      <c r="K1242" s="1" t="s">
        <v>14</v>
      </c>
      <c r="L1242" s="1">
        <v>0.9</v>
      </c>
      <c r="M1242" s="1">
        <v>0.99</v>
      </c>
      <c r="N1242" s="1" t="s">
        <v>83</v>
      </c>
      <c r="O1242" s="1" t="s">
        <v>1323</v>
      </c>
      <c r="P1242" s="1">
        <v>1700</v>
      </c>
      <c r="T1242"/>
    </row>
    <row r="1243" spans="9:20">
      <c r="I1243" s="1" t="s">
        <v>50</v>
      </c>
      <c r="J1243" s="1" t="s">
        <v>81</v>
      </c>
      <c r="K1243" s="1" t="s">
        <v>14</v>
      </c>
      <c r="L1243" s="1">
        <v>0.9</v>
      </c>
      <c r="M1243" s="1">
        <v>0.99</v>
      </c>
      <c r="N1243" s="1" t="s">
        <v>83</v>
      </c>
      <c r="O1243" s="1" t="s">
        <v>1324</v>
      </c>
      <c r="P1243" s="1">
        <v>1400</v>
      </c>
      <c r="T1243"/>
    </row>
    <row r="1244" spans="9:20">
      <c r="I1244" s="1" t="s">
        <v>50</v>
      </c>
      <c r="J1244" s="1" t="s">
        <v>84</v>
      </c>
      <c r="K1244" s="1" t="s">
        <v>14</v>
      </c>
      <c r="L1244" s="1">
        <v>0.9</v>
      </c>
      <c r="M1244" s="1">
        <v>0.99</v>
      </c>
      <c r="N1244" s="1" t="s">
        <v>83</v>
      </c>
      <c r="O1244" s="1" t="s">
        <v>1325</v>
      </c>
      <c r="P1244" s="1">
        <v>1000</v>
      </c>
      <c r="T1244"/>
    </row>
    <row r="1245" spans="9:20">
      <c r="I1245" s="1" t="s">
        <v>50</v>
      </c>
      <c r="J1245" s="1" t="s">
        <v>1</v>
      </c>
      <c r="K1245" s="1" t="s">
        <v>15</v>
      </c>
      <c r="L1245" s="1">
        <v>0.9</v>
      </c>
      <c r="M1245" s="1">
        <v>0.99</v>
      </c>
      <c r="N1245" s="1" t="s">
        <v>83</v>
      </c>
      <c r="O1245" s="1" t="s">
        <v>1326</v>
      </c>
      <c r="P1245" s="1">
        <v>3000</v>
      </c>
      <c r="T1245"/>
    </row>
    <row r="1246" spans="9:20">
      <c r="I1246" s="1" t="s">
        <v>50</v>
      </c>
      <c r="J1246" s="1" t="s">
        <v>2</v>
      </c>
      <c r="K1246" s="1" t="s">
        <v>15</v>
      </c>
      <c r="L1246" s="1">
        <v>0.9</v>
      </c>
      <c r="M1246" s="1">
        <v>0.99</v>
      </c>
      <c r="N1246" s="1" t="s">
        <v>83</v>
      </c>
      <c r="O1246" s="1" t="s">
        <v>1327</v>
      </c>
      <c r="P1246" s="1">
        <v>2700</v>
      </c>
      <c r="T1246"/>
    </row>
    <row r="1247" spans="9:20">
      <c r="I1247" s="1" t="s">
        <v>50</v>
      </c>
      <c r="J1247" s="1" t="s">
        <v>3</v>
      </c>
      <c r="K1247" s="1" t="s">
        <v>15</v>
      </c>
      <c r="L1247" s="1">
        <v>0.9</v>
      </c>
      <c r="M1247" s="1">
        <v>0.99</v>
      </c>
      <c r="N1247" s="1" t="s">
        <v>83</v>
      </c>
      <c r="O1247" s="1" t="s">
        <v>1328</v>
      </c>
      <c r="P1247" s="1">
        <v>2500</v>
      </c>
      <c r="T1247"/>
    </row>
    <row r="1248" spans="9:20">
      <c r="I1248" s="1" t="s">
        <v>50</v>
      </c>
      <c r="J1248" s="1" t="s">
        <v>4</v>
      </c>
      <c r="K1248" s="1" t="s">
        <v>15</v>
      </c>
      <c r="L1248" s="1">
        <v>0.9</v>
      </c>
      <c r="M1248" s="1">
        <v>0.99</v>
      </c>
      <c r="N1248" s="1" t="s">
        <v>83</v>
      </c>
      <c r="O1248" s="1" t="s">
        <v>1329</v>
      </c>
      <c r="P1248" s="1">
        <v>2300</v>
      </c>
      <c r="T1248"/>
    </row>
    <row r="1249" spans="9:20">
      <c r="I1249" s="1" t="s">
        <v>50</v>
      </c>
      <c r="J1249" s="1" t="s">
        <v>5</v>
      </c>
      <c r="K1249" s="1" t="s">
        <v>15</v>
      </c>
      <c r="L1249" s="1">
        <v>0.9</v>
      </c>
      <c r="M1249" s="1">
        <v>0.99</v>
      </c>
      <c r="N1249" s="1" t="s">
        <v>83</v>
      </c>
      <c r="O1249" s="1" t="s">
        <v>1330</v>
      </c>
      <c r="P1249" s="1">
        <v>2100</v>
      </c>
      <c r="T1249"/>
    </row>
    <row r="1250" spans="9:20">
      <c r="I1250" s="1" t="s">
        <v>50</v>
      </c>
      <c r="J1250" s="1" t="s">
        <v>6</v>
      </c>
      <c r="K1250" s="1" t="s">
        <v>15</v>
      </c>
      <c r="L1250" s="1">
        <v>0.9</v>
      </c>
      <c r="M1250" s="1">
        <v>0.99</v>
      </c>
      <c r="N1250" s="1" t="s">
        <v>83</v>
      </c>
      <c r="O1250" s="1" t="s">
        <v>1331</v>
      </c>
      <c r="P1250" s="1">
        <v>1900</v>
      </c>
      <c r="T1250"/>
    </row>
    <row r="1251" spans="9:20">
      <c r="I1251" s="1" t="s">
        <v>50</v>
      </c>
      <c r="J1251" s="1" t="s">
        <v>7</v>
      </c>
      <c r="K1251" s="1" t="s">
        <v>15</v>
      </c>
      <c r="L1251" s="1">
        <v>0.9</v>
      </c>
      <c r="M1251" s="1">
        <v>0.99</v>
      </c>
      <c r="N1251" s="1" t="s">
        <v>83</v>
      </c>
      <c r="O1251" s="1" t="s">
        <v>1332</v>
      </c>
      <c r="P1251" s="1">
        <v>1700</v>
      </c>
      <c r="T1251"/>
    </row>
    <row r="1252" spans="9:20">
      <c r="I1252" s="1" t="s">
        <v>50</v>
      </c>
      <c r="J1252" s="1" t="s">
        <v>75</v>
      </c>
      <c r="K1252" s="1" t="s">
        <v>15</v>
      </c>
      <c r="L1252" s="1">
        <v>0.9</v>
      </c>
      <c r="M1252" s="1">
        <v>0.99</v>
      </c>
      <c r="N1252" s="1" t="s">
        <v>83</v>
      </c>
      <c r="O1252" s="1" t="s">
        <v>1333</v>
      </c>
      <c r="P1252" s="1">
        <v>1600</v>
      </c>
      <c r="T1252"/>
    </row>
    <row r="1253" spans="9:20">
      <c r="I1253" s="1" t="s">
        <v>50</v>
      </c>
      <c r="J1253" s="1" t="s">
        <v>78</v>
      </c>
      <c r="K1253" s="1" t="s">
        <v>15</v>
      </c>
      <c r="L1253" s="1">
        <v>0.9</v>
      </c>
      <c r="M1253" s="1">
        <v>0.99</v>
      </c>
      <c r="N1253" s="1" t="s">
        <v>83</v>
      </c>
      <c r="O1253" s="1" t="s">
        <v>1334</v>
      </c>
      <c r="P1253" s="1">
        <v>1500</v>
      </c>
      <c r="T1253"/>
    </row>
    <row r="1254" spans="9:20">
      <c r="I1254" s="1" t="s">
        <v>50</v>
      </c>
      <c r="J1254" s="1" t="s">
        <v>81</v>
      </c>
      <c r="K1254" s="1" t="s">
        <v>15</v>
      </c>
      <c r="L1254" s="1">
        <v>0.9</v>
      </c>
      <c r="M1254" s="1">
        <v>0.99</v>
      </c>
      <c r="N1254" s="1" t="s">
        <v>83</v>
      </c>
      <c r="O1254" s="1" t="s">
        <v>1335</v>
      </c>
      <c r="P1254" s="1">
        <v>1300</v>
      </c>
      <c r="T1254"/>
    </row>
    <row r="1255" spans="9:20">
      <c r="I1255" s="1" t="s">
        <v>50</v>
      </c>
      <c r="J1255" s="1" t="s">
        <v>84</v>
      </c>
      <c r="K1255" s="1" t="s">
        <v>15</v>
      </c>
      <c r="L1255" s="1">
        <v>0.9</v>
      </c>
      <c r="M1255" s="1">
        <v>0.99</v>
      </c>
      <c r="N1255" s="1" t="s">
        <v>83</v>
      </c>
      <c r="O1255" s="1" t="s">
        <v>1336</v>
      </c>
      <c r="P1255" s="1">
        <v>900</v>
      </c>
      <c r="T1255"/>
    </row>
    <row r="1256" spans="9:20">
      <c r="I1256" s="1" t="s">
        <v>50</v>
      </c>
      <c r="J1256" s="1" t="s">
        <v>1</v>
      </c>
      <c r="K1256" s="1" t="s">
        <v>16</v>
      </c>
      <c r="L1256" s="1">
        <v>0.9</v>
      </c>
      <c r="M1256" s="1">
        <v>0.99</v>
      </c>
      <c r="N1256" s="1" t="s">
        <v>83</v>
      </c>
      <c r="O1256" s="1" t="s">
        <v>1337</v>
      </c>
      <c r="P1256" s="1">
        <v>2600</v>
      </c>
      <c r="T1256"/>
    </row>
    <row r="1257" spans="9:20">
      <c r="I1257" s="1" t="s">
        <v>50</v>
      </c>
      <c r="J1257" s="1" t="s">
        <v>2</v>
      </c>
      <c r="K1257" s="1" t="s">
        <v>16</v>
      </c>
      <c r="L1257" s="1">
        <v>0.9</v>
      </c>
      <c r="M1257" s="1">
        <v>0.99</v>
      </c>
      <c r="N1257" s="1" t="s">
        <v>83</v>
      </c>
      <c r="O1257" s="1" t="s">
        <v>1338</v>
      </c>
      <c r="P1257" s="1">
        <v>2300</v>
      </c>
      <c r="T1257"/>
    </row>
    <row r="1258" spans="9:20">
      <c r="I1258" s="1" t="s">
        <v>50</v>
      </c>
      <c r="J1258" s="1" t="s">
        <v>3</v>
      </c>
      <c r="K1258" s="1" t="s">
        <v>16</v>
      </c>
      <c r="L1258" s="1">
        <v>0.9</v>
      </c>
      <c r="M1258" s="1">
        <v>0.99</v>
      </c>
      <c r="N1258" s="1" t="s">
        <v>83</v>
      </c>
      <c r="O1258" s="1" t="s">
        <v>1339</v>
      </c>
      <c r="P1258" s="1">
        <v>2100</v>
      </c>
      <c r="T1258"/>
    </row>
    <row r="1259" spans="9:20">
      <c r="I1259" s="1" t="s">
        <v>50</v>
      </c>
      <c r="J1259" s="1" t="s">
        <v>4</v>
      </c>
      <c r="K1259" s="1" t="s">
        <v>16</v>
      </c>
      <c r="L1259" s="1">
        <v>0.9</v>
      </c>
      <c r="M1259" s="1">
        <v>0.99</v>
      </c>
      <c r="N1259" s="1" t="s">
        <v>83</v>
      </c>
      <c r="O1259" s="1" t="s">
        <v>1340</v>
      </c>
      <c r="P1259" s="1">
        <v>2000</v>
      </c>
      <c r="T1259"/>
    </row>
    <row r="1260" spans="9:20">
      <c r="I1260" s="1" t="s">
        <v>50</v>
      </c>
      <c r="J1260" s="1" t="s">
        <v>5</v>
      </c>
      <c r="K1260" s="1" t="s">
        <v>16</v>
      </c>
      <c r="L1260" s="1">
        <v>0.9</v>
      </c>
      <c r="M1260" s="1">
        <v>0.99</v>
      </c>
      <c r="N1260" s="1" t="s">
        <v>83</v>
      </c>
      <c r="O1260" s="1" t="s">
        <v>1341</v>
      </c>
      <c r="P1260" s="1">
        <v>1800</v>
      </c>
      <c r="T1260"/>
    </row>
    <row r="1261" spans="9:20">
      <c r="I1261" s="1" t="s">
        <v>50</v>
      </c>
      <c r="J1261" s="1" t="s">
        <v>6</v>
      </c>
      <c r="K1261" s="1" t="s">
        <v>16</v>
      </c>
      <c r="L1261" s="1">
        <v>0.9</v>
      </c>
      <c r="M1261" s="1">
        <v>0.99</v>
      </c>
      <c r="N1261" s="1" t="s">
        <v>83</v>
      </c>
      <c r="O1261" s="1" t="s">
        <v>1342</v>
      </c>
      <c r="P1261" s="1">
        <v>1600</v>
      </c>
      <c r="T1261"/>
    </row>
    <row r="1262" spans="9:20">
      <c r="I1262" s="1" t="s">
        <v>50</v>
      </c>
      <c r="J1262" s="1" t="s">
        <v>7</v>
      </c>
      <c r="K1262" s="1" t="s">
        <v>16</v>
      </c>
      <c r="L1262" s="1">
        <v>0.9</v>
      </c>
      <c r="M1262" s="1">
        <v>0.99</v>
      </c>
      <c r="N1262" s="1" t="s">
        <v>83</v>
      </c>
      <c r="O1262" s="1" t="s">
        <v>1343</v>
      </c>
      <c r="P1262" s="1">
        <v>1500</v>
      </c>
      <c r="T1262"/>
    </row>
    <row r="1263" spans="9:20">
      <c r="I1263" s="1" t="s">
        <v>50</v>
      </c>
      <c r="J1263" s="1" t="s">
        <v>75</v>
      </c>
      <c r="K1263" s="1" t="s">
        <v>16</v>
      </c>
      <c r="L1263" s="1">
        <v>0.9</v>
      </c>
      <c r="M1263" s="1">
        <v>0.99</v>
      </c>
      <c r="N1263" s="1" t="s">
        <v>83</v>
      </c>
      <c r="O1263" s="1" t="s">
        <v>1344</v>
      </c>
      <c r="P1263" s="1">
        <v>1500</v>
      </c>
      <c r="T1263"/>
    </row>
    <row r="1264" spans="9:20">
      <c r="I1264" s="1" t="s">
        <v>50</v>
      </c>
      <c r="J1264" s="1" t="s">
        <v>78</v>
      </c>
      <c r="K1264" s="1" t="s">
        <v>16</v>
      </c>
      <c r="L1264" s="1">
        <v>0.9</v>
      </c>
      <c r="M1264" s="1">
        <v>0.99</v>
      </c>
      <c r="N1264" s="1" t="s">
        <v>83</v>
      </c>
      <c r="O1264" s="1" t="s">
        <v>1345</v>
      </c>
      <c r="P1264" s="1">
        <v>1400</v>
      </c>
      <c r="T1264"/>
    </row>
    <row r="1265" spans="9:20">
      <c r="I1265" s="1" t="s">
        <v>50</v>
      </c>
      <c r="J1265" s="1" t="s">
        <v>81</v>
      </c>
      <c r="K1265" s="1" t="s">
        <v>16</v>
      </c>
      <c r="L1265" s="1">
        <v>0.9</v>
      </c>
      <c r="M1265" s="1">
        <v>0.99</v>
      </c>
      <c r="N1265" s="1" t="s">
        <v>83</v>
      </c>
      <c r="O1265" s="1" t="s">
        <v>1346</v>
      </c>
      <c r="P1265" s="1">
        <v>1200</v>
      </c>
      <c r="T1265"/>
    </row>
    <row r="1266" spans="9:20">
      <c r="I1266" s="1" t="s">
        <v>50</v>
      </c>
      <c r="J1266" s="1" t="s">
        <v>84</v>
      </c>
      <c r="K1266" s="1" t="s">
        <v>16</v>
      </c>
      <c r="L1266" s="1">
        <v>0.9</v>
      </c>
      <c r="M1266" s="1">
        <v>0.99</v>
      </c>
      <c r="N1266" s="1" t="s">
        <v>83</v>
      </c>
      <c r="O1266" s="1" t="s">
        <v>1347</v>
      </c>
      <c r="P1266" s="1">
        <v>800</v>
      </c>
      <c r="T1266"/>
    </row>
    <row r="1267" spans="9:20">
      <c r="I1267" s="1" t="s">
        <v>50</v>
      </c>
      <c r="J1267" s="1" t="s">
        <v>1</v>
      </c>
      <c r="K1267" s="1" t="s">
        <v>17</v>
      </c>
      <c r="L1267" s="1">
        <v>0.9</v>
      </c>
      <c r="M1267" s="1">
        <v>0.99</v>
      </c>
      <c r="N1267" s="1" t="s">
        <v>83</v>
      </c>
      <c r="O1267" s="1" t="s">
        <v>1348</v>
      </c>
      <c r="P1267" s="1">
        <v>2300</v>
      </c>
      <c r="T1267"/>
    </row>
    <row r="1268" spans="9:20">
      <c r="I1268" s="1" t="s">
        <v>50</v>
      </c>
      <c r="J1268" s="1" t="s">
        <v>2</v>
      </c>
      <c r="K1268" s="1" t="s">
        <v>17</v>
      </c>
      <c r="L1268" s="1">
        <v>0.9</v>
      </c>
      <c r="M1268" s="1">
        <v>0.99</v>
      </c>
      <c r="N1268" s="1" t="s">
        <v>83</v>
      </c>
      <c r="O1268" s="1" t="s">
        <v>1349</v>
      </c>
      <c r="P1268" s="1">
        <v>2000</v>
      </c>
      <c r="T1268"/>
    </row>
    <row r="1269" spans="9:20">
      <c r="I1269" s="1" t="s">
        <v>50</v>
      </c>
      <c r="J1269" s="1" t="s">
        <v>3</v>
      </c>
      <c r="K1269" s="1" t="s">
        <v>17</v>
      </c>
      <c r="L1269" s="1">
        <v>0.9</v>
      </c>
      <c r="M1269" s="1">
        <v>0.99</v>
      </c>
      <c r="N1269" s="1" t="s">
        <v>83</v>
      </c>
      <c r="O1269" s="1" t="s">
        <v>1350</v>
      </c>
      <c r="P1269" s="1">
        <v>1800</v>
      </c>
      <c r="T1269"/>
    </row>
    <row r="1270" spans="9:20">
      <c r="I1270" s="1" t="s">
        <v>50</v>
      </c>
      <c r="J1270" s="1" t="s">
        <v>4</v>
      </c>
      <c r="K1270" s="1" t="s">
        <v>17</v>
      </c>
      <c r="L1270" s="1">
        <v>0.9</v>
      </c>
      <c r="M1270" s="1">
        <v>0.99</v>
      </c>
      <c r="N1270" s="1" t="s">
        <v>83</v>
      </c>
      <c r="O1270" s="1" t="s">
        <v>1351</v>
      </c>
      <c r="P1270" s="1">
        <v>1700</v>
      </c>
      <c r="T1270"/>
    </row>
    <row r="1271" spans="9:20">
      <c r="I1271" s="1" t="s">
        <v>50</v>
      </c>
      <c r="J1271" s="1" t="s">
        <v>5</v>
      </c>
      <c r="K1271" s="1" t="s">
        <v>17</v>
      </c>
      <c r="L1271" s="1">
        <v>0.9</v>
      </c>
      <c r="M1271" s="1">
        <v>0.99</v>
      </c>
      <c r="N1271" s="1" t="s">
        <v>83</v>
      </c>
      <c r="O1271" s="1" t="s">
        <v>1352</v>
      </c>
      <c r="P1271" s="1">
        <v>1600</v>
      </c>
      <c r="T1271"/>
    </row>
    <row r="1272" spans="9:20">
      <c r="I1272" s="1" t="s">
        <v>50</v>
      </c>
      <c r="J1272" s="1" t="s">
        <v>6</v>
      </c>
      <c r="K1272" s="1" t="s">
        <v>17</v>
      </c>
      <c r="L1272" s="1">
        <v>0.9</v>
      </c>
      <c r="M1272" s="1">
        <v>0.99</v>
      </c>
      <c r="N1272" s="1" t="s">
        <v>83</v>
      </c>
      <c r="O1272" s="1" t="s">
        <v>1353</v>
      </c>
      <c r="P1272" s="1">
        <v>1500</v>
      </c>
      <c r="T1272"/>
    </row>
    <row r="1273" spans="9:20">
      <c r="I1273" s="1" t="s">
        <v>50</v>
      </c>
      <c r="J1273" s="1" t="s">
        <v>7</v>
      </c>
      <c r="K1273" s="1" t="s">
        <v>17</v>
      </c>
      <c r="L1273" s="1">
        <v>0.9</v>
      </c>
      <c r="M1273" s="1">
        <v>0.99</v>
      </c>
      <c r="N1273" s="1" t="s">
        <v>83</v>
      </c>
      <c r="O1273" s="1" t="s">
        <v>1354</v>
      </c>
      <c r="P1273" s="1">
        <v>1400</v>
      </c>
      <c r="T1273"/>
    </row>
    <row r="1274" spans="9:20">
      <c r="I1274" s="1" t="s">
        <v>50</v>
      </c>
      <c r="J1274" s="1" t="s">
        <v>75</v>
      </c>
      <c r="K1274" s="1" t="s">
        <v>17</v>
      </c>
      <c r="L1274" s="1">
        <v>0.9</v>
      </c>
      <c r="M1274" s="1">
        <v>0.99</v>
      </c>
      <c r="N1274" s="1" t="s">
        <v>83</v>
      </c>
      <c r="O1274" s="1" t="s">
        <v>1355</v>
      </c>
      <c r="P1274" s="1">
        <v>1400</v>
      </c>
      <c r="T1274"/>
    </row>
    <row r="1275" spans="9:20">
      <c r="I1275" s="1" t="s">
        <v>50</v>
      </c>
      <c r="J1275" s="1" t="s">
        <v>78</v>
      </c>
      <c r="K1275" s="1" t="s">
        <v>17</v>
      </c>
      <c r="L1275" s="1">
        <v>0.9</v>
      </c>
      <c r="M1275" s="1">
        <v>0.99</v>
      </c>
      <c r="N1275" s="1" t="s">
        <v>83</v>
      </c>
      <c r="O1275" s="1" t="s">
        <v>1356</v>
      </c>
      <c r="P1275" s="1">
        <v>1300</v>
      </c>
      <c r="T1275"/>
    </row>
    <row r="1276" spans="9:20">
      <c r="I1276" s="1" t="s">
        <v>50</v>
      </c>
      <c r="J1276" s="1" t="s">
        <v>81</v>
      </c>
      <c r="K1276" s="1" t="s">
        <v>17</v>
      </c>
      <c r="L1276" s="1">
        <v>0.9</v>
      </c>
      <c r="M1276" s="1">
        <v>0.99</v>
      </c>
      <c r="N1276" s="1" t="s">
        <v>83</v>
      </c>
      <c r="O1276" s="1" t="s">
        <v>1357</v>
      </c>
      <c r="P1276" s="1">
        <v>1000</v>
      </c>
      <c r="T1276"/>
    </row>
    <row r="1277" spans="9:20">
      <c r="I1277" s="1" t="s">
        <v>50</v>
      </c>
      <c r="J1277" s="1" t="s">
        <v>84</v>
      </c>
      <c r="K1277" s="1" t="s">
        <v>17</v>
      </c>
      <c r="L1277" s="1">
        <v>0.9</v>
      </c>
      <c r="M1277" s="1">
        <v>0.99</v>
      </c>
      <c r="N1277" s="1" t="s">
        <v>83</v>
      </c>
      <c r="O1277" s="1" t="s">
        <v>1358</v>
      </c>
      <c r="P1277" s="1">
        <v>700</v>
      </c>
      <c r="T1277"/>
    </row>
    <row r="1278" spans="9:20">
      <c r="I1278" s="1" t="s">
        <v>50</v>
      </c>
      <c r="J1278" s="1" t="s">
        <v>1</v>
      </c>
      <c r="K1278" s="1" t="s">
        <v>8</v>
      </c>
      <c r="L1278" s="1">
        <v>1</v>
      </c>
      <c r="M1278" s="1">
        <v>1.49</v>
      </c>
      <c r="N1278" s="1" t="s">
        <v>86</v>
      </c>
      <c r="O1278" s="1" t="s">
        <v>1359</v>
      </c>
      <c r="P1278" s="1">
        <v>15000</v>
      </c>
      <c r="T1278"/>
    </row>
    <row r="1279" spans="9:20">
      <c r="I1279" s="1" t="s">
        <v>50</v>
      </c>
      <c r="J1279" s="1" t="s">
        <v>2</v>
      </c>
      <c r="K1279" s="1" t="s">
        <v>8</v>
      </c>
      <c r="L1279" s="1">
        <v>1</v>
      </c>
      <c r="M1279" s="1">
        <v>1.49</v>
      </c>
      <c r="N1279" s="1" t="s">
        <v>86</v>
      </c>
      <c r="O1279" s="1" t="s">
        <v>1360</v>
      </c>
      <c r="P1279" s="1">
        <v>11800</v>
      </c>
      <c r="T1279"/>
    </row>
    <row r="1280" spans="9:20">
      <c r="I1280" s="1" t="s">
        <v>50</v>
      </c>
      <c r="J1280" s="1" t="s">
        <v>3</v>
      </c>
      <c r="K1280" s="1" t="s">
        <v>8</v>
      </c>
      <c r="L1280" s="1">
        <v>1</v>
      </c>
      <c r="M1280" s="1">
        <v>1.49</v>
      </c>
      <c r="N1280" s="1" t="s">
        <v>86</v>
      </c>
      <c r="O1280" s="1" t="s">
        <v>1361</v>
      </c>
      <c r="P1280" s="1">
        <v>8900</v>
      </c>
      <c r="T1280"/>
    </row>
    <row r="1281" spans="9:20">
      <c r="I1281" s="1" t="s">
        <v>50</v>
      </c>
      <c r="J1281" s="1" t="s">
        <v>4</v>
      </c>
      <c r="K1281" s="1" t="s">
        <v>8</v>
      </c>
      <c r="L1281" s="1">
        <v>1</v>
      </c>
      <c r="M1281" s="1">
        <v>1.49</v>
      </c>
      <c r="N1281" s="1" t="s">
        <v>86</v>
      </c>
      <c r="O1281" s="1" t="s">
        <v>1362</v>
      </c>
      <c r="P1281" s="1">
        <v>7600</v>
      </c>
      <c r="T1281"/>
    </row>
    <row r="1282" spans="9:20">
      <c r="I1282" s="1" t="s">
        <v>50</v>
      </c>
      <c r="J1282" s="1" t="s">
        <v>5</v>
      </c>
      <c r="K1282" s="1" t="s">
        <v>8</v>
      </c>
      <c r="L1282" s="1">
        <v>1</v>
      </c>
      <c r="M1282" s="1">
        <v>1.49</v>
      </c>
      <c r="N1282" s="1" t="s">
        <v>86</v>
      </c>
      <c r="O1282" s="1" t="s">
        <v>1363</v>
      </c>
      <c r="P1282" s="1">
        <v>6300</v>
      </c>
      <c r="T1282"/>
    </row>
    <row r="1283" spans="9:20">
      <c r="I1283" s="1" t="s">
        <v>50</v>
      </c>
      <c r="J1283" s="1" t="s">
        <v>6</v>
      </c>
      <c r="K1283" s="1" t="s">
        <v>8</v>
      </c>
      <c r="L1283" s="1">
        <v>1</v>
      </c>
      <c r="M1283" s="1">
        <v>1.49</v>
      </c>
      <c r="N1283" s="1" t="s">
        <v>86</v>
      </c>
      <c r="O1283" s="1" t="s">
        <v>1364</v>
      </c>
      <c r="P1283" s="1">
        <v>4800</v>
      </c>
      <c r="T1283"/>
    </row>
    <row r="1284" spans="9:20">
      <c r="I1284" s="1" t="s">
        <v>50</v>
      </c>
      <c r="J1284" s="1" t="s">
        <v>7</v>
      </c>
      <c r="K1284" s="1" t="s">
        <v>8</v>
      </c>
      <c r="L1284" s="1">
        <v>1</v>
      </c>
      <c r="M1284" s="1">
        <v>1.49</v>
      </c>
      <c r="N1284" s="1" t="s">
        <v>86</v>
      </c>
      <c r="O1284" s="1" t="s">
        <v>1365</v>
      </c>
      <c r="P1284" s="1">
        <v>3700</v>
      </c>
      <c r="T1284"/>
    </row>
    <row r="1285" spans="9:20">
      <c r="I1285" s="1" t="s">
        <v>50</v>
      </c>
      <c r="J1285" s="1" t="s">
        <v>75</v>
      </c>
      <c r="K1285" s="1" t="s">
        <v>8</v>
      </c>
      <c r="L1285" s="1">
        <v>1</v>
      </c>
      <c r="M1285" s="1">
        <v>1.49</v>
      </c>
      <c r="N1285" s="1" t="s">
        <v>86</v>
      </c>
      <c r="O1285" s="1" t="s">
        <v>1366</v>
      </c>
      <c r="P1285" s="1">
        <v>3200</v>
      </c>
      <c r="T1285"/>
    </row>
    <row r="1286" spans="9:20">
      <c r="I1286" s="1" t="s">
        <v>50</v>
      </c>
      <c r="J1286" s="1" t="s">
        <v>78</v>
      </c>
      <c r="K1286" s="1" t="s">
        <v>8</v>
      </c>
      <c r="L1286" s="1">
        <v>1</v>
      </c>
      <c r="M1286" s="1">
        <v>1.49</v>
      </c>
      <c r="N1286" s="1" t="s">
        <v>86</v>
      </c>
      <c r="O1286" s="1" t="s">
        <v>1367</v>
      </c>
      <c r="P1286" s="1">
        <v>3000</v>
      </c>
      <c r="T1286"/>
    </row>
    <row r="1287" spans="9:20">
      <c r="I1287" s="1" t="s">
        <v>50</v>
      </c>
      <c r="J1287" s="1" t="s">
        <v>81</v>
      </c>
      <c r="K1287" s="1" t="s">
        <v>8</v>
      </c>
      <c r="L1287" s="1">
        <v>1</v>
      </c>
      <c r="M1287" s="1">
        <v>1.49</v>
      </c>
      <c r="N1287" s="1" t="s">
        <v>86</v>
      </c>
      <c r="O1287" s="1" t="s">
        <v>1368</v>
      </c>
      <c r="P1287" s="1">
        <v>2300</v>
      </c>
      <c r="T1287"/>
    </row>
    <row r="1288" spans="9:20">
      <c r="I1288" s="1" t="s">
        <v>50</v>
      </c>
      <c r="J1288" s="1" t="s">
        <v>84</v>
      </c>
      <c r="K1288" s="1" t="s">
        <v>8</v>
      </c>
      <c r="L1288" s="1">
        <v>1</v>
      </c>
      <c r="M1288" s="1">
        <v>1.49</v>
      </c>
      <c r="N1288" s="1" t="s">
        <v>86</v>
      </c>
      <c r="O1288" s="1" t="s">
        <v>1369</v>
      </c>
      <c r="P1288" s="1">
        <v>1600</v>
      </c>
      <c r="T1288"/>
    </row>
    <row r="1289" spans="9:20">
      <c r="I1289" s="1" t="s">
        <v>50</v>
      </c>
      <c r="J1289" s="1" t="s">
        <v>1</v>
      </c>
      <c r="K1289" s="1" t="s">
        <v>9</v>
      </c>
      <c r="L1289" s="1">
        <v>1</v>
      </c>
      <c r="M1289" s="1">
        <v>1.49</v>
      </c>
      <c r="N1289" s="1" t="s">
        <v>86</v>
      </c>
      <c r="O1289" s="1" t="s">
        <v>1370</v>
      </c>
      <c r="P1289" s="1">
        <v>11500</v>
      </c>
      <c r="T1289"/>
    </row>
    <row r="1290" spans="9:20">
      <c r="I1290" s="1" t="s">
        <v>50</v>
      </c>
      <c r="J1290" s="1" t="s">
        <v>2</v>
      </c>
      <c r="K1290" s="1" t="s">
        <v>9</v>
      </c>
      <c r="L1290" s="1">
        <v>1</v>
      </c>
      <c r="M1290" s="1">
        <v>1.49</v>
      </c>
      <c r="N1290" s="1" t="s">
        <v>86</v>
      </c>
      <c r="O1290" s="1" t="s">
        <v>1371</v>
      </c>
      <c r="P1290" s="1">
        <v>10200</v>
      </c>
      <c r="T1290"/>
    </row>
    <row r="1291" spans="9:20">
      <c r="I1291" s="1" t="s">
        <v>50</v>
      </c>
      <c r="J1291" s="1" t="s">
        <v>3</v>
      </c>
      <c r="K1291" s="1" t="s">
        <v>9</v>
      </c>
      <c r="L1291" s="1">
        <v>1</v>
      </c>
      <c r="M1291" s="1">
        <v>1.49</v>
      </c>
      <c r="N1291" s="1" t="s">
        <v>86</v>
      </c>
      <c r="O1291" s="1" t="s">
        <v>1372</v>
      </c>
      <c r="P1291" s="1">
        <v>8100</v>
      </c>
      <c r="T1291"/>
    </row>
    <row r="1292" spans="9:20">
      <c r="I1292" s="1" t="s">
        <v>50</v>
      </c>
      <c r="J1292" s="1" t="s">
        <v>4</v>
      </c>
      <c r="K1292" s="1" t="s">
        <v>9</v>
      </c>
      <c r="L1292" s="1">
        <v>1</v>
      </c>
      <c r="M1292" s="1">
        <v>1.49</v>
      </c>
      <c r="N1292" s="1" t="s">
        <v>86</v>
      </c>
      <c r="O1292" s="1" t="s">
        <v>1373</v>
      </c>
      <c r="P1292" s="1">
        <v>6900</v>
      </c>
      <c r="T1292"/>
    </row>
    <row r="1293" spans="9:20">
      <c r="I1293" s="1" t="s">
        <v>50</v>
      </c>
      <c r="J1293" s="1" t="s">
        <v>5</v>
      </c>
      <c r="K1293" s="1" t="s">
        <v>9</v>
      </c>
      <c r="L1293" s="1">
        <v>1</v>
      </c>
      <c r="M1293" s="1">
        <v>1.49</v>
      </c>
      <c r="N1293" s="1" t="s">
        <v>86</v>
      </c>
      <c r="O1293" s="1" t="s">
        <v>1374</v>
      </c>
      <c r="P1293" s="1">
        <v>5700</v>
      </c>
      <c r="T1293"/>
    </row>
    <row r="1294" spans="9:20">
      <c r="I1294" s="1" t="s">
        <v>50</v>
      </c>
      <c r="J1294" s="1" t="s">
        <v>6</v>
      </c>
      <c r="K1294" s="1" t="s">
        <v>9</v>
      </c>
      <c r="L1294" s="1">
        <v>1</v>
      </c>
      <c r="M1294" s="1">
        <v>1.49</v>
      </c>
      <c r="N1294" s="1" t="s">
        <v>86</v>
      </c>
      <c r="O1294" s="1" t="s">
        <v>1375</v>
      </c>
      <c r="P1294" s="1">
        <v>4400</v>
      </c>
      <c r="T1294"/>
    </row>
    <row r="1295" spans="9:20">
      <c r="I1295" s="1" t="s">
        <v>50</v>
      </c>
      <c r="J1295" s="1" t="s">
        <v>7</v>
      </c>
      <c r="K1295" s="1" t="s">
        <v>9</v>
      </c>
      <c r="L1295" s="1">
        <v>1</v>
      </c>
      <c r="M1295" s="1">
        <v>1.49</v>
      </c>
      <c r="N1295" s="1" t="s">
        <v>86</v>
      </c>
      <c r="O1295" s="1" t="s">
        <v>1376</v>
      </c>
      <c r="P1295" s="1">
        <v>3400</v>
      </c>
      <c r="T1295"/>
    </row>
    <row r="1296" spans="9:20">
      <c r="I1296" s="1" t="s">
        <v>50</v>
      </c>
      <c r="J1296" s="1" t="s">
        <v>75</v>
      </c>
      <c r="K1296" s="1" t="s">
        <v>9</v>
      </c>
      <c r="L1296" s="1">
        <v>1</v>
      </c>
      <c r="M1296" s="1">
        <v>1.49</v>
      </c>
      <c r="N1296" s="1" t="s">
        <v>86</v>
      </c>
      <c r="O1296" s="1" t="s">
        <v>1377</v>
      </c>
      <c r="P1296" s="1">
        <v>3000</v>
      </c>
      <c r="T1296"/>
    </row>
    <row r="1297" spans="9:20">
      <c r="I1297" s="1" t="s">
        <v>50</v>
      </c>
      <c r="J1297" s="1" t="s">
        <v>78</v>
      </c>
      <c r="K1297" s="1" t="s">
        <v>9</v>
      </c>
      <c r="L1297" s="1">
        <v>1</v>
      </c>
      <c r="M1297" s="1">
        <v>1.49</v>
      </c>
      <c r="N1297" s="1" t="s">
        <v>86</v>
      </c>
      <c r="O1297" s="1" t="s">
        <v>1378</v>
      </c>
      <c r="P1297" s="1">
        <v>2800</v>
      </c>
      <c r="T1297"/>
    </row>
    <row r="1298" spans="9:20">
      <c r="I1298" s="1" t="s">
        <v>50</v>
      </c>
      <c r="J1298" s="1" t="s">
        <v>81</v>
      </c>
      <c r="K1298" s="1" t="s">
        <v>9</v>
      </c>
      <c r="L1298" s="1">
        <v>1</v>
      </c>
      <c r="M1298" s="1">
        <v>1.49</v>
      </c>
      <c r="N1298" s="1" t="s">
        <v>86</v>
      </c>
      <c r="O1298" s="1" t="s">
        <v>1379</v>
      </c>
      <c r="P1298" s="1">
        <v>2200</v>
      </c>
      <c r="T1298"/>
    </row>
    <row r="1299" spans="9:20">
      <c r="I1299" s="1" t="s">
        <v>50</v>
      </c>
      <c r="J1299" s="1" t="s">
        <v>84</v>
      </c>
      <c r="K1299" s="1" t="s">
        <v>9</v>
      </c>
      <c r="L1299" s="1">
        <v>1</v>
      </c>
      <c r="M1299" s="1">
        <v>1.49</v>
      </c>
      <c r="N1299" s="1" t="s">
        <v>86</v>
      </c>
      <c r="O1299" s="1" t="s">
        <v>1380</v>
      </c>
      <c r="P1299" s="1">
        <v>1500</v>
      </c>
      <c r="T1299"/>
    </row>
    <row r="1300" spans="9:20">
      <c r="I1300" s="1" t="s">
        <v>50</v>
      </c>
      <c r="J1300" s="1" t="s">
        <v>1</v>
      </c>
      <c r="K1300" s="1" t="s">
        <v>10</v>
      </c>
      <c r="L1300" s="1">
        <v>1</v>
      </c>
      <c r="M1300" s="1">
        <v>1.49</v>
      </c>
      <c r="N1300" s="1" t="s">
        <v>86</v>
      </c>
      <c r="O1300" s="1" t="s">
        <v>1381</v>
      </c>
      <c r="P1300" s="1">
        <v>9600</v>
      </c>
      <c r="T1300"/>
    </row>
    <row r="1301" spans="9:20">
      <c r="I1301" s="1" t="s">
        <v>50</v>
      </c>
      <c r="J1301" s="1" t="s">
        <v>2</v>
      </c>
      <c r="K1301" s="1" t="s">
        <v>10</v>
      </c>
      <c r="L1301" s="1">
        <v>1</v>
      </c>
      <c r="M1301" s="1">
        <v>1.49</v>
      </c>
      <c r="N1301" s="1" t="s">
        <v>86</v>
      </c>
      <c r="O1301" s="1" t="s">
        <v>1382</v>
      </c>
      <c r="P1301" s="1">
        <v>8700</v>
      </c>
      <c r="T1301"/>
    </row>
    <row r="1302" spans="9:20">
      <c r="I1302" s="1" t="s">
        <v>50</v>
      </c>
      <c r="J1302" s="1" t="s">
        <v>3</v>
      </c>
      <c r="K1302" s="1" t="s">
        <v>10</v>
      </c>
      <c r="L1302" s="1">
        <v>1</v>
      </c>
      <c r="M1302" s="1">
        <v>1.49</v>
      </c>
      <c r="N1302" s="1" t="s">
        <v>86</v>
      </c>
      <c r="O1302" s="1" t="s">
        <v>1383</v>
      </c>
      <c r="P1302" s="1">
        <v>7400</v>
      </c>
      <c r="T1302"/>
    </row>
    <row r="1303" spans="9:20">
      <c r="I1303" s="1" t="s">
        <v>50</v>
      </c>
      <c r="J1303" s="1" t="s">
        <v>4</v>
      </c>
      <c r="K1303" s="1" t="s">
        <v>10</v>
      </c>
      <c r="L1303" s="1">
        <v>1</v>
      </c>
      <c r="M1303" s="1">
        <v>1.49</v>
      </c>
      <c r="N1303" s="1" t="s">
        <v>86</v>
      </c>
      <c r="O1303" s="1" t="s">
        <v>1384</v>
      </c>
      <c r="P1303" s="1">
        <v>6300</v>
      </c>
      <c r="T1303"/>
    </row>
    <row r="1304" spans="9:20">
      <c r="I1304" s="1" t="s">
        <v>50</v>
      </c>
      <c r="J1304" s="1" t="s">
        <v>5</v>
      </c>
      <c r="K1304" s="1" t="s">
        <v>10</v>
      </c>
      <c r="L1304" s="1">
        <v>1</v>
      </c>
      <c r="M1304" s="1">
        <v>1.49</v>
      </c>
      <c r="N1304" s="1" t="s">
        <v>86</v>
      </c>
      <c r="O1304" s="1" t="s">
        <v>1385</v>
      </c>
      <c r="P1304" s="1">
        <v>5200</v>
      </c>
      <c r="T1304"/>
    </row>
    <row r="1305" spans="9:20">
      <c r="I1305" s="1" t="s">
        <v>50</v>
      </c>
      <c r="J1305" s="1" t="s">
        <v>6</v>
      </c>
      <c r="K1305" s="1" t="s">
        <v>10</v>
      </c>
      <c r="L1305" s="1">
        <v>1</v>
      </c>
      <c r="M1305" s="1">
        <v>1.49</v>
      </c>
      <c r="N1305" s="1" t="s">
        <v>86</v>
      </c>
      <c r="O1305" s="1" t="s">
        <v>1386</v>
      </c>
      <c r="P1305" s="1">
        <v>4100</v>
      </c>
      <c r="T1305"/>
    </row>
    <row r="1306" spans="9:20">
      <c r="I1306" s="1" t="s">
        <v>50</v>
      </c>
      <c r="J1306" s="1" t="s">
        <v>7</v>
      </c>
      <c r="K1306" s="1" t="s">
        <v>10</v>
      </c>
      <c r="L1306" s="1">
        <v>1</v>
      </c>
      <c r="M1306" s="1">
        <v>1.49</v>
      </c>
      <c r="N1306" s="1" t="s">
        <v>86</v>
      </c>
      <c r="O1306" s="1" t="s">
        <v>1387</v>
      </c>
      <c r="P1306" s="1">
        <v>3200</v>
      </c>
      <c r="T1306"/>
    </row>
    <row r="1307" spans="9:20">
      <c r="I1307" s="1" t="s">
        <v>50</v>
      </c>
      <c r="J1307" s="1" t="s">
        <v>75</v>
      </c>
      <c r="K1307" s="1" t="s">
        <v>10</v>
      </c>
      <c r="L1307" s="1">
        <v>1</v>
      </c>
      <c r="M1307" s="1">
        <v>1.49</v>
      </c>
      <c r="N1307" s="1" t="s">
        <v>86</v>
      </c>
      <c r="O1307" s="1" t="s">
        <v>1388</v>
      </c>
      <c r="P1307" s="1">
        <v>2800</v>
      </c>
      <c r="T1307"/>
    </row>
    <row r="1308" spans="9:20">
      <c r="I1308" s="1" t="s">
        <v>50</v>
      </c>
      <c r="J1308" s="1" t="s">
        <v>78</v>
      </c>
      <c r="K1308" s="1" t="s">
        <v>10</v>
      </c>
      <c r="L1308" s="1">
        <v>1</v>
      </c>
      <c r="M1308" s="1">
        <v>1.49</v>
      </c>
      <c r="N1308" s="1" t="s">
        <v>86</v>
      </c>
      <c r="O1308" s="1" t="s">
        <v>1389</v>
      </c>
      <c r="P1308" s="1">
        <v>2600</v>
      </c>
      <c r="T1308"/>
    </row>
    <row r="1309" spans="9:20">
      <c r="I1309" s="1" t="s">
        <v>50</v>
      </c>
      <c r="J1309" s="1" t="s">
        <v>81</v>
      </c>
      <c r="K1309" s="1" t="s">
        <v>10</v>
      </c>
      <c r="L1309" s="1">
        <v>1</v>
      </c>
      <c r="M1309" s="1">
        <v>1.49</v>
      </c>
      <c r="N1309" s="1" t="s">
        <v>86</v>
      </c>
      <c r="O1309" s="1" t="s">
        <v>1390</v>
      </c>
      <c r="P1309" s="1">
        <v>2100</v>
      </c>
      <c r="T1309"/>
    </row>
    <row r="1310" spans="9:20">
      <c r="I1310" s="1" t="s">
        <v>50</v>
      </c>
      <c r="J1310" s="1" t="s">
        <v>84</v>
      </c>
      <c r="K1310" s="1" t="s">
        <v>10</v>
      </c>
      <c r="L1310" s="1">
        <v>1</v>
      </c>
      <c r="M1310" s="1">
        <v>1.49</v>
      </c>
      <c r="N1310" s="1" t="s">
        <v>86</v>
      </c>
      <c r="O1310" s="1" t="s">
        <v>1391</v>
      </c>
      <c r="P1310" s="1">
        <v>1400</v>
      </c>
      <c r="T1310"/>
    </row>
    <row r="1311" spans="9:20">
      <c r="I1311" s="1" t="s">
        <v>50</v>
      </c>
      <c r="J1311" s="1" t="s">
        <v>1</v>
      </c>
      <c r="K1311" s="1" t="s">
        <v>11</v>
      </c>
      <c r="L1311" s="1">
        <v>1</v>
      </c>
      <c r="M1311" s="1">
        <v>1.49</v>
      </c>
      <c r="N1311" s="1" t="s">
        <v>86</v>
      </c>
      <c r="O1311" s="1" t="s">
        <v>1392</v>
      </c>
      <c r="P1311" s="1">
        <v>7500</v>
      </c>
      <c r="T1311"/>
    </row>
    <row r="1312" spans="9:20">
      <c r="I1312" s="1" t="s">
        <v>50</v>
      </c>
      <c r="J1312" s="1" t="s">
        <v>2</v>
      </c>
      <c r="K1312" s="1" t="s">
        <v>11</v>
      </c>
      <c r="L1312" s="1">
        <v>1</v>
      </c>
      <c r="M1312" s="1">
        <v>1.49</v>
      </c>
      <c r="N1312" s="1" t="s">
        <v>86</v>
      </c>
      <c r="O1312" s="1" t="s">
        <v>1393</v>
      </c>
      <c r="P1312" s="1">
        <v>6800</v>
      </c>
      <c r="T1312"/>
    </row>
    <row r="1313" spans="9:20">
      <c r="I1313" s="1" t="s">
        <v>50</v>
      </c>
      <c r="J1313" s="1" t="s">
        <v>3</v>
      </c>
      <c r="K1313" s="1" t="s">
        <v>11</v>
      </c>
      <c r="L1313" s="1">
        <v>1</v>
      </c>
      <c r="M1313" s="1">
        <v>1.49</v>
      </c>
      <c r="N1313" s="1" t="s">
        <v>86</v>
      </c>
      <c r="O1313" s="1" t="s">
        <v>1394</v>
      </c>
      <c r="P1313" s="1">
        <v>6200</v>
      </c>
      <c r="T1313"/>
    </row>
    <row r="1314" spans="9:20">
      <c r="I1314" s="1" t="s">
        <v>50</v>
      </c>
      <c r="J1314" s="1" t="s">
        <v>4</v>
      </c>
      <c r="K1314" s="1" t="s">
        <v>11</v>
      </c>
      <c r="L1314" s="1">
        <v>1</v>
      </c>
      <c r="M1314" s="1">
        <v>1.49</v>
      </c>
      <c r="N1314" s="1" t="s">
        <v>86</v>
      </c>
      <c r="O1314" s="1" t="s">
        <v>1395</v>
      </c>
      <c r="P1314" s="1">
        <v>5400</v>
      </c>
      <c r="T1314"/>
    </row>
    <row r="1315" spans="9:20">
      <c r="I1315" s="1" t="s">
        <v>50</v>
      </c>
      <c r="J1315" s="1" t="s">
        <v>5</v>
      </c>
      <c r="K1315" s="1" t="s">
        <v>11</v>
      </c>
      <c r="L1315" s="1">
        <v>1</v>
      </c>
      <c r="M1315" s="1">
        <v>1.49</v>
      </c>
      <c r="N1315" s="1" t="s">
        <v>86</v>
      </c>
      <c r="O1315" s="1" t="s">
        <v>1396</v>
      </c>
      <c r="P1315" s="1">
        <v>4700</v>
      </c>
      <c r="T1315"/>
    </row>
    <row r="1316" spans="9:20">
      <c r="I1316" s="1" t="s">
        <v>50</v>
      </c>
      <c r="J1316" s="1" t="s">
        <v>6</v>
      </c>
      <c r="K1316" s="1" t="s">
        <v>11</v>
      </c>
      <c r="L1316" s="1">
        <v>1</v>
      </c>
      <c r="M1316" s="1">
        <v>1.49</v>
      </c>
      <c r="N1316" s="1" t="s">
        <v>86</v>
      </c>
      <c r="O1316" s="1" t="s">
        <v>1397</v>
      </c>
      <c r="P1316" s="1">
        <v>3700</v>
      </c>
      <c r="T1316"/>
    </row>
    <row r="1317" spans="9:20">
      <c r="I1317" s="1" t="s">
        <v>50</v>
      </c>
      <c r="J1317" s="1" t="s">
        <v>7</v>
      </c>
      <c r="K1317" s="1" t="s">
        <v>11</v>
      </c>
      <c r="L1317" s="1">
        <v>1</v>
      </c>
      <c r="M1317" s="1">
        <v>1.49</v>
      </c>
      <c r="N1317" s="1" t="s">
        <v>86</v>
      </c>
      <c r="O1317" s="1" t="s">
        <v>1398</v>
      </c>
      <c r="P1317" s="1">
        <v>3000</v>
      </c>
      <c r="T1317"/>
    </row>
    <row r="1318" spans="9:20">
      <c r="I1318" s="1" t="s">
        <v>50</v>
      </c>
      <c r="J1318" s="1" t="s">
        <v>75</v>
      </c>
      <c r="K1318" s="1" t="s">
        <v>11</v>
      </c>
      <c r="L1318" s="1">
        <v>1</v>
      </c>
      <c r="M1318" s="1">
        <v>1.49</v>
      </c>
      <c r="N1318" s="1" t="s">
        <v>86</v>
      </c>
      <c r="O1318" s="1" t="s">
        <v>1399</v>
      </c>
      <c r="P1318" s="1">
        <v>2600</v>
      </c>
      <c r="T1318"/>
    </row>
    <row r="1319" spans="9:20">
      <c r="I1319" s="1" t="s">
        <v>50</v>
      </c>
      <c r="J1319" s="1" t="s">
        <v>78</v>
      </c>
      <c r="K1319" s="1" t="s">
        <v>11</v>
      </c>
      <c r="L1319" s="1">
        <v>1</v>
      </c>
      <c r="M1319" s="1">
        <v>1.49</v>
      </c>
      <c r="N1319" s="1" t="s">
        <v>86</v>
      </c>
      <c r="O1319" s="1" t="s">
        <v>1400</v>
      </c>
      <c r="P1319" s="1">
        <v>2400</v>
      </c>
      <c r="T1319"/>
    </row>
    <row r="1320" spans="9:20">
      <c r="I1320" s="1" t="s">
        <v>50</v>
      </c>
      <c r="J1320" s="1" t="s">
        <v>81</v>
      </c>
      <c r="K1320" s="1" t="s">
        <v>11</v>
      </c>
      <c r="L1320" s="1">
        <v>1</v>
      </c>
      <c r="M1320" s="1">
        <v>1.49</v>
      </c>
      <c r="N1320" s="1" t="s">
        <v>86</v>
      </c>
      <c r="O1320" s="1" t="s">
        <v>1401</v>
      </c>
      <c r="P1320" s="1">
        <v>2000</v>
      </c>
      <c r="T1320"/>
    </row>
    <row r="1321" spans="9:20">
      <c r="I1321" s="1" t="s">
        <v>50</v>
      </c>
      <c r="J1321" s="1" t="s">
        <v>84</v>
      </c>
      <c r="K1321" s="1" t="s">
        <v>11</v>
      </c>
      <c r="L1321" s="1">
        <v>1</v>
      </c>
      <c r="M1321" s="1">
        <v>1.49</v>
      </c>
      <c r="N1321" s="1" t="s">
        <v>86</v>
      </c>
      <c r="O1321" s="1" t="s">
        <v>1402</v>
      </c>
      <c r="P1321" s="1">
        <v>1300</v>
      </c>
      <c r="T1321"/>
    </row>
    <row r="1322" spans="9:20">
      <c r="I1322" s="1" t="s">
        <v>50</v>
      </c>
      <c r="J1322" s="1" t="s">
        <v>1</v>
      </c>
      <c r="K1322" s="1" t="s">
        <v>12</v>
      </c>
      <c r="L1322" s="1">
        <v>1</v>
      </c>
      <c r="M1322" s="1">
        <v>1.49</v>
      </c>
      <c r="N1322" s="1" t="s">
        <v>86</v>
      </c>
      <c r="O1322" s="1" t="s">
        <v>1403</v>
      </c>
      <c r="P1322" s="1">
        <v>5800</v>
      </c>
      <c r="T1322"/>
    </row>
    <row r="1323" spans="9:20">
      <c r="I1323" s="1" t="s">
        <v>50</v>
      </c>
      <c r="J1323" s="1" t="s">
        <v>2</v>
      </c>
      <c r="K1323" s="1" t="s">
        <v>12</v>
      </c>
      <c r="L1323" s="1">
        <v>1</v>
      </c>
      <c r="M1323" s="1">
        <v>1.49</v>
      </c>
      <c r="N1323" s="1" t="s">
        <v>86</v>
      </c>
      <c r="O1323" s="1" t="s">
        <v>1404</v>
      </c>
      <c r="P1323" s="1">
        <v>5300</v>
      </c>
      <c r="T1323"/>
    </row>
    <row r="1324" spans="9:20">
      <c r="I1324" s="1" t="s">
        <v>50</v>
      </c>
      <c r="J1324" s="1" t="s">
        <v>3</v>
      </c>
      <c r="K1324" s="1" t="s">
        <v>12</v>
      </c>
      <c r="L1324" s="1">
        <v>1</v>
      </c>
      <c r="M1324" s="1">
        <v>1.49</v>
      </c>
      <c r="N1324" s="1" t="s">
        <v>86</v>
      </c>
      <c r="O1324" s="1" t="s">
        <v>1405</v>
      </c>
      <c r="P1324" s="1">
        <v>4900</v>
      </c>
      <c r="T1324"/>
    </row>
    <row r="1325" spans="9:20">
      <c r="I1325" s="1" t="s">
        <v>50</v>
      </c>
      <c r="J1325" s="1" t="s">
        <v>4</v>
      </c>
      <c r="K1325" s="1" t="s">
        <v>12</v>
      </c>
      <c r="L1325" s="1">
        <v>1</v>
      </c>
      <c r="M1325" s="1">
        <v>1.49</v>
      </c>
      <c r="N1325" s="1" t="s">
        <v>86</v>
      </c>
      <c r="O1325" s="1" t="s">
        <v>1406</v>
      </c>
      <c r="P1325" s="1">
        <v>4500</v>
      </c>
      <c r="T1325"/>
    </row>
    <row r="1326" spans="9:20">
      <c r="I1326" s="1" t="s">
        <v>50</v>
      </c>
      <c r="J1326" s="1" t="s">
        <v>5</v>
      </c>
      <c r="K1326" s="1" t="s">
        <v>12</v>
      </c>
      <c r="L1326" s="1">
        <v>1</v>
      </c>
      <c r="M1326" s="1">
        <v>1.49</v>
      </c>
      <c r="N1326" s="1" t="s">
        <v>86</v>
      </c>
      <c r="O1326" s="1" t="s">
        <v>1407</v>
      </c>
      <c r="P1326" s="1">
        <v>4200</v>
      </c>
      <c r="T1326"/>
    </row>
    <row r="1327" spans="9:20">
      <c r="I1327" s="1" t="s">
        <v>50</v>
      </c>
      <c r="J1327" s="1" t="s">
        <v>6</v>
      </c>
      <c r="K1327" s="1" t="s">
        <v>12</v>
      </c>
      <c r="L1327" s="1">
        <v>1</v>
      </c>
      <c r="M1327" s="1">
        <v>1.49</v>
      </c>
      <c r="N1327" s="1" t="s">
        <v>86</v>
      </c>
      <c r="O1327" s="1" t="s">
        <v>1408</v>
      </c>
      <c r="P1327" s="1">
        <v>3400</v>
      </c>
      <c r="T1327"/>
    </row>
    <row r="1328" spans="9:20">
      <c r="I1328" s="1" t="s">
        <v>50</v>
      </c>
      <c r="J1328" s="1" t="s">
        <v>7</v>
      </c>
      <c r="K1328" s="1" t="s">
        <v>12</v>
      </c>
      <c r="L1328" s="1">
        <v>1</v>
      </c>
      <c r="M1328" s="1">
        <v>1.49</v>
      </c>
      <c r="N1328" s="1" t="s">
        <v>86</v>
      </c>
      <c r="O1328" s="1" t="s">
        <v>1409</v>
      </c>
      <c r="P1328" s="1">
        <v>2800</v>
      </c>
      <c r="T1328"/>
    </row>
    <row r="1329" spans="9:20">
      <c r="I1329" s="1" t="s">
        <v>50</v>
      </c>
      <c r="J1329" s="1" t="s">
        <v>75</v>
      </c>
      <c r="K1329" s="1" t="s">
        <v>12</v>
      </c>
      <c r="L1329" s="1">
        <v>1</v>
      </c>
      <c r="M1329" s="1">
        <v>1.49</v>
      </c>
      <c r="N1329" s="1" t="s">
        <v>86</v>
      </c>
      <c r="O1329" s="1" t="s">
        <v>1410</v>
      </c>
      <c r="P1329" s="1">
        <v>2500</v>
      </c>
      <c r="T1329"/>
    </row>
    <row r="1330" spans="9:20">
      <c r="I1330" s="1" t="s">
        <v>50</v>
      </c>
      <c r="J1330" s="1" t="s">
        <v>78</v>
      </c>
      <c r="K1330" s="1" t="s">
        <v>12</v>
      </c>
      <c r="L1330" s="1">
        <v>1</v>
      </c>
      <c r="M1330" s="1">
        <v>1.49</v>
      </c>
      <c r="N1330" s="1" t="s">
        <v>86</v>
      </c>
      <c r="O1330" s="1" t="s">
        <v>1411</v>
      </c>
      <c r="P1330" s="1">
        <v>2300</v>
      </c>
      <c r="T1330"/>
    </row>
    <row r="1331" spans="9:20">
      <c r="I1331" s="1" t="s">
        <v>50</v>
      </c>
      <c r="J1331" s="1" t="s">
        <v>81</v>
      </c>
      <c r="K1331" s="1" t="s">
        <v>12</v>
      </c>
      <c r="L1331" s="1">
        <v>1</v>
      </c>
      <c r="M1331" s="1">
        <v>1.49</v>
      </c>
      <c r="N1331" s="1" t="s">
        <v>86</v>
      </c>
      <c r="O1331" s="1" t="s">
        <v>1412</v>
      </c>
      <c r="P1331" s="1">
        <v>1900</v>
      </c>
      <c r="T1331"/>
    </row>
    <row r="1332" spans="9:20">
      <c r="I1332" s="1" t="s">
        <v>50</v>
      </c>
      <c r="J1332" s="1" t="s">
        <v>84</v>
      </c>
      <c r="K1332" s="1" t="s">
        <v>12</v>
      </c>
      <c r="L1332" s="1">
        <v>1</v>
      </c>
      <c r="M1332" s="1">
        <v>1.49</v>
      </c>
      <c r="N1332" s="1" t="s">
        <v>86</v>
      </c>
      <c r="O1332" s="1" t="s">
        <v>1413</v>
      </c>
      <c r="P1332" s="1">
        <v>1300</v>
      </c>
      <c r="T1332"/>
    </row>
    <row r="1333" spans="9:20">
      <c r="I1333" s="1" t="s">
        <v>50</v>
      </c>
      <c r="J1333" s="1" t="s">
        <v>1</v>
      </c>
      <c r="K1333" s="1" t="s">
        <v>13</v>
      </c>
      <c r="L1333" s="1">
        <v>1</v>
      </c>
      <c r="M1333" s="1">
        <v>1.49</v>
      </c>
      <c r="N1333" s="1" t="s">
        <v>86</v>
      </c>
      <c r="O1333" s="1" t="s">
        <v>1414</v>
      </c>
      <c r="P1333" s="1">
        <v>4800</v>
      </c>
      <c r="T1333"/>
    </row>
    <row r="1334" spans="9:20">
      <c r="I1334" s="1" t="s">
        <v>50</v>
      </c>
      <c r="J1334" s="1" t="s">
        <v>2</v>
      </c>
      <c r="K1334" s="1" t="s">
        <v>13</v>
      </c>
      <c r="L1334" s="1">
        <v>1</v>
      </c>
      <c r="M1334" s="1">
        <v>1.49</v>
      </c>
      <c r="N1334" s="1" t="s">
        <v>86</v>
      </c>
      <c r="O1334" s="1" t="s">
        <v>1415</v>
      </c>
      <c r="P1334" s="1">
        <v>4400</v>
      </c>
      <c r="T1334"/>
    </row>
    <row r="1335" spans="9:20">
      <c r="I1335" s="1" t="s">
        <v>50</v>
      </c>
      <c r="J1335" s="1" t="s">
        <v>3</v>
      </c>
      <c r="K1335" s="1" t="s">
        <v>13</v>
      </c>
      <c r="L1335" s="1">
        <v>1</v>
      </c>
      <c r="M1335" s="1">
        <v>1.49</v>
      </c>
      <c r="N1335" s="1" t="s">
        <v>86</v>
      </c>
      <c r="O1335" s="1" t="s">
        <v>1416</v>
      </c>
      <c r="P1335" s="1">
        <v>4100</v>
      </c>
      <c r="T1335"/>
    </row>
    <row r="1336" spans="9:20">
      <c r="I1336" s="1" t="s">
        <v>50</v>
      </c>
      <c r="J1336" s="1" t="s">
        <v>4</v>
      </c>
      <c r="K1336" s="1" t="s">
        <v>13</v>
      </c>
      <c r="L1336" s="1">
        <v>1</v>
      </c>
      <c r="M1336" s="1">
        <v>1.49</v>
      </c>
      <c r="N1336" s="1" t="s">
        <v>86</v>
      </c>
      <c r="O1336" s="1" t="s">
        <v>1417</v>
      </c>
      <c r="P1336" s="1">
        <v>3800</v>
      </c>
      <c r="T1336"/>
    </row>
    <row r="1337" spans="9:20">
      <c r="I1337" s="1" t="s">
        <v>50</v>
      </c>
      <c r="J1337" s="1" t="s">
        <v>5</v>
      </c>
      <c r="K1337" s="1" t="s">
        <v>13</v>
      </c>
      <c r="L1337" s="1">
        <v>1</v>
      </c>
      <c r="M1337" s="1">
        <v>1.49</v>
      </c>
      <c r="N1337" s="1" t="s">
        <v>86</v>
      </c>
      <c r="O1337" s="1" t="s">
        <v>1418</v>
      </c>
      <c r="P1337" s="1">
        <v>3500</v>
      </c>
      <c r="T1337"/>
    </row>
    <row r="1338" spans="9:20">
      <c r="I1338" s="1" t="s">
        <v>50</v>
      </c>
      <c r="J1338" s="1" t="s">
        <v>6</v>
      </c>
      <c r="K1338" s="1" t="s">
        <v>13</v>
      </c>
      <c r="L1338" s="1">
        <v>1</v>
      </c>
      <c r="M1338" s="1">
        <v>1.49</v>
      </c>
      <c r="N1338" s="1" t="s">
        <v>86</v>
      </c>
      <c r="O1338" s="1" t="s">
        <v>1419</v>
      </c>
      <c r="P1338" s="1">
        <v>3100</v>
      </c>
      <c r="T1338"/>
    </row>
    <row r="1339" spans="9:20">
      <c r="I1339" s="1" t="s">
        <v>50</v>
      </c>
      <c r="J1339" s="1" t="s">
        <v>7</v>
      </c>
      <c r="K1339" s="1" t="s">
        <v>13</v>
      </c>
      <c r="L1339" s="1">
        <v>1</v>
      </c>
      <c r="M1339" s="1">
        <v>1.49</v>
      </c>
      <c r="N1339" s="1" t="s">
        <v>86</v>
      </c>
      <c r="O1339" s="1" t="s">
        <v>1420</v>
      </c>
      <c r="P1339" s="1">
        <v>2600</v>
      </c>
      <c r="T1339"/>
    </row>
    <row r="1340" spans="9:20">
      <c r="I1340" s="1" t="s">
        <v>50</v>
      </c>
      <c r="J1340" s="1" t="s">
        <v>75</v>
      </c>
      <c r="K1340" s="1" t="s">
        <v>13</v>
      </c>
      <c r="L1340" s="1">
        <v>1</v>
      </c>
      <c r="M1340" s="1">
        <v>1.49</v>
      </c>
      <c r="N1340" s="1" t="s">
        <v>86</v>
      </c>
      <c r="O1340" s="1" t="s">
        <v>1421</v>
      </c>
      <c r="P1340" s="1">
        <v>2400</v>
      </c>
      <c r="T1340"/>
    </row>
    <row r="1341" spans="9:20">
      <c r="I1341" s="1" t="s">
        <v>50</v>
      </c>
      <c r="J1341" s="1" t="s">
        <v>78</v>
      </c>
      <c r="K1341" s="1" t="s">
        <v>13</v>
      </c>
      <c r="L1341" s="1">
        <v>1</v>
      </c>
      <c r="M1341" s="1">
        <v>1.49</v>
      </c>
      <c r="N1341" s="1" t="s">
        <v>86</v>
      </c>
      <c r="O1341" s="1" t="s">
        <v>1422</v>
      </c>
      <c r="P1341" s="1">
        <v>2200</v>
      </c>
      <c r="T1341"/>
    </row>
    <row r="1342" spans="9:20">
      <c r="I1342" s="1" t="s">
        <v>50</v>
      </c>
      <c r="J1342" s="1" t="s">
        <v>81</v>
      </c>
      <c r="K1342" s="1" t="s">
        <v>13</v>
      </c>
      <c r="L1342" s="1">
        <v>1</v>
      </c>
      <c r="M1342" s="1">
        <v>1.49</v>
      </c>
      <c r="N1342" s="1" t="s">
        <v>86</v>
      </c>
      <c r="O1342" s="1" t="s">
        <v>1423</v>
      </c>
      <c r="P1342" s="1">
        <v>1800</v>
      </c>
      <c r="T1342"/>
    </row>
    <row r="1343" spans="9:20">
      <c r="I1343" s="1" t="s">
        <v>50</v>
      </c>
      <c r="J1343" s="1" t="s">
        <v>84</v>
      </c>
      <c r="K1343" s="1" t="s">
        <v>13</v>
      </c>
      <c r="L1343" s="1">
        <v>1</v>
      </c>
      <c r="M1343" s="1">
        <v>1.49</v>
      </c>
      <c r="N1343" s="1" t="s">
        <v>86</v>
      </c>
      <c r="O1343" s="1" t="s">
        <v>1424</v>
      </c>
      <c r="P1343" s="1">
        <v>1200</v>
      </c>
      <c r="T1343"/>
    </row>
    <row r="1344" spans="9:20">
      <c r="I1344" s="1" t="s">
        <v>50</v>
      </c>
      <c r="J1344" s="1" t="s">
        <v>1</v>
      </c>
      <c r="K1344" s="1" t="s">
        <v>14</v>
      </c>
      <c r="L1344" s="1">
        <v>1</v>
      </c>
      <c r="M1344" s="1">
        <v>1.49</v>
      </c>
      <c r="N1344" s="1" t="s">
        <v>86</v>
      </c>
      <c r="O1344" s="1" t="s">
        <v>1425</v>
      </c>
      <c r="P1344" s="1">
        <v>4000</v>
      </c>
      <c r="T1344"/>
    </row>
    <row r="1345" spans="9:20">
      <c r="I1345" s="1" t="s">
        <v>50</v>
      </c>
      <c r="J1345" s="1" t="s">
        <v>2</v>
      </c>
      <c r="K1345" s="1" t="s">
        <v>14</v>
      </c>
      <c r="L1345" s="1">
        <v>1</v>
      </c>
      <c r="M1345" s="1">
        <v>1.49</v>
      </c>
      <c r="N1345" s="1" t="s">
        <v>86</v>
      </c>
      <c r="O1345" s="1" t="s">
        <v>1426</v>
      </c>
      <c r="P1345" s="1">
        <v>3600</v>
      </c>
      <c r="T1345"/>
    </row>
    <row r="1346" spans="9:20">
      <c r="I1346" s="1" t="s">
        <v>50</v>
      </c>
      <c r="J1346" s="1" t="s">
        <v>3</v>
      </c>
      <c r="K1346" s="1" t="s">
        <v>14</v>
      </c>
      <c r="L1346" s="1">
        <v>1</v>
      </c>
      <c r="M1346" s="1">
        <v>1.49</v>
      </c>
      <c r="N1346" s="1" t="s">
        <v>86</v>
      </c>
      <c r="O1346" s="1" t="s">
        <v>1427</v>
      </c>
      <c r="P1346" s="1">
        <v>3300</v>
      </c>
      <c r="T1346"/>
    </row>
    <row r="1347" spans="9:20">
      <c r="I1347" s="1" t="s">
        <v>50</v>
      </c>
      <c r="J1347" s="1" t="s">
        <v>4</v>
      </c>
      <c r="K1347" s="1" t="s">
        <v>14</v>
      </c>
      <c r="L1347" s="1">
        <v>1</v>
      </c>
      <c r="M1347" s="1">
        <v>1.49</v>
      </c>
      <c r="N1347" s="1" t="s">
        <v>86</v>
      </c>
      <c r="O1347" s="1" t="s">
        <v>1428</v>
      </c>
      <c r="P1347" s="1">
        <v>3100</v>
      </c>
      <c r="T1347"/>
    </row>
    <row r="1348" spans="9:20">
      <c r="I1348" s="1" t="s">
        <v>50</v>
      </c>
      <c r="J1348" s="1" t="s">
        <v>5</v>
      </c>
      <c r="K1348" s="1" t="s">
        <v>14</v>
      </c>
      <c r="L1348" s="1">
        <v>1</v>
      </c>
      <c r="M1348" s="1">
        <v>1.49</v>
      </c>
      <c r="N1348" s="1" t="s">
        <v>86</v>
      </c>
      <c r="O1348" s="1" t="s">
        <v>1429</v>
      </c>
      <c r="P1348" s="1">
        <v>2900</v>
      </c>
      <c r="T1348"/>
    </row>
    <row r="1349" spans="9:20">
      <c r="I1349" s="1" t="s">
        <v>50</v>
      </c>
      <c r="J1349" s="1" t="s">
        <v>6</v>
      </c>
      <c r="K1349" s="1" t="s">
        <v>14</v>
      </c>
      <c r="L1349" s="1">
        <v>1</v>
      </c>
      <c r="M1349" s="1">
        <v>1.49</v>
      </c>
      <c r="N1349" s="1" t="s">
        <v>86</v>
      </c>
      <c r="O1349" s="1" t="s">
        <v>1430</v>
      </c>
      <c r="P1349" s="1">
        <v>2600</v>
      </c>
      <c r="T1349"/>
    </row>
    <row r="1350" spans="9:20">
      <c r="I1350" s="1" t="s">
        <v>50</v>
      </c>
      <c r="J1350" s="1" t="s">
        <v>7</v>
      </c>
      <c r="K1350" s="1" t="s">
        <v>14</v>
      </c>
      <c r="L1350" s="1">
        <v>1</v>
      </c>
      <c r="M1350" s="1">
        <v>1.49</v>
      </c>
      <c r="N1350" s="1" t="s">
        <v>86</v>
      </c>
      <c r="O1350" s="1" t="s">
        <v>1431</v>
      </c>
      <c r="P1350" s="1">
        <v>2300</v>
      </c>
      <c r="T1350"/>
    </row>
    <row r="1351" spans="9:20">
      <c r="I1351" s="1" t="s">
        <v>50</v>
      </c>
      <c r="J1351" s="1" t="s">
        <v>75</v>
      </c>
      <c r="K1351" s="1" t="s">
        <v>14</v>
      </c>
      <c r="L1351" s="1">
        <v>1</v>
      </c>
      <c r="M1351" s="1">
        <v>1.49</v>
      </c>
      <c r="N1351" s="1" t="s">
        <v>86</v>
      </c>
      <c r="O1351" s="1" t="s">
        <v>1432</v>
      </c>
      <c r="P1351" s="1">
        <v>2100</v>
      </c>
      <c r="T1351"/>
    </row>
    <row r="1352" spans="9:20">
      <c r="I1352" s="1" t="s">
        <v>50</v>
      </c>
      <c r="J1352" s="1" t="s">
        <v>78</v>
      </c>
      <c r="K1352" s="1" t="s">
        <v>14</v>
      </c>
      <c r="L1352" s="1">
        <v>1</v>
      </c>
      <c r="M1352" s="1">
        <v>1.49</v>
      </c>
      <c r="N1352" s="1" t="s">
        <v>86</v>
      </c>
      <c r="O1352" s="1" t="s">
        <v>1433</v>
      </c>
      <c r="P1352" s="1">
        <v>2000</v>
      </c>
      <c r="T1352"/>
    </row>
    <row r="1353" spans="9:20">
      <c r="I1353" s="1" t="s">
        <v>50</v>
      </c>
      <c r="J1353" s="1" t="s">
        <v>81</v>
      </c>
      <c r="K1353" s="1" t="s">
        <v>14</v>
      </c>
      <c r="L1353" s="1">
        <v>1</v>
      </c>
      <c r="M1353" s="1">
        <v>1.49</v>
      </c>
      <c r="N1353" s="1" t="s">
        <v>86</v>
      </c>
      <c r="O1353" s="1" t="s">
        <v>1434</v>
      </c>
      <c r="P1353" s="1">
        <v>1700</v>
      </c>
      <c r="T1353"/>
    </row>
    <row r="1354" spans="9:20">
      <c r="I1354" s="1" t="s">
        <v>50</v>
      </c>
      <c r="J1354" s="1" t="s">
        <v>84</v>
      </c>
      <c r="K1354" s="1" t="s">
        <v>14</v>
      </c>
      <c r="L1354" s="1">
        <v>1</v>
      </c>
      <c r="M1354" s="1">
        <v>1.49</v>
      </c>
      <c r="N1354" s="1" t="s">
        <v>86</v>
      </c>
      <c r="O1354" s="1" t="s">
        <v>1435</v>
      </c>
      <c r="P1354" s="1">
        <v>1200</v>
      </c>
      <c r="T1354"/>
    </row>
    <row r="1355" spans="9:20">
      <c r="I1355" s="1" t="s">
        <v>50</v>
      </c>
      <c r="J1355" s="1" t="s">
        <v>1</v>
      </c>
      <c r="K1355" s="1" t="s">
        <v>15</v>
      </c>
      <c r="L1355" s="1">
        <v>1</v>
      </c>
      <c r="M1355" s="1">
        <v>1.49</v>
      </c>
      <c r="N1355" s="1" t="s">
        <v>86</v>
      </c>
      <c r="O1355" s="1" t="s">
        <v>1436</v>
      </c>
      <c r="P1355" s="1">
        <v>3400</v>
      </c>
      <c r="T1355"/>
    </row>
    <row r="1356" spans="9:20">
      <c r="I1356" s="1" t="s">
        <v>50</v>
      </c>
      <c r="J1356" s="1" t="s">
        <v>2</v>
      </c>
      <c r="K1356" s="1" t="s">
        <v>15</v>
      </c>
      <c r="L1356" s="1">
        <v>1</v>
      </c>
      <c r="M1356" s="1">
        <v>1.49</v>
      </c>
      <c r="N1356" s="1" t="s">
        <v>86</v>
      </c>
      <c r="O1356" s="1" t="s">
        <v>1437</v>
      </c>
      <c r="P1356" s="1">
        <v>3100</v>
      </c>
      <c r="T1356"/>
    </row>
    <row r="1357" spans="9:20">
      <c r="I1357" s="1" t="s">
        <v>50</v>
      </c>
      <c r="J1357" s="1" t="s">
        <v>3</v>
      </c>
      <c r="K1357" s="1" t="s">
        <v>15</v>
      </c>
      <c r="L1357" s="1">
        <v>1</v>
      </c>
      <c r="M1357" s="1">
        <v>1.49</v>
      </c>
      <c r="N1357" s="1" t="s">
        <v>86</v>
      </c>
      <c r="O1357" s="1" t="s">
        <v>1438</v>
      </c>
      <c r="P1357" s="1">
        <v>2900</v>
      </c>
      <c r="T1357"/>
    </row>
    <row r="1358" spans="9:20">
      <c r="I1358" s="1" t="s">
        <v>50</v>
      </c>
      <c r="J1358" s="1" t="s">
        <v>4</v>
      </c>
      <c r="K1358" s="1" t="s">
        <v>15</v>
      </c>
      <c r="L1358" s="1">
        <v>1</v>
      </c>
      <c r="M1358" s="1">
        <v>1.49</v>
      </c>
      <c r="N1358" s="1" t="s">
        <v>86</v>
      </c>
      <c r="O1358" s="1" t="s">
        <v>1439</v>
      </c>
      <c r="P1358" s="1">
        <v>2700</v>
      </c>
      <c r="T1358"/>
    </row>
    <row r="1359" spans="9:20">
      <c r="I1359" s="1" t="s">
        <v>50</v>
      </c>
      <c r="J1359" s="1" t="s">
        <v>5</v>
      </c>
      <c r="K1359" s="1" t="s">
        <v>15</v>
      </c>
      <c r="L1359" s="1">
        <v>1</v>
      </c>
      <c r="M1359" s="1">
        <v>1.49</v>
      </c>
      <c r="N1359" s="1" t="s">
        <v>86</v>
      </c>
      <c r="O1359" s="1" t="s">
        <v>1440</v>
      </c>
      <c r="P1359" s="1">
        <v>2500</v>
      </c>
      <c r="T1359"/>
    </row>
    <row r="1360" spans="9:20">
      <c r="I1360" s="1" t="s">
        <v>50</v>
      </c>
      <c r="J1360" s="1" t="s">
        <v>6</v>
      </c>
      <c r="K1360" s="1" t="s">
        <v>15</v>
      </c>
      <c r="L1360" s="1">
        <v>1</v>
      </c>
      <c r="M1360" s="1">
        <v>1.49</v>
      </c>
      <c r="N1360" s="1" t="s">
        <v>86</v>
      </c>
      <c r="O1360" s="1" t="s">
        <v>1441</v>
      </c>
      <c r="P1360" s="1">
        <v>2300</v>
      </c>
      <c r="T1360"/>
    </row>
    <row r="1361" spans="9:20">
      <c r="I1361" s="1" t="s">
        <v>50</v>
      </c>
      <c r="J1361" s="1" t="s">
        <v>7</v>
      </c>
      <c r="K1361" s="1" t="s">
        <v>15</v>
      </c>
      <c r="L1361" s="1">
        <v>1</v>
      </c>
      <c r="M1361" s="1">
        <v>1.49</v>
      </c>
      <c r="N1361" s="1" t="s">
        <v>86</v>
      </c>
      <c r="O1361" s="1" t="s">
        <v>1442</v>
      </c>
      <c r="P1361" s="1">
        <v>2100</v>
      </c>
      <c r="T1361"/>
    </row>
    <row r="1362" spans="9:20">
      <c r="I1362" s="1" t="s">
        <v>50</v>
      </c>
      <c r="J1362" s="1" t="s">
        <v>75</v>
      </c>
      <c r="K1362" s="1" t="s">
        <v>15</v>
      </c>
      <c r="L1362" s="1">
        <v>1</v>
      </c>
      <c r="M1362" s="1">
        <v>1.49</v>
      </c>
      <c r="N1362" s="1" t="s">
        <v>86</v>
      </c>
      <c r="O1362" s="1" t="s">
        <v>1443</v>
      </c>
      <c r="P1362" s="1">
        <v>2000</v>
      </c>
      <c r="T1362"/>
    </row>
    <row r="1363" spans="9:20">
      <c r="I1363" s="1" t="s">
        <v>50</v>
      </c>
      <c r="J1363" s="1" t="s">
        <v>78</v>
      </c>
      <c r="K1363" s="1" t="s">
        <v>15</v>
      </c>
      <c r="L1363" s="1">
        <v>1</v>
      </c>
      <c r="M1363" s="1">
        <v>1.49</v>
      </c>
      <c r="N1363" s="1" t="s">
        <v>86</v>
      </c>
      <c r="O1363" s="1" t="s">
        <v>1444</v>
      </c>
      <c r="P1363" s="1">
        <v>1900</v>
      </c>
      <c r="T1363"/>
    </row>
    <row r="1364" spans="9:20">
      <c r="I1364" s="1" t="s">
        <v>50</v>
      </c>
      <c r="J1364" s="1" t="s">
        <v>81</v>
      </c>
      <c r="K1364" s="1" t="s">
        <v>15</v>
      </c>
      <c r="L1364" s="1">
        <v>1</v>
      </c>
      <c r="M1364" s="1">
        <v>1.49</v>
      </c>
      <c r="N1364" s="1" t="s">
        <v>86</v>
      </c>
      <c r="O1364" s="1" t="s">
        <v>1445</v>
      </c>
      <c r="P1364" s="1">
        <v>1600</v>
      </c>
      <c r="T1364"/>
    </row>
    <row r="1365" spans="9:20">
      <c r="I1365" s="1" t="s">
        <v>50</v>
      </c>
      <c r="J1365" s="1" t="s">
        <v>84</v>
      </c>
      <c r="K1365" s="1" t="s">
        <v>15</v>
      </c>
      <c r="L1365" s="1">
        <v>1</v>
      </c>
      <c r="M1365" s="1">
        <v>1.49</v>
      </c>
      <c r="N1365" s="1" t="s">
        <v>86</v>
      </c>
      <c r="O1365" s="1" t="s">
        <v>1446</v>
      </c>
      <c r="P1365" s="1">
        <v>1100</v>
      </c>
      <c r="T1365"/>
    </row>
    <row r="1366" spans="9:20">
      <c r="I1366" s="1" t="s">
        <v>50</v>
      </c>
      <c r="J1366" s="1" t="s">
        <v>1</v>
      </c>
      <c r="K1366" s="1" t="s">
        <v>16</v>
      </c>
      <c r="L1366" s="1">
        <v>1</v>
      </c>
      <c r="M1366" s="1">
        <v>1.49</v>
      </c>
      <c r="N1366" s="1" t="s">
        <v>86</v>
      </c>
      <c r="O1366" s="1" t="s">
        <v>1447</v>
      </c>
      <c r="P1366" s="1">
        <v>2900</v>
      </c>
      <c r="T1366"/>
    </row>
    <row r="1367" spans="9:20">
      <c r="I1367" s="1" t="s">
        <v>50</v>
      </c>
      <c r="J1367" s="1" t="s">
        <v>2</v>
      </c>
      <c r="K1367" s="1" t="s">
        <v>16</v>
      </c>
      <c r="L1367" s="1">
        <v>1</v>
      </c>
      <c r="M1367" s="1">
        <v>1.49</v>
      </c>
      <c r="N1367" s="1" t="s">
        <v>86</v>
      </c>
      <c r="O1367" s="1" t="s">
        <v>1448</v>
      </c>
      <c r="P1367" s="1">
        <v>2700</v>
      </c>
      <c r="T1367"/>
    </row>
    <row r="1368" spans="9:20">
      <c r="I1368" s="1" t="s">
        <v>50</v>
      </c>
      <c r="J1368" s="1" t="s">
        <v>3</v>
      </c>
      <c r="K1368" s="1" t="s">
        <v>16</v>
      </c>
      <c r="L1368" s="1">
        <v>1</v>
      </c>
      <c r="M1368" s="1">
        <v>1.49</v>
      </c>
      <c r="N1368" s="1" t="s">
        <v>86</v>
      </c>
      <c r="O1368" s="1" t="s">
        <v>1449</v>
      </c>
      <c r="P1368" s="1">
        <v>2500</v>
      </c>
      <c r="T1368"/>
    </row>
    <row r="1369" spans="9:20">
      <c r="I1369" s="1" t="s">
        <v>50</v>
      </c>
      <c r="J1369" s="1" t="s">
        <v>4</v>
      </c>
      <c r="K1369" s="1" t="s">
        <v>16</v>
      </c>
      <c r="L1369" s="1">
        <v>1</v>
      </c>
      <c r="M1369" s="1">
        <v>1.49</v>
      </c>
      <c r="N1369" s="1" t="s">
        <v>86</v>
      </c>
      <c r="O1369" s="1" t="s">
        <v>1450</v>
      </c>
      <c r="P1369" s="1">
        <v>2300</v>
      </c>
      <c r="T1369"/>
    </row>
    <row r="1370" spans="9:20">
      <c r="I1370" s="1" t="s">
        <v>50</v>
      </c>
      <c r="J1370" s="1" t="s">
        <v>5</v>
      </c>
      <c r="K1370" s="1" t="s">
        <v>16</v>
      </c>
      <c r="L1370" s="1">
        <v>1</v>
      </c>
      <c r="M1370" s="1">
        <v>1.49</v>
      </c>
      <c r="N1370" s="1" t="s">
        <v>86</v>
      </c>
      <c r="O1370" s="1" t="s">
        <v>1451</v>
      </c>
      <c r="P1370" s="1">
        <v>2100</v>
      </c>
      <c r="T1370"/>
    </row>
    <row r="1371" spans="9:20">
      <c r="I1371" s="1" t="s">
        <v>50</v>
      </c>
      <c r="J1371" s="1" t="s">
        <v>6</v>
      </c>
      <c r="K1371" s="1" t="s">
        <v>16</v>
      </c>
      <c r="L1371" s="1">
        <v>1</v>
      </c>
      <c r="M1371" s="1">
        <v>1.49</v>
      </c>
      <c r="N1371" s="1" t="s">
        <v>86</v>
      </c>
      <c r="O1371" s="1" t="s">
        <v>1452</v>
      </c>
      <c r="P1371" s="1">
        <v>1900</v>
      </c>
      <c r="T1371"/>
    </row>
    <row r="1372" spans="9:20">
      <c r="I1372" s="1" t="s">
        <v>50</v>
      </c>
      <c r="J1372" s="1" t="s">
        <v>7</v>
      </c>
      <c r="K1372" s="1" t="s">
        <v>16</v>
      </c>
      <c r="L1372" s="1">
        <v>1</v>
      </c>
      <c r="M1372" s="1">
        <v>1.49</v>
      </c>
      <c r="N1372" s="1" t="s">
        <v>86</v>
      </c>
      <c r="O1372" s="1" t="s">
        <v>1453</v>
      </c>
      <c r="P1372" s="1">
        <v>1800</v>
      </c>
      <c r="T1372"/>
    </row>
    <row r="1373" spans="9:20">
      <c r="I1373" s="1" t="s">
        <v>50</v>
      </c>
      <c r="J1373" s="1" t="s">
        <v>75</v>
      </c>
      <c r="K1373" s="1" t="s">
        <v>16</v>
      </c>
      <c r="L1373" s="1">
        <v>1</v>
      </c>
      <c r="M1373" s="1">
        <v>1.49</v>
      </c>
      <c r="N1373" s="1" t="s">
        <v>86</v>
      </c>
      <c r="O1373" s="1" t="s">
        <v>1454</v>
      </c>
      <c r="P1373" s="1">
        <v>1700</v>
      </c>
      <c r="T1373"/>
    </row>
    <row r="1374" spans="9:20">
      <c r="I1374" s="1" t="s">
        <v>50</v>
      </c>
      <c r="J1374" s="1" t="s">
        <v>78</v>
      </c>
      <c r="K1374" s="1" t="s">
        <v>16</v>
      </c>
      <c r="L1374" s="1">
        <v>1</v>
      </c>
      <c r="M1374" s="1">
        <v>1.49</v>
      </c>
      <c r="N1374" s="1" t="s">
        <v>86</v>
      </c>
      <c r="O1374" s="1" t="s">
        <v>1455</v>
      </c>
      <c r="P1374" s="1">
        <v>1600</v>
      </c>
      <c r="T1374"/>
    </row>
    <row r="1375" spans="9:20">
      <c r="I1375" s="1" t="s">
        <v>50</v>
      </c>
      <c r="J1375" s="1" t="s">
        <v>81</v>
      </c>
      <c r="K1375" s="1" t="s">
        <v>16</v>
      </c>
      <c r="L1375" s="1">
        <v>1</v>
      </c>
      <c r="M1375" s="1">
        <v>1.49</v>
      </c>
      <c r="N1375" s="1" t="s">
        <v>86</v>
      </c>
      <c r="O1375" s="1" t="s">
        <v>1456</v>
      </c>
      <c r="P1375" s="1">
        <v>1500</v>
      </c>
      <c r="T1375"/>
    </row>
    <row r="1376" spans="9:20">
      <c r="I1376" s="1" t="s">
        <v>50</v>
      </c>
      <c r="J1376" s="1" t="s">
        <v>84</v>
      </c>
      <c r="K1376" s="1" t="s">
        <v>16</v>
      </c>
      <c r="L1376" s="1">
        <v>1</v>
      </c>
      <c r="M1376" s="1">
        <v>1.49</v>
      </c>
      <c r="N1376" s="1" t="s">
        <v>86</v>
      </c>
      <c r="O1376" s="1" t="s">
        <v>1457</v>
      </c>
      <c r="P1376" s="1">
        <v>1000</v>
      </c>
      <c r="T1376"/>
    </row>
    <row r="1377" spans="9:20">
      <c r="I1377" s="1" t="s">
        <v>50</v>
      </c>
      <c r="J1377" s="1" t="s">
        <v>1</v>
      </c>
      <c r="K1377" s="1" t="s">
        <v>17</v>
      </c>
      <c r="L1377" s="1">
        <v>1</v>
      </c>
      <c r="M1377" s="1">
        <v>1.49</v>
      </c>
      <c r="N1377" s="1" t="s">
        <v>86</v>
      </c>
      <c r="O1377" s="1" t="s">
        <v>1458</v>
      </c>
      <c r="P1377" s="1">
        <v>2500</v>
      </c>
      <c r="T1377"/>
    </row>
    <row r="1378" spans="9:20">
      <c r="I1378" s="1" t="s">
        <v>50</v>
      </c>
      <c r="J1378" s="1" t="s">
        <v>2</v>
      </c>
      <c r="K1378" s="1" t="s">
        <v>17</v>
      </c>
      <c r="L1378" s="1">
        <v>1</v>
      </c>
      <c r="M1378" s="1">
        <v>1.49</v>
      </c>
      <c r="N1378" s="1" t="s">
        <v>86</v>
      </c>
      <c r="O1378" s="1" t="s">
        <v>1459</v>
      </c>
      <c r="P1378" s="1">
        <v>2300</v>
      </c>
      <c r="T1378"/>
    </row>
    <row r="1379" spans="9:20">
      <c r="I1379" s="1" t="s">
        <v>50</v>
      </c>
      <c r="J1379" s="1" t="s">
        <v>3</v>
      </c>
      <c r="K1379" s="1" t="s">
        <v>17</v>
      </c>
      <c r="L1379" s="1">
        <v>1</v>
      </c>
      <c r="M1379" s="1">
        <v>1.49</v>
      </c>
      <c r="N1379" s="1" t="s">
        <v>86</v>
      </c>
      <c r="O1379" s="1" t="s">
        <v>1460</v>
      </c>
      <c r="P1379" s="1">
        <v>2200</v>
      </c>
      <c r="T1379"/>
    </row>
    <row r="1380" spans="9:20">
      <c r="I1380" s="1" t="s">
        <v>50</v>
      </c>
      <c r="J1380" s="1" t="s">
        <v>4</v>
      </c>
      <c r="K1380" s="1" t="s">
        <v>17</v>
      </c>
      <c r="L1380" s="1">
        <v>1</v>
      </c>
      <c r="M1380" s="1">
        <v>1.49</v>
      </c>
      <c r="N1380" s="1" t="s">
        <v>86</v>
      </c>
      <c r="O1380" s="1" t="s">
        <v>1461</v>
      </c>
      <c r="P1380" s="1">
        <v>2100</v>
      </c>
      <c r="T1380"/>
    </row>
    <row r="1381" spans="9:20">
      <c r="I1381" s="1" t="s">
        <v>50</v>
      </c>
      <c r="J1381" s="1" t="s">
        <v>5</v>
      </c>
      <c r="K1381" s="1" t="s">
        <v>17</v>
      </c>
      <c r="L1381" s="1">
        <v>1</v>
      </c>
      <c r="M1381" s="1">
        <v>1.49</v>
      </c>
      <c r="N1381" s="1" t="s">
        <v>86</v>
      </c>
      <c r="O1381" s="1" t="s">
        <v>1462</v>
      </c>
      <c r="P1381" s="1">
        <v>1900</v>
      </c>
      <c r="T1381"/>
    </row>
    <row r="1382" spans="9:20">
      <c r="I1382" s="1" t="s">
        <v>50</v>
      </c>
      <c r="J1382" s="1" t="s">
        <v>6</v>
      </c>
      <c r="K1382" s="1" t="s">
        <v>17</v>
      </c>
      <c r="L1382" s="1">
        <v>1</v>
      </c>
      <c r="M1382" s="1">
        <v>1.49</v>
      </c>
      <c r="N1382" s="1" t="s">
        <v>86</v>
      </c>
      <c r="O1382" s="1" t="s">
        <v>1463</v>
      </c>
      <c r="P1382" s="1">
        <v>1700</v>
      </c>
      <c r="T1382"/>
    </row>
    <row r="1383" spans="9:20">
      <c r="I1383" s="1" t="s">
        <v>50</v>
      </c>
      <c r="J1383" s="1" t="s">
        <v>7</v>
      </c>
      <c r="K1383" s="1" t="s">
        <v>17</v>
      </c>
      <c r="L1383" s="1">
        <v>1</v>
      </c>
      <c r="M1383" s="1">
        <v>1.49</v>
      </c>
      <c r="N1383" s="1" t="s">
        <v>86</v>
      </c>
      <c r="O1383" s="1" t="s">
        <v>1464</v>
      </c>
      <c r="P1383" s="1">
        <v>1600</v>
      </c>
      <c r="T1383"/>
    </row>
    <row r="1384" spans="9:20">
      <c r="I1384" s="1" t="s">
        <v>50</v>
      </c>
      <c r="J1384" s="1" t="s">
        <v>75</v>
      </c>
      <c r="K1384" s="1" t="s">
        <v>17</v>
      </c>
      <c r="L1384" s="1">
        <v>1</v>
      </c>
      <c r="M1384" s="1">
        <v>1.49</v>
      </c>
      <c r="N1384" s="1" t="s">
        <v>86</v>
      </c>
      <c r="O1384" s="1" t="s">
        <v>1465</v>
      </c>
      <c r="P1384" s="1">
        <v>1500</v>
      </c>
      <c r="T1384"/>
    </row>
    <row r="1385" spans="9:20">
      <c r="I1385" s="1" t="s">
        <v>50</v>
      </c>
      <c r="J1385" s="1" t="s">
        <v>78</v>
      </c>
      <c r="K1385" s="1" t="s">
        <v>17</v>
      </c>
      <c r="L1385" s="1">
        <v>1</v>
      </c>
      <c r="M1385" s="1">
        <v>1.49</v>
      </c>
      <c r="N1385" s="1" t="s">
        <v>86</v>
      </c>
      <c r="O1385" s="1" t="s">
        <v>1466</v>
      </c>
      <c r="P1385" s="1">
        <v>1400</v>
      </c>
      <c r="T1385"/>
    </row>
    <row r="1386" spans="9:20">
      <c r="I1386" s="1" t="s">
        <v>50</v>
      </c>
      <c r="J1386" s="1" t="s">
        <v>81</v>
      </c>
      <c r="K1386" s="1" t="s">
        <v>17</v>
      </c>
      <c r="L1386" s="1">
        <v>1</v>
      </c>
      <c r="M1386" s="1">
        <v>1.49</v>
      </c>
      <c r="N1386" s="1" t="s">
        <v>86</v>
      </c>
      <c r="O1386" s="1" t="s">
        <v>1467</v>
      </c>
      <c r="P1386" s="1">
        <v>1400</v>
      </c>
      <c r="T1386"/>
    </row>
    <row r="1387" spans="9:20">
      <c r="I1387" s="1" t="s">
        <v>50</v>
      </c>
      <c r="J1387" s="1" t="s">
        <v>84</v>
      </c>
      <c r="K1387" s="1" t="s">
        <v>17</v>
      </c>
      <c r="L1387" s="1">
        <v>1</v>
      </c>
      <c r="M1387" s="1">
        <v>1.49</v>
      </c>
      <c r="N1387" s="1" t="s">
        <v>86</v>
      </c>
      <c r="O1387" s="1" t="s">
        <v>1468</v>
      </c>
      <c r="P1387" s="1">
        <v>1000</v>
      </c>
      <c r="T1387"/>
    </row>
    <row r="1388" spans="9:20">
      <c r="I1388" s="1" t="s">
        <v>50</v>
      </c>
      <c r="J1388" s="1" t="s">
        <v>1</v>
      </c>
      <c r="K1388" s="1" t="s">
        <v>8</v>
      </c>
      <c r="L1388" s="1">
        <v>1.5</v>
      </c>
      <c r="M1388" s="1">
        <v>1.99</v>
      </c>
      <c r="N1388" s="1" t="s">
        <v>89</v>
      </c>
      <c r="O1388" s="1" t="s">
        <v>1469</v>
      </c>
      <c r="P1388" s="1">
        <v>20000</v>
      </c>
      <c r="T1388"/>
    </row>
    <row r="1389" spans="9:20">
      <c r="I1389" s="1" t="s">
        <v>50</v>
      </c>
      <c r="J1389" s="1" t="s">
        <v>2</v>
      </c>
      <c r="K1389" s="1" t="s">
        <v>8</v>
      </c>
      <c r="L1389" s="1">
        <v>1.5</v>
      </c>
      <c r="M1389" s="1">
        <v>1.99</v>
      </c>
      <c r="N1389" s="1" t="s">
        <v>89</v>
      </c>
      <c r="O1389" s="1" t="s">
        <v>1470</v>
      </c>
      <c r="P1389" s="1">
        <v>17800</v>
      </c>
      <c r="T1389"/>
    </row>
    <row r="1390" spans="9:20">
      <c r="I1390" s="1" t="s">
        <v>50</v>
      </c>
      <c r="J1390" s="1" t="s">
        <v>3</v>
      </c>
      <c r="K1390" s="1" t="s">
        <v>8</v>
      </c>
      <c r="L1390" s="1">
        <v>1.5</v>
      </c>
      <c r="M1390" s="1">
        <v>1.99</v>
      </c>
      <c r="N1390" s="1" t="s">
        <v>89</v>
      </c>
      <c r="O1390" s="1" t="s">
        <v>1471</v>
      </c>
      <c r="P1390" s="1">
        <v>14600</v>
      </c>
      <c r="T1390"/>
    </row>
    <row r="1391" spans="9:20">
      <c r="I1391" s="1" t="s">
        <v>50</v>
      </c>
      <c r="J1391" s="1" t="s">
        <v>4</v>
      </c>
      <c r="K1391" s="1" t="s">
        <v>8</v>
      </c>
      <c r="L1391" s="1">
        <v>1.5</v>
      </c>
      <c r="M1391" s="1">
        <v>1.99</v>
      </c>
      <c r="N1391" s="1" t="s">
        <v>89</v>
      </c>
      <c r="O1391" s="1" t="s">
        <v>1472</v>
      </c>
      <c r="P1391" s="1">
        <v>12700</v>
      </c>
      <c r="T1391"/>
    </row>
    <row r="1392" spans="9:20">
      <c r="I1392" s="1" t="s">
        <v>50</v>
      </c>
      <c r="J1392" s="1" t="s">
        <v>5</v>
      </c>
      <c r="K1392" s="1" t="s">
        <v>8</v>
      </c>
      <c r="L1392" s="1">
        <v>1.5</v>
      </c>
      <c r="M1392" s="1">
        <v>1.99</v>
      </c>
      <c r="N1392" s="1" t="s">
        <v>89</v>
      </c>
      <c r="O1392" s="1" t="s">
        <v>1473</v>
      </c>
      <c r="P1392" s="1">
        <v>11400</v>
      </c>
      <c r="T1392"/>
    </row>
    <row r="1393" spans="9:20">
      <c r="I1393" s="1" t="s">
        <v>50</v>
      </c>
      <c r="J1393" s="1" t="s">
        <v>6</v>
      </c>
      <c r="K1393" s="1" t="s">
        <v>8</v>
      </c>
      <c r="L1393" s="1">
        <v>1.5</v>
      </c>
      <c r="M1393" s="1">
        <v>1.99</v>
      </c>
      <c r="N1393" s="1" t="s">
        <v>89</v>
      </c>
      <c r="O1393" s="1" t="s">
        <v>1474</v>
      </c>
      <c r="P1393" s="1">
        <v>8800</v>
      </c>
      <c r="T1393"/>
    </row>
    <row r="1394" spans="9:20">
      <c r="I1394" s="1" t="s">
        <v>50</v>
      </c>
      <c r="J1394" s="1" t="s">
        <v>7</v>
      </c>
      <c r="K1394" s="1" t="s">
        <v>8</v>
      </c>
      <c r="L1394" s="1">
        <v>1.5</v>
      </c>
      <c r="M1394" s="1">
        <v>1.99</v>
      </c>
      <c r="N1394" s="1" t="s">
        <v>89</v>
      </c>
      <c r="O1394" s="1" t="s">
        <v>1475</v>
      </c>
      <c r="P1394" s="1">
        <v>7100</v>
      </c>
      <c r="T1394"/>
    </row>
    <row r="1395" spans="9:20">
      <c r="I1395" s="1" t="s">
        <v>50</v>
      </c>
      <c r="J1395" s="1" t="s">
        <v>75</v>
      </c>
      <c r="K1395" s="1" t="s">
        <v>8</v>
      </c>
      <c r="L1395" s="1">
        <v>1.5</v>
      </c>
      <c r="M1395" s="1">
        <v>1.99</v>
      </c>
      <c r="N1395" s="1" t="s">
        <v>89</v>
      </c>
      <c r="O1395" s="1" t="s">
        <v>1476</v>
      </c>
      <c r="P1395" s="1">
        <v>6300</v>
      </c>
      <c r="T1395"/>
    </row>
    <row r="1396" spans="9:20">
      <c r="I1396" s="1" t="s">
        <v>50</v>
      </c>
      <c r="J1396" s="1" t="s">
        <v>78</v>
      </c>
      <c r="K1396" s="1" t="s">
        <v>8</v>
      </c>
      <c r="L1396" s="1">
        <v>1.5</v>
      </c>
      <c r="M1396" s="1">
        <v>1.99</v>
      </c>
      <c r="N1396" s="1" t="s">
        <v>89</v>
      </c>
      <c r="O1396" s="1" t="s">
        <v>1477</v>
      </c>
      <c r="P1396" s="1">
        <v>5200</v>
      </c>
      <c r="T1396"/>
    </row>
    <row r="1397" spans="9:20">
      <c r="I1397" s="1" t="s">
        <v>50</v>
      </c>
      <c r="J1397" s="1" t="s">
        <v>81</v>
      </c>
      <c r="K1397" s="1" t="s">
        <v>8</v>
      </c>
      <c r="L1397" s="1">
        <v>1.5</v>
      </c>
      <c r="M1397" s="1">
        <v>1.99</v>
      </c>
      <c r="N1397" s="1" t="s">
        <v>89</v>
      </c>
      <c r="O1397" s="1" t="s">
        <v>1478</v>
      </c>
      <c r="P1397" s="1">
        <v>3300</v>
      </c>
      <c r="T1397"/>
    </row>
    <row r="1398" spans="9:20">
      <c r="I1398" s="1" t="s">
        <v>50</v>
      </c>
      <c r="J1398" s="1" t="s">
        <v>84</v>
      </c>
      <c r="K1398" s="1" t="s">
        <v>8</v>
      </c>
      <c r="L1398" s="1">
        <v>1.5</v>
      </c>
      <c r="M1398" s="1">
        <v>1.99</v>
      </c>
      <c r="N1398" s="1" t="s">
        <v>89</v>
      </c>
      <c r="O1398" s="1" t="s">
        <v>1479</v>
      </c>
      <c r="P1398" s="1">
        <v>1800</v>
      </c>
      <c r="T1398"/>
    </row>
    <row r="1399" spans="9:20">
      <c r="I1399" s="1" t="s">
        <v>50</v>
      </c>
      <c r="J1399" s="1" t="s">
        <v>1</v>
      </c>
      <c r="K1399" s="1" t="s">
        <v>9</v>
      </c>
      <c r="L1399" s="1">
        <v>1.5</v>
      </c>
      <c r="M1399" s="1">
        <v>1.99</v>
      </c>
      <c r="N1399" s="1" t="s">
        <v>89</v>
      </c>
      <c r="O1399" s="1" t="s">
        <v>1480</v>
      </c>
      <c r="P1399" s="1">
        <v>17900</v>
      </c>
      <c r="T1399"/>
    </row>
    <row r="1400" spans="9:20">
      <c r="I1400" s="1" t="s">
        <v>50</v>
      </c>
      <c r="J1400" s="1" t="s">
        <v>2</v>
      </c>
      <c r="K1400" s="1" t="s">
        <v>9</v>
      </c>
      <c r="L1400" s="1">
        <v>1.5</v>
      </c>
      <c r="M1400" s="1">
        <v>1.99</v>
      </c>
      <c r="N1400" s="1" t="s">
        <v>89</v>
      </c>
      <c r="O1400" s="1" t="s">
        <v>1481</v>
      </c>
      <c r="P1400" s="1">
        <v>16400</v>
      </c>
      <c r="T1400"/>
    </row>
    <row r="1401" spans="9:20">
      <c r="I1401" s="1" t="s">
        <v>50</v>
      </c>
      <c r="J1401" s="1" t="s">
        <v>3</v>
      </c>
      <c r="K1401" s="1" t="s">
        <v>9</v>
      </c>
      <c r="L1401" s="1">
        <v>1.5</v>
      </c>
      <c r="M1401" s="1">
        <v>1.99</v>
      </c>
      <c r="N1401" s="1" t="s">
        <v>89</v>
      </c>
      <c r="O1401" s="1" t="s">
        <v>1482</v>
      </c>
      <c r="P1401" s="1">
        <v>13600</v>
      </c>
      <c r="T1401"/>
    </row>
    <row r="1402" spans="9:20">
      <c r="I1402" s="1" t="s">
        <v>50</v>
      </c>
      <c r="J1402" s="1" t="s">
        <v>4</v>
      </c>
      <c r="K1402" s="1" t="s">
        <v>9</v>
      </c>
      <c r="L1402" s="1">
        <v>1.5</v>
      </c>
      <c r="M1402" s="1">
        <v>1.99</v>
      </c>
      <c r="N1402" s="1" t="s">
        <v>89</v>
      </c>
      <c r="O1402" s="1" t="s">
        <v>1483</v>
      </c>
      <c r="P1402" s="1">
        <v>11600</v>
      </c>
      <c r="T1402"/>
    </row>
    <row r="1403" spans="9:20">
      <c r="I1403" s="1" t="s">
        <v>50</v>
      </c>
      <c r="J1403" s="1" t="s">
        <v>5</v>
      </c>
      <c r="K1403" s="1" t="s">
        <v>9</v>
      </c>
      <c r="L1403" s="1">
        <v>1.5</v>
      </c>
      <c r="M1403" s="1">
        <v>1.99</v>
      </c>
      <c r="N1403" s="1" t="s">
        <v>89</v>
      </c>
      <c r="O1403" s="1" t="s">
        <v>1484</v>
      </c>
      <c r="P1403" s="1">
        <v>10500</v>
      </c>
      <c r="T1403"/>
    </row>
    <row r="1404" spans="9:20">
      <c r="I1404" s="1" t="s">
        <v>50</v>
      </c>
      <c r="J1404" s="1" t="s">
        <v>6</v>
      </c>
      <c r="K1404" s="1" t="s">
        <v>9</v>
      </c>
      <c r="L1404" s="1">
        <v>1.5</v>
      </c>
      <c r="M1404" s="1">
        <v>1.99</v>
      </c>
      <c r="N1404" s="1" t="s">
        <v>89</v>
      </c>
      <c r="O1404" s="1" t="s">
        <v>1485</v>
      </c>
      <c r="P1404" s="1">
        <v>8200</v>
      </c>
      <c r="T1404"/>
    </row>
    <row r="1405" spans="9:20">
      <c r="I1405" s="1" t="s">
        <v>50</v>
      </c>
      <c r="J1405" s="1" t="s">
        <v>7</v>
      </c>
      <c r="K1405" s="1" t="s">
        <v>9</v>
      </c>
      <c r="L1405" s="1">
        <v>1.5</v>
      </c>
      <c r="M1405" s="1">
        <v>1.99</v>
      </c>
      <c r="N1405" s="1" t="s">
        <v>89</v>
      </c>
      <c r="O1405" s="1" t="s">
        <v>1486</v>
      </c>
      <c r="P1405" s="1">
        <v>6500</v>
      </c>
      <c r="T1405"/>
    </row>
    <row r="1406" spans="9:20">
      <c r="I1406" s="1" t="s">
        <v>50</v>
      </c>
      <c r="J1406" s="1" t="s">
        <v>75</v>
      </c>
      <c r="K1406" s="1" t="s">
        <v>9</v>
      </c>
      <c r="L1406" s="1">
        <v>1.5</v>
      </c>
      <c r="M1406" s="1">
        <v>1.99</v>
      </c>
      <c r="N1406" s="1" t="s">
        <v>89</v>
      </c>
      <c r="O1406" s="1" t="s">
        <v>1487</v>
      </c>
      <c r="P1406" s="1">
        <v>5700</v>
      </c>
      <c r="T1406"/>
    </row>
    <row r="1407" spans="9:20">
      <c r="I1407" s="1" t="s">
        <v>50</v>
      </c>
      <c r="J1407" s="1" t="s">
        <v>78</v>
      </c>
      <c r="K1407" s="1" t="s">
        <v>9</v>
      </c>
      <c r="L1407" s="1">
        <v>1.5</v>
      </c>
      <c r="M1407" s="1">
        <v>1.99</v>
      </c>
      <c r="N1407" s="1" t="s">
        <v>89</v>
      </c>
      <c r="O1407" s="1" t="s">
        <v>1488</v>
      </c>
      <c r="P1407" s="1">
        <v>4900</v>
      </c>
      <c r="T1407"/>
    </row>
    <row r="1408" spans="9:20">
      <c r="I1408" s="1" t="s">
        <v>50</v>
      </c>
      <c r="J1408" s="1" t="s">
        <v>81</v>
      </c>
      <c r="K1408" s="1" t="s">
        <v>9</v>
      </c>
      <c r="L1408" s="1">
        <v>1.5</v>
      </c>
      <c r="M1408" s="1">
        <v>1.99</v>
      </c>
      <c r="N1408" s="1" t="s">
        <v>89</v>
      </c>
      <c r="O1408" s="1" t="s">
        <v>1489</v>
      </c>
      <c r="P1408" s="1">
        <v>3100</v>
      </c>
      <c r="T1408"/>
    </row>
    <row r="1409" spans="9:20">
      <c r="I1409" s="1" t="s">
        <v>50</v>
      </c>
      <c r="J1409" s="1" t="s">
        <v>84</v>
      </c>
      <c r="K1409" s="1" t="s">
        <v>9</v>
      </c>
      <c r="L1409" s="1">
        <v>1.5</v>
      </c>
      <c r="M1409" s="1">
        <v>1.99</v>
      </c>
      <c r="N1409" s="1" t="s">
        <v>89</v>
      </c>
      <c r="O1409" s="1" t="s">
        <v>1490</v>
      </c>
      <c r="P1409" s="1">
        <v>1700</v>
      </c>
      <c r="T1409"/>
    </row>
    <row r="1410" spans="9:20">
      <c r="I1410" s="1" t="s">
        <v>50</v>
      </c>
      <c r="J1410" s="1" t="s">
        <v>1</v>
      </c>
      <c r="K1410" s="1" t="s">
        <v>10</v>
      </c>
      <c r="L1410" s="1">
        <v>1.5</v>
      </c>
      <c r="M1410" s="1">
        <v>1.99</v>
      </c>
      <c r="N1410" s="1" t="s">
        <v>89</v>
      </c>
      <c r="O1410" s="1" t="s">
        <v>1491</v>
      </c>
      <c r="P1410" s="1">
        <v>15600</v>
      </c>
      <c r="T1410"/>
    </row>
    <row r="1411" spans="9:20">
      <c r="I1411" s="1" t="s">
        <v>50</v>
      </c>
      <c r="J1411" s="1" t="s">
        <v>2</v>
      </c>
      <c r="K1411" s="1" t="s">
        <v>10</v>
      </c>
      <c r="L1411" s="1">
        <v>1.5</v>
      </c>
      <c r="M1411" s="1">
        <v>1.99</v>
      </c>
      <c r="N1411" s="1" t="s">
        <v>89</v>
      </c>
      <c r="O1411" s="1" t="s">
        <v>1492</v>
      </c>
      <c r="P1411" s="1">
        <v>14500</v>
      </c>
      <c r="T1411"/>
    </row>
    <row r="1412" spans="9:20">
      <c r="I1412" s="1" t="s">
        <v>50</v>
      </c>
      <c r="J1412" s="1" t="s">
        <v>3</v>
      </c>
      <c r="K1412" s="1" t="s">
        <v>10</v>
      </c>
      <c r="L1412" s="1">
        <v>1.5</v>
      </c>
      <c r="M1412" s="1">
        <v>1.99</v>
      </c>
      <c r="N1412" s="1" t="s">
        <v>89</v>
      </c>
      <c r="O1412" s="1" t="s">
        <v>1493</v>
      </c>
      <c r="P1412" s="1">
        <v>12500</v>
      </c>
      <c r="T1412"/>
    </row>
    <row r="1413" spans="9:20">
      <c r="I1413" s="1" t="s">
        <v>50</v>
      </c>
      <c r="J1413" s="1" t="s">
        <v>4</v>
      </c>
      <c r="K1413" s="1" t="s">
        <v>10</v>
      </c>
      <c r="L1413" s="1">
        <v>1.5</v>
      </c>
      <c r="M1413" s="1">
        <v>1.99</v>
      </c>
      <c r="N1413" s="1" t="s">
        <v>89</v>
      </c>
      <c r="O1413" s="1" t="s">
        <v>1494</v>
      </c>
      <c r="P1413" s="1">
        <v>10800</v>
      </c>
      <c r="T1413"/>
    </row>
    <row r="1414" spans="9:20">
      <c r="I1414" s="1" t="s">
        <v>50</v>
      </c>
      <c r="J1414" s="1" t="s">
        <v>5</v>
      </c>
      <c r="K1414" s="1" t="s">
        <v>10</v>
      </c>
      <c r="L1414" s="1">
        <v>1.5</v>
      </c>
      <c r="M1414" s="1">
        <v>1.99</v>
      </c>
      <c r="N1414" s="1" t="s">
        <v>89</v>
      </c>
      <c r="O1414" s="1" t="s">
        <v>1495</v>
      </c>
      <c r="P1414" s="1">
        <v>9800</v>
      </c>
      <c r="T1414"/>
    </row>
    <row r="1415" spans="9:20">
      <c r="I1415" s="1" t="s">
        <v>50</v>
      </c>
      <c r="J1415" s="1" t="s">
        <v>6</v>
      </c>
      <c r="K1415" s="1" t="s">
        <v>10</v>
      </c>
      <c r="L1415" s="1">
        <v>1.5</v>
      </c>
      <c r="M1415" s="1">
        <v>1.99</v>
      </c>
      <c r="N1415" s="1" t="s">
        <v>89</v>
      </c>
      <c r="O1415" s="1" t="s">
        <v>1496</v>
      </c>
      <c r="P1415" s="1">
        <v>7700</v>
      </c>
      <c r="T1415"/>
    </row>
    <row r="1416" spans="9:20">
      <c r="I1416" s="1" t="s">
        <v>50</v>
      </c>
      <c r="J1416" s="1" t="s">
        <v>7</v>
      </c>
      <c r="K1416" s="1" t="s">
        <v>10</v>
      </c>
      <c r="L1416" s="1">
        <v>1.5</v>
      </c>
      <c r="M1416" s="1">
        <v>1.99</v>
      </c>
      <c r="N1416" s="1" t="s">
        <v>89</v>
      </c>
      <c r="O1416" s="1" t="s">
        <v>1497</v>
      </c>
      <c r="P1416" s="1">
        <v>6100</v>
      </c>
      <c r="T1416"/>
    </row>
    <row r="1417" spans="9:20">
      <c r="I1417" s="1" t="s">
        <v>50</v>
      </c>
      <c r="J1417" s="1" t="s">
        <v>75</v>
      </c>
      <c r="K1417" s="1" t="s">
        <v>10</v>
      </c>
      <c r="L1417" s="1">
        <v>1.5</v>
      </c>
      <c r="M1417" s="1">
        <v>1.99</v>
      </c>
      <c r="N1417" s="1" t="s">
        <v>89</v>
      </c>
      <c r="O1417" s="1" t="s">
        <v>1498</v>
      </c>
      <c r="P1417" s="1">
        <v>5400</v>
      </c>
      <c r="T1417"/>
    </row>
    <row r="1418" spans="9:20">
      <c r="I1418" s="1" t="s">
        <v>50</v>
      </c>
      <c r="J1418" s="1" t="s">
        <v>78</v>
      </c>
      <c r="K1418" s="1" t="s">
        <v>10</v>
      </c>
      <c r="L1418" s="1">
        <v>1.5</v>
      </c>
      <c r="M1418" s="1">
        <v>1.99</v>
      </c>
      <c r="N1418" s="1" t="s">
        <v>89</v>
      </c>
      <c r="O1418" s="1" t="s">
        <v>1499</v>
      </c>
      <c r="P1418" s="1">
        <v>4700</v>
      </c>
      <c r="T1418"/>
    </row>
    <row r="1419" spans="9:20">
      <c r="I1419" s="1" t="s">
        <v>50</v>
      </c>
      <c r="J1419" s="1" t="s">
        <v>81</v>
      </c>
      <c r="K1419" s="1" t="s">
        <v>10</v>
      </c>
      <c r="L1419" s="1">
        <v>1.5</v>
      </c>
      <c r="M1419" s="1">
        <v>1.99</v>
      </c>
      <c r="N1419" s="1" t="s">
        <v>89</v>
      </c>
      <c r="O1419" s="1" t="s">
        <v>1500</v>
      </c>
      <c r="P1419" s="1">
        <v>3000</v>
      </c>
      <c r="T1419"/>
    </row>
    <row r="1420" spans="9:20">
      <c r="I1420" s="1" t="s">
        <v>50</v>
      </c>
      <c r="J1420" s="1" t="s">
        <v>84</v>
      </c>
      <c r="K1420" s="1" t="s">
        <v>10</v>
      </c>
      <c r="L1420" s="1">
        <v>1.5</v>
      </c>
      <c r="M1420" s="1">
        <v>1.99</v>
      </c>
      <c r="N1420" s="1" t="s">
        <v>89</v>
      </c>
      <c r="O1420" s="1" t="s">
        <v>1501</v>
      </c>
      <c r="P1420" s="1">
        <v>1600</v>
      </c>
      <c r="T1420"/>
    </row>
    <row r="1421" spans="9:20">
      <c r="I1421" s="1" t="s">
        <v>50</v>
      </c>
      <c r="J1421" s="1" t="s">
        <v>1</v>
      </c>
      <c r="K1421" s="1" t="s">
        <v>11</v>
      </c>
      <c r="L1421" s="1">
        <v>1.5</v>
      </c>
      <c r="M1421" s="1">
        <v>1.99</v>
      </c>
      <c r="N1421" s="1" t="s">
        <v>89</v>
      </c>
      <c r="O1421" s="1" t="s">
        <v>1502</v>
      </c>
      <c r="P1421" s="1">
        <v>12900</v>
      </c>
      <c r="T1421"/>
    </row>
    <row r="1422" spans="9:20">
      <c r="I1422" s="1" t="s">
        <v>50</v>
      </c>
      <c r="J1422" s="1" t="s">
        <v>2</v>
      </c>
      <c r="K1422" s="1" t="s">
        <v>11</v>
      </c>
      <c r="L1422" s="1">
        <v>1.5</v>
      </c>
      <c r="M1422" s="1">
        <v>1.99</v>
      </c>
      <c r="N1422" s="1" t="s">
        <v>89</v>
      </c>
      <c r="O1422" s="1" t="s">
        <v>1503</v>
      </c>
      <c r="P1422" s="1">
        <v>12000</v>
      </c>
      <c r="T1422"/>
    </row>
    <row r="1423" spans="9:20">
      <c r="I1423" s="1" t="s">
        <v>50</v>
      </c>
      <c r="J1423" s="1" t="s">
        <v>3</v>
      </c>
      <c r="K1423" s="1" t="s">
        <v>11</v>
      </c>
      <c r="L1423" s="1">
        <v>1.5</v>
      </c>
      <c r="M1423" s="1">
        <v>1.99</v>
      </c>
      <c r="N1423" s="1" t="s">
        <v>89</v>
      </c>
      <c r="O1423" s="1" t="s">
        <v>1504</v>
      </c>
      <c r="P1423" s="1">
        <v>10800</v>
      </c>
      <c r="T1423"/>
    </row>
    <row r="1424" spans="9:20">
      <c r="I1424" s="1" t="s">
        <v>50</v>
      </c>
      <c r="J1424" s="1" t="s">
        <v>4</v>
      </c>
      <c r="K1424" s="1" t="s">
        <v>11</v>
      </c>
      <c r="L1424" s="1">
        <v>1.5</v>
      </c>
      <c r="M1424" s="1">
        <v>1.99</v>
      </c>
      <c r="N1424" s="1" t="s">
        <v>89</v>
      </c>
      <c r="O1424" s="1" t="s">
        <v>1505</v>
      </c>
      <c r="P1424" s="1">
        <v>9400</v>
      </c>
      <c r="T1424"/>
    </row>
    <row r="1425" spans="9:20">
      <c r="I1425" s="1" t="s">
        <v>50</v>
      </c>
      <c r="J1425" s="1" t="s">
        <v>5</v>
      </c>
      <c r="K1425" s="1" t="s">
        <v>11</v>
      </c>
      <c r="L1425" s="1">
        <v>1.5</v>
      </c>
      <c r="M1425" s="1">
        <v>1.99</v>
      </c>
      <c r="N1425" s="1" t="s">
        <v>89</v>
      </c>
      <c r="O1425" s="1" t="s">
        <v>1506</v>
      </c>
      <c r="P1425" s="1">
        <v>8500</v>
      </c>
      <c r="T1425"/>
    </row>
    <row r="1426" spans="9:20">
      <c r="I1426" s="1" t="s">
        <v>50</v>
      </c>
      <c r="J1426" s="1" t="s">
        <v>6</v>
      </c>
      <c r="K1426" s="1" t="s">
        <v>11</v>
      </c>
      <c r="L1426" s="1">
        <v>1.5</v>
      </c>
      <c r="M1426" s="1">
        <v>1.99</v>
      </c>
      <c r="N1426" s="1" t="s">
        <v>89</v>
      </c>
      <c r="O1426" s="1" t="s">
        <v>1507</v>
      </c>
      <c r="P1426" s="1">
        <v>7100</v>
      </c>
      <c r="T1426"/>
    </row>
    <row r="1427" spans="9:20">
      <c r="I1427" s="1" t="s">
        <v>50</v>
      </c>
      <c r="J1427" s="1" t="s">
        <v>7</v>
      </c>
      <c r="K1427" s="1" t="s">
        <v>11</v>
      </c>
      <c r="L1427" s="1">
        <v>1.5</v>
      </c>
      <c r="M1427" s="1">
        <v>1.99</v>
      </c>
      <c r="N1427" s="1" t="s">
        <v>89</v>
      </c>
      <c r="O1427" s="1" t="s">
        <v>1508</v>
      </c>
      <c r="P1427" s="1">
        <v>5700</v>
      </c>
      <c r="T1427"/>
    </row>
    <row r="1428" spans="9:20">
      <c r="I1428" s="1" t="s">
        <v>50</v>
      </c>
      <c r="J1428" s="1" t="s">
        <v>75</v>
      </c>
      <c r="K1428" s="1" t="s">
        <v>11</v>
      </c>
      <c r="L1428" s="1">
        <v>1.5</v>
      </c>
      <c r="M1428" s="1">
        <v>1.99</v>
      </c>
      <c r="N1428" s="1" t="s">
        <v>89</v>
      </c>
      <c r="O1428" s="1" t="s">
        <v>1509</v>
      </c>
      <c r="P1428" s="1">
        <v>5100</v>
      </c>
      <c r="T1428"/>
    </row>
    <row r="1429" spans="9:20">
      <c r="I1429" s="1" t="s">
        <v>50</v>
      </c>
      <c r="J1429" s="1" t="s">
        <v>78</v>
      </c>
      <c r="K1429" s="1" t="s">
        <v>11</v>
      </c>
      <c r="L1429" s="1">
        <v>1.5</v>
      </c>
      <c r="M1429" s="1">
        <v>1.99</v>
      </c>
      <c r="N1429" s="1" t="s">
        <v>89</v>
      </c>
      <c r="O1429" s="1" t="s">
        <v>1510</v>
      </c>
      <c r="P1429" s="1">
        <v>4400</v>
      </c>
      <c r="T1429"/>
    </row>
    <row r="1430" spans="9:20">
      <c r="I1430" s="1" t="s">
        <v>50</v>
      </c>
      <c r="J1430" s="1" t="s">
        <v>81</v>
      </c>
      <c r="K1430" s="1" t="s">
        <v>11</v>
      </c>
      <c r="L1430" s="1">
        <v>1.5</v>
      </c>
      <c r="M1430" s="1">
        <v>1.99</v>
      </c>
      <c r="N1430" s="1" t="s">
        <v>89</v>
      </c>
      <c r="O1430" s="1" t="s">
        <v>1511</v>
      </c>
      <c r="P1430" s="1">
        <v>2900</v>
      </c>
      <c r="T1430"/>
    </row>
    <row r="1431" spans="9:20">
      <c r="I1431" s="1" t="s">
        <v>50</v>
      </c>
      <c r="J1431" s="1" t="s">
        <v>84</v>
      </c>
      <c r="K1431" s="1" t="s">
        <v>11</v>
      </c>
      <c r="L1431" s="1">
        <v>1.5</v>
      </c>
      <c r="M1431" s="1">
        <v>1.99</v>
      </c>
      <c r="N1431" s="1" t="s">
        <v>89</v>
      </c>
      <c r="O1431" s="1" t="s">
        <v>1512</v>
      </c>
      <c r="P1431" s="1">
        <v>1500</v>
      </c>
      <c r="T1431"/>
    </row>
    <row r="1432" spans="9:20">
      <c r="I1432" s="1" t="s">
        <v>50</v>
      </c>
      <c r="J1432" s="1" t="s">
        <v>1</v>
      </c>
      <c r="K1432" s="1" t="s">
        <v>12</v>
      </c>
      <c r="L1432" s="1">
        <v>1.5</v>
      </c>
      <c r="M1432" s="1">
        <v>1.99</v>
      </c>
      <c r="N1432" s="1" t="s">
        <v>89</v>
      </c>
      <c r="O1432" s="1" t="s">
        <v>1513</v>
      </c>
      <c r="P1432" s="1">
        <v>10300</v>
      </c>
      <c r="T1432"/>
    </row>
    <row r="1433" spans="9:20">
      <c r="I1433" s="1" t="s">
        <v>50</v>
      </c>
      <c r="J1433" s="1" t="s">
        <v>2</v>
      </c>
      <c r="K1433" s="1" t="s">
        <v>12</v>
      </c>
      <c r="L1433" s="1">
        <v>1.5</v>
      </c>
      <c r="M1433" s="1">
        <v>1.99</v>
      </c>
      <c r="N1433" s="1" t="s">
        <v>89</v>
      </c>
      <c r="O1433" s="1" t="s">
        <v>1514</v>
      </c>
      <c r="P1433" s="1">
        <v>9500</v>
      </c>
      <c r="T1433"/>
    </row>
    <row r="1434" spans="9:20">
      <c r="I1434" s="1" t="s">
        <v>50</v>
      </c>
      <c r="J1434" s="1" t="s">
        <v>3</v>
      </c>
      <c r="K1434" s="1" t="s">
        <v>12</v>
      </c>
      <c r="L1434" s="1">
        <v>1.5</v>
      </c>
      <c r="M1434" s="1">
        <v>1.99</v>
      </c>
      <c r="N1434" s="1" t="s">
        <v>89</v>
      </c>
      <c r="O1434" s="1" t="s">
        <v>1515</v>
      </c>
      <c r="P1434" s="1">
        <v>8600</v>
      </c>
      <c r="T1434"/>
    </row>
    <row r="1435" spans="9:20">
      <c r="I1435" s="1" t="s">
        <v>50</v>
      </c>
      <c r="J1435" s="1" t="s">
        <v>4</v>
      </c>
      <c r="K1435" s="1" t="s">
        <v>12</v>
      </c>
      <c r="L1435" s="1">
        <v>1.5</v>
      </c>
      <c r="M1435" s="1">
        <v>1.99</v>
      </c>
      <c r="N1435" s="1" t="s">
        <v>89</v>
      </c>
      <c r="O1435" s="1" t="s">
        <v>1516</v>
      </c>
      <c r="P1435" s="1">
        <v>7700</v>
      </c>
      <c r="T1435"/>
    </row>
    <row r="1436" spans="9:20">
      <c r="I1436" s="1" t="s">
        <v>50</v>
      </c>
      <c r="J1436" s="1" t="s">
        <v>5</v>
      </c>
      <c r="K1436" s="1" t="s">
        <v>12</v>
      </c>
      <c r="L1436" s="1">
        <v>1.5</v>
      </c>
      <c r="M1436" s="1">
        <v>1.99</v>
      </c>
      <c r="N1436" s="1" t="s">
        <v>89</v>
      </c>
      <c r="O1436" s="1" t="s">
        <v>1517</v>
      </c>
      <c r="P1436" s="1">
        <v>7000</v>
      </c>
      <c r="T1436"/>
    </row>
    <row r="1437" spans="9:20">
      <c r="I1437" s="1" t="s">
        <v>50</v>
      </c>
      <c r="J1437" s="1" t="s">
        <v>6</v>
      </c>
      <c r="K1437" s="1" t="s">
        <v>12</v>
      </c>
      <c r="L1437" s="1">
        <v>1.5</v>
      </c>
      <c r="M1437" s="1">
        <v>1.99</v>
      </c>
      <c r="N1437" s="1" t="s">
        <v>89</v>
      </c>
      <c r="O1437" s="1" t="s">
        <v>1518</v>
      </c>
      <c r="P1437" s="1">
        <v>6300</v>
      </c>
      <c r="T1437"/>
    </row>
    <row r="1438" spans="9:20">
      <c r="I1438" s="1" t="s">
        <v>50</v>
      </c>
      <c r="J1438" s="1" t="s">
        <v>7</v>
      </c>
      <c r="K1438" s="1" t="s">
        <v>12</v>
      </c>
      <c r="L1438" s="1">
        <v>1.5</v>
      </c>
      <c r="M1438" s="1">
        <v>1.99</v>
      </c>
      <c r="N1438" s="1" t="s">
        <v>89</v>
      </c>
      <c r="O1438" s="1" t="s">
        <v>1519</v>
      </c>
      <c r="P1438" s="1">
        <v>5200</v>
      </c>
      <c r="T1438"/>
    </row>
    <row r="1439" spans="9:20">
      <c r="I1439" s="1" t="s">
        <v>50</v>
      </c>
      <c r="J1439" s="1" t="s">
        <v>75</v>
      </c>
      <c r="K1439" s="1" t="s">
        <v>12</v>
      </c>
      <c r="L1439" s="1">
        <v>1.5</v>
      </c>
      <c r="M1439" s="1">
        <v>1.99</v>
      </c>
      <c r="N1439" s="1" t="s">
        <v>89</v>
      </c>
      <c r="O1439" s="1" t="s">
        <v>1520</v>
      </c>
      <c r="P1439" s="1">
        <v>4800</v>
      </c>
      <c r="T1439"/>
    </row>
    <row r="1440" spans="9:20">
      <c r="I1440" s="1" t="s">
        <v>50</v>
      </c>
      <c r="J1440" s="1" t="s">
        <v>78</v>
      </c>
      <c r="K1440" s="1" t="s">
        <v>12</v>
      </c>
      <c r="L1440" s="1">
        <v>1.5</v>
      </c>
      <c r="M1440" s="1">
        <v>1.99</v>
      </c>
      <c r="N1440" s="1" t="s">
        <v>89</v>
      </c>
      <c r="O1440" s="1" t="s">
        <v>1521</v>
      </c>
      <c r="P1440" s="1">
        <v>4000</v>
      </c>
      <c r="T1440"/>
    </row>
    <row r="1441" spans="9:20">
      <c r="I1441" s="1" t="s">
        <v>50</v>
      </c>
      <c r="J1441" s="1" t="s">
        <v>81</v>
      </c>
      <c r="K1441" s="1" t="s">
        <v>12</v>
      </c>
      <c r="L1441" s="1">
        <v>1.5</v>
      </c>
      <c r="M1441" s="1">
        <v>1.99</v>
      </c>
      <c r="N1441" s="1" t="s">
        <v>89</v>
      </c>
      <c r="O1441" s="1" t="s">
        <v>1522</v>
      </c>
      <c r="P1441" s="1">
        <v>2800</v>
      </c>
      <c r="T1441"/>
    </row>
    <row r="1442" spans="9:20">
      <c r="I1442" s="1" t="s">
        <v>50</v>
      </c>
      <c r="J1442" s="1" t="s">
        <v>84</v>
      </c>
      <c r="K1442" s="1" t="s">
        <v>12</v>
      </c>
      <c r="L1442" s="1">
        <v>1.5</v>
      </c>
      <c r="M1442" s="1">
        <v>1.99</v>
      </c>
      <c r="N1442" s="1" t="s">
        <v>89</v>
      </c>
      <c r="O1442" s="1" t="s">
        <v>1523</v>
      </c>
      <c r="P1442" s="1">
        <v>1500</v>
      </c>
      <c r="T1442"/>
    </row>
    <row r="1443" spans="9:20">
      <c r="I1443" s="1" t="s">
        <v>50</v>
      </c>
      <c r="J1443" s="1" t="s">
        <v>1</v>
      </c>
      <c r="K1443" s="1" t="s">
        <v>13</v>
      </c>
      <c r="L1443" s="1">
        <v>1.5</v>
      </c>
      <c r="M1443" s="1">
        <v>1.99</v>
      </c>
      <c r="N1443" s="1" t="s">
        <v>89</v>
      </c>
      <c r="O1443" s="1" t="s">
        <v>1524</v>
      </c>
      <c r="P1443" s="1">
        <v>8300</v>
      </c>
      <c r="T1443"/>
    </row>
    <row r="1444" spans="9:20">
      <c r="I1444" s="1" t="s">
        <v>50</v>
      </c>
      <c r="J1444" s="1" t="s">
        <v>2</v>
      </c>
      <c r="K1444" s="1" t="s">
        <v>13</v>
      </c>
      <c r="L1444" s="1">
        <v>1.5</v>
      </c>
      <c r="M1444" s="1">
        <v>1.99</v>
      </c>
      <c r="N1444" s="1" t="s">
        <v>89</v>
      </c>
      <c r="O1444" s="1" t="s">
        <v>1525</v>
      </c>
      <c r="P1444" s="1">
        <v>7700</v>
      </c>
      <c r="T1444"/>
    </row>
    <row r="1445" spans="9:20">
      <c r="I1445" s="1" t="s">
        <v>50</v>
      </c>
      <c r="J1445" s="1" t="s">
        <v>3</v>
      </c>
      <c r="K1445" s="1" t="s">
        <v>13</v>
      </c>
      <c r="L1445" s="1">
        <v>1.5</v>
      </c>
      <c r="M1445" s="1">
        <v>1.99</v>
      </c>
      <c r="N1445" s="1" t="s">
        <v>89</v>
      </c>
      <c r="O1445" s="1" t="s">
        <v>1526</v>
      </c>
      <c r="P1445" s="1">
        <v>6900</v>
      </c>
      <c r="T1445"/>
    </row>
    <row r="1446" spans="9:20">
      <c r="I1446" s="1" t="s">
        <v>50</v>
      </c>
      <c r="J1446" s="1" t="s">
        <v>4</v>
      </c>
      <c r="K1446" s="1" t="s">
        <v>13</v>
      </c>
      <c r="L1446" s="1">
        <v>1.5</v>
      </c>
      <c r="M1446" s="1">
        <v>1.99</v>
      </c>
      <c r="N1446" s="1" t="s">
        <v>89</v>
      </c>
      <c r="O1446" s="1" t="s">
        <v>1527</v>
      </c>
      <c r="P1446" s="1">
        <v>6500</v>
      </c>
      <c r="T1446"/>
    </row>
    <row r="1447" spans="9:20">
      <c r="I1447" s="1" t="s">
        <v>50</v>
      </c>
      <c r="J1447" s="1" t="s">
        <v>5</v>
      </c>
      <c r="K1447" s="1" t="s">
        <v>13</v>
      </c>
      <c r="L1447" s="1">
        <v>1.5</v>
      </c>
      <c r="M1447" s="1">
        <v>1.99</v>
      </c>
      <c r="N1447" s="1" t="s">
        <v>89</v>
      </c>
      <c r="O1447" s="1" t="s">
        <v>1528</v>
      </c>
      <c r="P1447" s="1">
        <v>6000</v>
      </c>
      <c r="T1447"/>
    </row>
    <row r="1448" spans="9:20">
      <c r="I1448" s="1" t="s">
        <v>50</v>
      </c>
      <c r="J1448" s="1" t="s">
        <v>6</v>
      </c>
      <c r="K1448" s="1" t="s">
        <v>13</v>
      </c>
      <c r="L1448" s="1">
        <v>1.5</v>
      </c>
      <c r="M1448" s="1">
        <v>1.99</v>
      </c>
      <c r="N1448" s="1" t="s">
        <v>89</v>
      </c>
      <c r="O1448" s="1" t="s">
        <v>1529</v>
      </c>
      <c r="P1448" s="1">
        <v>5300</v>
      </c>
      <c r="T1448"/>
    </row>
    <row r="1449" spans="9:20">
      <c r="I1449" s="1" t="s">
        <v>50</v>
      </c>
      <c r="J1449" s="1" t="s">
        <v>7</v>
      </c>
      <c r="K1449" s="1" t="s">
        <v>13</v>
      </c>
      <c r="L1449" s="1">
        <v>1.5</v>
      </c>
      <c r="M1449" s="1">
        <v>1.99</v>
      </c>
      <c r="N1449" s="1" t="s">
        <v>89</v>
      </c>
      <c r="O1449" s="1" t="s">
        <v>1530</v>
      </c>
      <c r="P1449" s="1">
        <v>4800</v>
      </c>
      <c r="T1449"/>
    </row>
    <row r="1450" spans="9:20">
      <c r="I1450" s="1" t="s">
        <v>50</v>
      </c>
      <c r="J1450" s="1" t="s">
        <v>75</v>
      </c>
      <c r="K1450" s="1" t="s">
        <v>13</v>
      </c>
      <c r="L1450" s="1">
        <v>1.5</v>
      </c>
      <c r="M1450" s="1">
        <v>1.99</v>
      </c>
      <c r="N1450" s="1" t="s">
        <v>89</v>
      </c>
      <c r="O1450" s="1" t="s">
        <v>1531</v>
      </c>
      <c r="P1450" s="1">
        <v>4400</v>
      </c>
      <c r="T1450"/>
    </row>
    <row r="1451" spans="9:20">
      <c r="I1451" s="1" t="s">
        <v>50</v>
      </c>
      <c r="J1451" s="1" t="s">
        <v>78</v>
      </c>
      <c r="K1451" s="1" t="s">
        <v>13</v>
      </c>
      <c r="L1451" s="1">
        <v>1.5</v>
      </c>
      <c r="M1451" s="1">
        <v>1.99</v>
      </c>
      <c r="N1451" s="1" t="s">
        <v>89</v>
      </c>
      <c r="O1451" s="1" t="s">
        <v>1532</v>
      </c>
      <c r="P1451" s="1">
        <v>3700</v>
      </c>
      <c r="T1451"/>
    </row>
    <row r="1452" spans="9:20">
      <c r="I1452" s="1" t="s">
        <v>50</v>
      </c>
      <c r="J1452" s="1" t="s">
        <v>81</v>
      </c>
      <c r="K1452" s="1" t="s">
        <v>13</v>
      </c>
      <c r="L1452" s="1">
        <v>1.5</v>
      </c>
      <c r="M1452" s="1">
        <v>1.99</v>
      </c>
      <c r="N1452" s="1" t="s">
        <v>89</v>
      </c>
      <c r="O1452" s="1" t="s">
        <v>1533</v>
      </c>
      <c r="P1452" s="1">
        <v>2600</v>
      </c>
      <c r="T1452"/>
    </row>
    <row r="1453" spans="9:20">
      <c r="I1453" s="1" t="s">
        <v>50</v>
      </c>
      <c r="J1453" s="1" t="s">
        <v>84</v>
      </c>
      <c r="K1453" s="1" t="s">
        <v>13</v>
      </c>
      <c r="L1453" s="1">
        <v>1.5</v>
      </c>
      <c r="M1453" s="1">
        <v>1.99</v>
      </c>
      <c r="N1453" s="1" t="s">
        <v>89</v>
      </c>
      <c r="O1453" s="1" t="s">
        <v>1534</v>
      </c>
      <c r="P1453" s="1">
        <v>1400</v>
      </c>
      <c r="T1453"/>
    </row>
    <row r="1454" spans="9:20">
      <c r="I1454" s="1" t="s">
        <v>50</v>
      </c>
      <c r="J1454" s="1" t="s">
        <v>1</v>
      </c>
      <c r="K1454" s="1" t="s">
        <v>14</v>
      </c>
      <c r="L1454" s="1">
        <v>1.5</v>
      </c>
      <c r="M1454" s="1">
        <v>1.99</v>
      </c>
      <c r="N1454" s="1" t="s">
        <v>89</v>
      </c>
      <c r="O1454" s="1" t="s">
        <v>1535</v>
      </c>
      <c r="P1454" s="1">
        <v>7000</v>
      </c>
      <c r="T1454"/>
    </row>
    <row r="1455" spans="9:20">
      <c r="I1455" s="1" t="s">
        <v>50</v>
      </c>
      <c r="J1455" s="1" t="s">
        <v>2</v>
      </c>
      <c r="K1455" s="1" t="s">
        <v>14</v>
      </c>
      <c r="L1455" s="1">
        <v>1.5</v>
      </c>
      <c r="M1455" s="1">
        <v>1.99</v>
      </c>
      <c r="N1455" s="1" t="s">
        <v>89</v>
      </c>
      <c r="O1455" s="1" t="s">
        <v>1536</v>
      </c>
      <c r="P1455" s="1">
        <v>6400</v>
      </c>
      <c r="T1455"/>
    </row>
    <row r="1456" spans="9:20">
      <c r="I1456" s="1" t="s">
        <v>50</v>
      </c>
      <c r="J1456" s="1" t="s">
        <v>3</v>
      </c>
      <c r="K1456" s="1" t="s">
        <v>14</v>
      </c>
      <c r="L1456" s="1">
        <v>1.5</v>
      </c>
      <c r="M1456" s="1">
        <v>1.99</v>
      </c>
      <c r="N1456" s="1" t="s">
        <v>89</v>
      </c>
      <c r="O1456" s="1" t="s">
        <v>1537</v>
      </c>
      <c r="P1456" s="1">
        <v>5800</v>
      </c>
      <c r="T1456"/>
    </row>
    <row r="1457" spans="9:20">
      <c r="I1457" s="1" t="s">
        <v>50</v>
      </c>
      <c r="J1457" s="1" t="s">
        <v>4</v>
      </c>
      <c r="K1457" s="1" t="s">
        <v>14</v>
      </c>
      <c r="L1457" s="1">
        <v>1.5</v>
      </c>
      <c r="M1457" s="1">
        <v>1.99</v>
      </c>
      <c r="N1457" s="1" t="s">
        <v>89</v>
      </c>
      <c r="O1457" s="1" t="s">
        <v>1538</v>
      </c>
      <c r="P1457" s="1">
        <v>5400</v>
      </c>
      <c r="T1457"/>
    </row>
    <row r="1458" spans="9:20">
      <c r="I1458" s="1" t="s">
        <v>50</v>
      </c>
      <c r="J1458" s="1" t="s">
        <v>5</v>
      </c>
      <c r="K1458" s="1" t="s">
        <v>14</v>
      </c>
      <c r="L1458" s="1">
        <v>1.5</v>
      </c>
      <c r="M1458" s="1">
        <v>1.99</v>
      </c>
      <c r="N1458" s="1" t="s">
        <v>89</v>
      </c>
      <c r="O1458" s="1" t="s">
        <v>1539</v>
      </c>
      <c r="P1458" s="1">
        <v>5000</v>
      </c>
      <c r="T1458"/>
    </row>
    <row r="1459" spans="9:20">
      <c r="I1459" s="1" t="s">
        <v>50</v>
      </c>
      <c r="J1459" s="1" t="s">
        <v>6</v>
      </c>
      <c r="K1459" s="1" t="s">
        <v>14</v>
      </c>
      <c r="L1459" s="1">
        <v>1.5</v>
      </c>
      <c r="M1459" s="1">
        <v>1.99</v>
      </c>
      <c r="N1459" s="1" t="s">
        <v>89</v>
      </c>
      <c r="O1459" s="1" t="s">
        <v>1540</v>
      </c>
      <c r="P1459" s="1">
        <v>4600</v>
      </c>
      <c r="T1459"/>
    </row>
    <row r="1460" spans="9:20">
      <c r="I1460" s="1" t="s">
        <v>50</v>
      </c>
      <c r="J1460" s="1" t="s">
        <v>7</v>
      </c>
      <c r="K1460" s="1" t="s">
        <v>14</v>
      </c>
      <c r="L1460" s="1">
        <v>1.5</v>
      </c>
      <c r="M1460" s="1">
        <v>1.99</v>
      </c>
      <c r="N1460" s="1" t="s">
        <v>89</v>
      </c>
      <c r="O1460" s="1" t="s">
        <v>1541</v>
      </c>
      <c r="P1460" s="1">
        <v>4100</v>
      </c>
      <c r="T1460"/>
    </row>
    <row r="1461" spans="9:20">
      <c r="I1461" s="1" t="s">
        <v>50</v>
      </c>
      <c r="J1461" s="1" t="s">
        <v>75</v>
      </c>
      <c r="K1461" s="1" t="s">
        <v>14</v>
      </c>
      <c r="L1461" s="1">
        <v>1.5</v>
      </c>
      <c r="M1461" s="1">
        <v>1.99</v>
      </c>
      <c r="N1461" s="1" t="s">
        <v>89</v>
      </c>
      <c r="O1461" s="1" t="s">
        <v>1542</v>
      </c>
      <c r="P1461" s="1">
        <v>3700</v>
      </c>
      <c r="T1461"/>
    </row>
    <row r="1462" spans="9:20">
      <c r="I1462" s="1" t="s">
        <v>50</v>
      </c>
      <c r="J1462" s="1" t="s">
        <v>78</v>
      </c>
      <c r="K1462" s="1" t="s">
        <v>14</v>
      </c>
      <c r="L1462" s="1">
        <v>1.5</v>
      </c>
      <c r="M1462" s="1">
        <v>1.99</v>
      </c>
      <c r="N1462" s="1" t="s">
        <v>89</v>
      </c>
      <c r="O1462" s="1" t="s">
        <v>1543</v>
      </c>
      <c r="P1462" s="1">
        <v>3300</v>
      </c>
      <c r="T1462"/>
    </row>
    <row r="1463" spans="9:20">
      <c r="I1463" s="1" t="s">
        <v>50</v>
      </c>
      <c r="J1463" s="1" t="s">
        <v>81</v>
      </c>
      <c r="K1463" s="1" t="s">
        <v>14</v>
      </c>
      <c r="L1463" s="1">
        <v>1.5</v>
      </c>
      <c r="M1463" s="1">
        <v>1.99</v>
      </c>
      <c r="N1463" s="1" t="s">
        <v>89</v>
      </c>
      <c r="O1463" s="1" t="s">
        <v>1544</v>
      </c>
      <c r="P1463" s="1">
        <v>2500</v>
      </c>
      <c r="T1463"/>
    </row>
    <row r="1464" spans="9:20">
      <c r="I1464" s="1" t="s">
        <v>50</v>
      </c>
      <c r="J1464" s="1" t="s">
        <v>84</v>
      </c>
      <c r="K1464" s="1" t="s">
        <v>14</v>
      </c>
      <c r="L1464" s="1">
        <v>1.5</v>
      </c>
      <c r="M1464" s="1">
        <v>1.99</v>
      </c>
      <c r="N1464" s="1" t="s">
        <v>89</v>
      </c>
      <c r="O1464" s="1" t="s">
        <v>1545</v>
      </c>
      <c r="P1464" s="1">
        <v>1400</v>
      </c>
      <c r="T1464"/>
    </row>
    <row r="1465" spans="9:20">
      <c r="I1465" s="1" t="s">
        <v>50</v>
      </c>
      <c r="J1465" s="1" t="s">
        <v>1</v>
      </c>
      <c r="K1465" s="1" t="s">
        <v>15</v>
      </c>
      <c r="L1465" s="1">
        <v>1.5</v>
      </c>
      <c r="M1465" s="1">
        <v>1.99</v>
      </c>
      <c r="N1465" s="1" t="s">
        <v>89</v>
      </c>
      <c r="O1465" s="1" t="s">
        <v>1546</v>
      </c>
      <c r="P1465" s="1">
        <v>6000</v>
      </c>
      <c r="T1465"/>
    </row>
    <row r="1466" spans="9:20">
      <c r="I1466" s="1" t="s">
        <v>50</v>
      </c>
      <c r="J1466" s="1" t="s">
        <v>2</v>
      </c>
      <c r="K1466" s="1" t="s">
        <v>15</v>
      </c>
      <c r="L1466" s="1">
        <v>1.5</v>
      </c>
      <c r="M1466" s="1">
        <v>1.99</v>
      </c>
      <c r="N1466" s="1" t="s">
        <v>89</v>
      </c>
      <c r="O1466" s="1" t="s">
        <v>1547</v>
      </c>
      <c r="P1466" s="1">
        <v>5300</v>
      </c>
      <c r="T1466"/>
    </row>
    <row r="1467" spans="9:20">
      <c r="I1467" s="1" t="s">
        <v>50</v>
      </c>
      <c r="J1467" s="1" t="s">
        <v>3</v>
      </c>
      <c r="K1467" s="1" t="s">
        <v>15</v>
      </c>
      <c r="L1467" s="1">
        <v>1.5</v>
      </c>
      <c r="M1467" s="1">
        <v>1.99</v>
      </c>
      <c r="N1467" s="1" t="s">
        <v>89</v>
      </c>
      <c r="O1467" s="1" t="s">
        <v>1548</v>
      </c>
      <c r="P1467" s="1">
        <v>4800</v>
      </c>
      <c r="T1467"/>
    </row>
    <row r="1468" spans="9:20">
      <c r="I1468" s="1" t="s">
        <v>50</v>
      </c>
      <c r="J1468" s="1" t="s">
        <v>4</v>
      </c>
      <c r="K1468" s="1" t="s">
        <v>15</v>
      </c>
      <c r="L1468" s="1">
        <v>1.5</v>
      </c>
      <c r="M1468" s="1">
        <v>1.99</v>
      </c>
      <c r="N1468" s="1" t="s">
        <v>89</v>
      </c>
      <c r="O1468" s="1" t="s">
        <v>1549</v>
      </c>
      <c r="P1468" s="1">
        <v>4500</v>
      </c>
      <c r="T1468"/>
    </row>
    <row r="1469" spans="9:20">
      <c r="I1469" s="1" t="s">
        <v>50</v>
      </c>
      <c r="J1469" s="1" t="s">
        <v>5</v>
      </c>
      <c r="K1469" s="1" t="s">
        <v>15</v>
      </c>
      <c r="L1469" s="1">
        <v>1.5</v>
      </c>
      <c r="M1469" s="1">
        <v>1.99</v>
      </c>
      <c r="N1469" s="1" t="s">
        <v>89</v>
      </c>
      <c r="O1469" s="1" t="s">
        <v>1550</v>
      </c>
      <c r="P1469" s="1">
        <v>4200</v>
      </c>
      <c r="T1469"/>
    </row>
    <row r="1470" spans="9:20">
      <c r="I1470" s="1" t="s">
        <v>50</v>
      </c>
      <c r="J1470" s="1" t="s">
        <v>6</v>
      </c>
      <c r="K1470" s="1" t="s">
        <v>15</v>
      </c>
      <c r="L1470" s="1">
        <v>1.5</v>
      </c>
      <c r="M1470" s="1">
        <v>1.99</v>
      </c>
      <c r="N1470" s="1" t="s">
        <v>89</v>
      </c>
      <c r="O1470" s="1" t="s">
        <v>1551</v>
      </c>
      <c r="P1470" s="1">
        <v>3800</v>
      </c>
      <c r="T1470"/>
    </row>
    <row r="1471" spans="9:20">
      <c r="I1471" s="1" t="s">
        <v>50</v>
      </c>
      <c r="J1471" s="1" t="s">
        <v>7</v>
      </c>
      <c r="K1471" s="1" t="s">
        <v>15</v>
      </c>
      <c r="L1471" s="1">
        <v>1.5</v>
      </c>
      <c r="M1471" s="1">
        <v>1.99</v>
      </c>
      <c r="N1471" s="1" t="s">
        <v>89</v>
      </c>
      <c r="O1471" s="1" t="s">
        <v>1552</v>
      </c>
      <c r="P1471" s="1">
        <v>3500</v>
      </c>
      <c r="T1471"/>
    </row>
    <row r="1472" spans="9:20">
      <c r="I1472" s="1" t="s">
        <v>50</v>
      </c>
      <c r="J1472" s="1" t="s">
        <v>75</v>
      </c>
      <c r="K1472" s="1" t="s">
        <v>15</v>
      </c>
      <c r="L1472" s="1">
        <v>1.5</v>
      </c>
      <c r="M1472" s="1">
        <v>1.99</v>
      </c>
      <c r="N1472" s="1" t="s">
        <v>89</v>
      </c>
      <c r="O1472" s="1" t="s">
        <v>1553</v>
      </c>
      <c r="P1472" s="1">
        <v>3200</v>
      </c>
      <c r="T1472"/>
    </row>
    <row r="1473" spans="9:20">
      <c r="I1473" s="1" t="s">
        <v>50</v>
      </c>
      <c r="J1473" s="1" t="s">
        <v>78</v>
      </c>
      <c r="K1473" s="1" t="s">
        <v>15</v>
      </c>
      <c r="L1473" s="1">
        <v>1.5</v>
      </c>
      <c r="M1473" s="1">
        <v>1.99</v>
      </c>
      <c r="N1473" s="1" t="s">
        <v>89</v>
      </c>
      <c r="O1473" s="1" t="s">
        <v>1554</v>
      </c>
      <c r="P1473" s="1">
        <v>2900</v>
      </c>
      <c r="T1473"/>
    </row>
    <row r="1474" spans="9:20">
      <c r="I1474" s="1" t="s">
        <v>50</v>
      </c>
      <c r="J1474" s="1" t="s">
        <v>81</v>
      </c>
      <c r="K1474" s="1" t="s">
        <v>15</v>
      </c>
      <c r="L1474" s="1">
        <v>1.5</v>
      </c>
      <c r="M1474" s="1">
        <v>1.99</v>
      </c>
      <c r="N1474" s="1" t="s">
        <v>89</v>
      </c>
      <c r="O1474" s="1" t="s">
        <v>1555</v>
      </c>
      <c r="P1474" s="1">
        <v>2300</v>
      </c>
      <c r="T1474"/>
    </row>
    <row r="1475" spans="9:20">
      <c r="I1475" s="1" t="s">
        <v>50</v>
      </c>
      <c r="J1475" s="1" t="s">
        <v>84</v>
      </c>
      <c r="K1475" s="1" t="s">
        <v>15</v>
      </c>
      <c r="L1475" s="1">
        <v>1.5</v>
      </c>
      <c r="M1475" s="1">
        <v>1.99</v>
      </c>
      <c r="N1475" s="1" t="s">
        <v>89</v>
      </c>
      <c r="O1475" s="1" t="s">
        <v>1556</v>
      </c>
      <c r="P1475" s="1">
        <v>1300</v>
      </c>
      <c r="T1475"/>
    </row>
    <row r="1476" spans="9:20">
      <c r="I1476" s="1" t="s">
        <v>50</v>
      </c>
      <c r="J1476" s="1" t="s">
        <v>1</v>
      </c>
      <c r="K1476" s="1" t="s">
        <v>16</v>
      </c>
      <c r="L1476" s="1">
        <v>1.5</v>
      </c>
      <c r="M1476" s="1">
        <v>1.99</v>
      </c>
      <c r="N1476" s="1" t="s">
        <v>89</v>
      </c>
      <c r="O1476" s="1" t="s">
        <v>1557</v>
      </c>
      <c r="P1476" s="1">
        <v>5000</v>
      </c>
      <c r="T1476"/>
    </row>
    <row r="1477" spans="9:20">
      <c r="I1477" s="1" t="s">
        <v>50</v>
      </c>
      <c r="J1477" s="1" t="s">
        <v>2</v>
      </c>
      <c r="K1477" s="1" t="s">
        <v>16</v>
      </c>
      <c r="L1477" s="1">
        <v>1.5</v>
      </c>
      <c r="M1477" s="1">
        <v>1.99</v>
      </c>
      <c r="N1477" s="1" t="s">
        <v>89</v>
      </c>
      <c r="O1477" s="1" t="s">
        <v>1558</v>
      </c>
      <c r="P1477" s="1">
        <v>4500</v>
      </c>
      <c r="T1477"/>
    </row>
    <row r="1478" spans="9:20">
      <c r="I1478" s="1" t="s">
        <v>50</v>
      </c>
      <c r="J1478" s="1" t="s">
        <v>3</v>
      </c>
      <c r="K1478" s="1" t="s">
        <v>16</v>
      </c>
      <c r="L1478" s="1">
        <v>1.5</v>
      </c>
      <c r="M1478" s="1">
        <v>1.99</v>
      </c>
      <c r="N1478" s="1" t="s">
        <v>89</v>
      </c>
      <c r="O1478" s="1" t="s">
        <v>1559</v>
      </c>
      <c r="P1478" s="1">
        <v>4100</v>
      </c>
      <c r="T1478"/>
    </row>
    <row r="1479" spans="9:20">
      <c r="I1479" s="1" t="s">
        <v>50</v>
      </c>
      <c r="J1479" s="1" t="s">
        <v>4</v>
      </c>
      <c r="K1479" s="1" t="s">
        <v>16</v>
      </c>
      <c r="L1479" s="1">
        <v>1.5</v>
      </c>
      <c r="M1479" s="1">
        <v>1.99</v>
      </c>
      <c r="N1479" s="1" t="s">
        <v>89</v>
      </c>
      <c r="O1479" s="1" t="s">
        <v>1560</v>
      </c>
      <c r="P1479" s="1">
        <v>3800</v>
      </c>
      <c r="T1479"/>
    </row>
    <row r="1480" spans="9:20">
      <c r="I1480" s="1" t="s">
        <v>50</v>
      </c>
      <c r="J1480" s="1" t="s">
        <v>5</v>
      </c>
      <c r="K1480" s="1" t="s">
        <v>16</v>
      </c>
      <c r="L1480" s="1">
        <v>1.5</v>
      </c>
      <c r="M1480" s="1">
        <v>1.99</v>
      </c>
      <c r="N1480" s="1" t="s">
        <v>89</v>
      </c>
      <c r="O1480" s="1" t="s">
        <v>1561</v>
      </c>
      <c r="P1480" s="1">
        <v>3600</v>
      </c>
      <c r="T1480"/>
    </row>
    <row r="1481" spans="9:20">
      <c r="I1481" s="1" t="s">
        <v>50</v>
      </c>
      <c r="J1481" s="1" t="s">
        <v>6</v>
      </c>
      <c r="K1481" s="1" t="s">
        <v>16</v>
      </c>
      <c r="L1481" s="1">
        <v>1.5</v>
      </c>
      <c r="M1481" s="1">
        <v>1.99</v>
      </c>
      <c r="N1481" s="1" t="s">
        <v>89</v>
      </c>
      <c r="O1481" s="1" t="s">
        <v>1562</v>
      </c>
      <c r="P1481" s="1">
        <v>3300</v>
      </c>
      <c r="T1481"/>
    </row>
    <row r="1482" spans="9:20">
      <c r="I1482" s="1" t="s">
        <v>50</v>
      </c>
      <c r="J1482" s="1" t="s">
        <v>7</v>
      </c>
      <c r="K1482" s="1" t="s">
        <v>16</v>
      </c>
      <c r="L1482" s="1">
        <v>1.5</v>
      </c>
      <c r="M1482" s="1">
        <v>1.99</v>
      </c>
      <c r="N1482" s="1" t="s">
        <v>89</v>
      </c>
      <c r="O1482" s="1" t="s">
        <v>1563</v>
      </c>
      <c r="P1482" s="1">
        <v>3100</v>
      </c>
      <c r="T1482"/>
    </row>
    <row r="1483" spans="9:20">
      <c r="I1483" s="1" t="s">
        <v>50</v>
      </c>
      <c r="J1483" s="1" t="s">
        <v>75</v>
      </c>
      <c r="K1483" s="1" t="s">
        <v>16</v>
      </c>
      <c r="L1483" s="1">
        <v>1.5</v>
      </c>
      <c r="M1483" s="1">
        <v>1.99</v>
      </c>
      <c r="N1483" s="1" t="s">
        <v>89</v>
      </c>
      <c r="O1483" s="1" t="s">
        <v>1564</v>
      </c>
      <c r="P1483" s="1">
        <v>2900</v>
      </c>
      <c r="T1483"/>
    </row>
    <row r="1484" spans="9:20">
      <c r="I1484" s="1" t="s">
        <v>50</v>
      </c>
      <c r="J1484" s="1" t="s">
        <v>78</v>
      </c>
      <c r="K1484" s="1" t="s">
        <v>16</v>
      </c>
      <c r="L1484" s="1">
        <v>1.5</v>
      </c>
      <c r="M1484" s="1">
        <v>1.99</v>
      </c>
      <c r="N1484" s="1" t="s">
        <v>89</v>
      </c>
      <c r="O1484" s="1" t="s">
        <v>1565</v>
      </c>
      <c r="P1484" s="1">
        <v>2800</v>
      </c>
      <c r="T1484"/>
    </row>
    <row r="1485" spans="9:20">
      <c r="I1485" s="1" t="s">
        <v>50</v>
      </c>
      <c r="J1485" s="1" t="s">
        <v>81</v>
      </c>
      <c r="K1485" s="1" t="s">
        <v>16</v>
      </c>
      <c r="L1485" s="1">
        <v>1.5</v>
      </c>
      <c r="M1485" s="1">
        <v>1.99</v>
      </c>
      <c r="N1485" s="1" t="s">
        <v>89</v>
      </c>
      <c r="O1485" s="1" t="s">
        <v>1566</v>
      </c>
      <c r="P1485" s="1">
        <v>2200</v>
      </c>
      <c r="T1485"/>
    </row>
    <row r="1486" spans="9:20">
      <c r="I1486" s="1" t="s">
        <v>50</v>
      </c>
      <c r="J1486" s="1" t="s">
        <v>84</v>
      </c>
      <c r="K1486" s="1" t="s">
        <v>16</v>
      </c>
      <c r="L1486" s="1">
        <v>1.5</v>
      </c>
      <c r="M1486" s="1">
        <v>1.99</v>
      </c>
      <c r="N1486" s="1" t="s">
        <v>89</v>
      </c>
      <c r="O1486" s="1" t="s">
        <v>1567</v>
      </c>
      <c r="P1486" s="1">
        <v>1200</v>
      </c>
      <c r="T1486"/>
    </row>
    <row r="1487" spans="9:20">
      <c r="I1487" s="1" t="s">
        <v>50</v>
      </c>
      <c r="J1487" s="1" t="s">
        <v>1</v>
      </c>
      <c r="K1487" s="1" t="s">
        <v>17</v>
      </c>
      <c r="L1487" s="1">
        <v>1.5</v>
      </c>
      <c r="M1487" s="1">
        <v>1.99</v>
      </c>
      <c r="N1487" s="1" t="s">
        <v>89</v>
      </c>
      <c r="O1487" s="1" t="s">
        <v>1568</v>
      </c>
      <c r="P1487" s="1">
        <v>4400</v>
      </c>
      <c r="T1487"/>
    </row>
    <row r="1488" spans="9:20">
      <c r="I1488" s="1" t="s">
        <v>50</v>
      </c>
      <c r="J1488" s="1" t="s">
        <v>2</v>
      </c>
      <c r="K1488" s="1" t="s">
        <v>17</v>
      </c>
      <c r="L1488" s="1">
        <v>1.5</v>
      </c>
      <c r="M1488" s="1">
        <v>1.99</v>
      </c>
      <c r="N1488" s="1" t="s">
        <v>89</v>
      </c>
      <c r="O1488" s="1" t="s">
        <v>1569</v>
      </c>
      <c r="P1488" s="1">
        <v>3900</v>
      </c>
      <c r="T1488"/>
    </row>
    <row r="1489" spans="9:20">
      <c r="I1489" s="1" t="s">
        <v>50</v>
      </c>
      <c r="J1489" s="1" t="s">
        <v>3</v>
      </c>
      <c r="K1489" s="1" t="s">
        <v>17</v>
      </c>
      <c r="L1489" s="1">
        <v>1.5</v>
      </c>
      <c r="M1489" s="1">
        <v>1.99</v>
      </c>
      <c r="N1489" s="1" t="s">
        <v>89</v>
      </c>
      <c r="O1489" s="1" t="s">
        <v>1570</v>
      </c>
      <c r="P1489" s="1">
        <v>3700</v>
      </c>
      <c r="T1489"/>
    </row>
    <row r="1490" spans="9:20">
      <c r="I1490" s="1" t="s">
        <v>50</v>
      </c>
      <c r="J1490" s="1" t="s">
        <v>4</v>
      </c>
      <c r="K1490" s="1" t="s">
        <v>17</v>
      </c>
      <c r="L1490" s="1">
        <v>1.5</v>
      </c>
      <c r="M1490" s="1">
        <v>1.99</v>
      </c>
      <c r="N1490" s="1" t="s">
        <v>89</v>
      </c>
      <c r="O1490" s="1" t="s">
        <v>1571</v>
      </c>
      <c r="P1490" s="1">
        <v>3400</v>
      </c>
      <c r="T1490"/>
    </row>
    <row r="1491" spans="9:20">
      <c r="I1491" s="1" t="s">
        <v>50</v>
      </c>
      <c r="J1491" s="1" t="s">
        <v>5</v>
      </c>
      <c r="K1491" s="1" t="s">
        <v>17</v>
      </c>
      <c r="L1491" s="1">
        <v>1.5</v>
      </c>
      <c r="M1491" s="1">
        <v>1.99</v>
      </c>
      <c r="N1491" s="1" t="s">
        <v>89</v>
      </c>
      <c r="O1491" s="1" t="s">
        <v>1572</v>
      </c>
      <c r="P1491" s="1">
        <v>3200</v>
      </c>
      <c r="T1491"/>
    </row>
    <row r="1492" spans="9:20">
      <c r="I1492" s="1" t="s">
        <v>50</v>
      </c>
      <c r="J1492" s="1" t="s">
        <v>6</v>
      </c>
      <c r="K1492" s="1" t="s">
        <v>17</v>
      </c>
      <c r="L1492" s="1">
        <v>1.5</v>
      </c>
      <c r="M1492" s="1">
        <v>1.99</v>
      </c>
      <c r="N1492" s="1" t="s">
        <v>89</v>
      </c>
      <c r="O1492" s="1" t="s">
        <v>1573</v>
      </c>
      <c r="P1492" s="1">
        <v>3000</v>
      </c>
      <c r="T1492"/>
    </row>
    <row r="1493" spans="9:20">
      <c r="I1493" s="1" t="s">
        <v>50</v>
      </c>
      <c r="J1493" s="1" t="s">
        <v>7</v>
      </c>
      <c r="K1493" s="1" t="s">
        <v>17</v>
      </c>
      <c r="L1493" s="1">
        <v>1.5</v>
      </c>
      <c r="M1493" s="1">
        <v>1.99</v>
      </c>
      <c r="N1493" s="1" t="s">
        <v>89</v>
      </c>
      <c r="O1493" s="1" t="s">
        <v>1574</v>
      </c>
      <c r="P1493" s="1">
        <v>2900</v>
      </c>
      <c r="T1493"/>
    </row>
    <row r="1494" spans="9:20">
      <c r="I1494" s="1" t="s">
        <v>50</v>
      </c>
      <c r="J1494" s="1" t="s">
        <v>75</v>
      </c>
      <c r="K1494" s="1" t="s">
        <v>17</v>
      </c>
      <c r="L1494" s="1">
        <v>1.5</v>
      </c>
      <c r="M1494" s="1">
        <v>1.99</v>
      </c>
      <c r="N1494" s="1" t="s">
        <v>89</v>
      </c>
      <c r="O1494" s="1" t="s">
        <v>1575</v>
      </c>
      <c r="P1494" s="1">
        <v>2700</v>
      </c>
      <c r="T1494"/>
    </row>
    <row r="1495" spans="9:20">
      <c r="I1495" s="1" t="s">
        <v>50</v>
      </c>
      <c r="J1495" s="1" t="s">
        <v>78</v>
      </c>
      <c r="K1495" s="1" t="s">
        <v>17</v>
      </c>
      <c r="L1495" s="1">
        <v>1.5</v>
      </c>
      <c r="M1495" s="1">
        <v>1.99</v>
      </c>
      <c r="N1495" s="1" t="s">
        <v>89</v>
      </c>
      <c r="O1495" s="1" t="s">
        <v>1576</v>
      </c>
      <c r="P1495" s="1">
        <v>2600</v>
      </c>
      <c r="T1495"/>
    </row>
    <row r="1496" spans="9:20">
      <c r="I1496" s="1" t="s">
        <v>50</v>
      </c>
      <c r="J1496" s="1" t="s">
        <v>81</v>
      </c>
      <c r="K1496" s="1" t="s">
        <v>17</v>
      </c>
      <c r="L1496" s="1">
        <v>1.5</v>
      </c>
      <c r="M1496" s="1">
        <v>1.99</v>
      </c>
      <c r="N1496" s="1" t="s">
        <v>89</v>
      </c>
      <c r="O1496" s="1" t="s">
        <v>1577</v>
      </c>
      <c r="P1496" s="1">
        <v>2100</v>
      </c>
      <c r="T1496"/>
    </row>
    <row r="1497" spans="9:20">
      <c r="I1497" s="1" t="s">
        <v>50</v>
      </c>
      <c r="J1497" s="1" t="s">
        <v>84</v>
      </c>
      <c r="K1497" s="1" t="s">
        <v>17</v>
      </c>
      <c r="L1497" s="1">
        <v>1.5</v>
      </c>
      <c r="M1497" s="1">
        <v>1.99</v>
      </c>
      <c r="N1497" s="1" t="s">
        <v>89</v>
      </c>
      <c r="O1497" s="1" t="s">
        <v>1578</v>
      </c>
      <c r="P1497" s="1">
        <v>1200</v>
      </c>
      <c r="T1497"/>
    </row>
    <row r="1498" spans="9:20">
      <c r="I1498" s="1" t="s">
        <v>50</v>
      </c>
      <c r="J1498" s="1" t="s">
        <v>1</v>
      </c>
      <c r="K1498" s="1" t="s">
        <v>8</v>
      </c>
      <c r="L1498" s="1">
        <v>2</v>
      </c>
      <c r="M1498" s="1">
        <v>2.99</v>
      </c>
      <c r="N1498" s="1" t="s">
        <v>91</v>
      </c>
      <c r="O1498" s="1" t="s">
        <v>1579</v>
      </c>
      <c r="P1498" s="1">
        <v>33000</v>
      </c>
      <c r="T1498"/>
    </row>
    <row r="1499" spans="9:20">
      <c r="I1499" s="1" t="s">
        <v>50</v>
      </c>
      <c r="J1499" s="1" t="s">
        <v>2</v>
      </c>
      <c r="K1499" s="1" t="s">
        <v>8</v>
      </c>
      <c r="L1499" s="1">
        <v>2</v>
      </c>
      <c r="M1499" s="1">
        <v>2.99</v>
      </c>
      <c r="N1499" s="1" t="s">
        <v>91</v>
      </c>
      <c r="O1499" s="1" t="s">
        <v>1580</v>
      </c>
      <c r="P1499" s="1">
        <v>27500</v>
      </c>
      <c r="T1499"/>
    </row>
    <row r="1500" spans="9:20">
      <c r="I1500" s="1" t="s">
        <v>50</v>
      </c>
      <c r="J1500" s="1" t="s">
        <v>3</v>
      </c>
      <c r="K1500" s="1" t="s">
        <v>8</v>
      </c>
      <c r="L1500" s="1">
        <v>2</v>
      </c>
      <c r="M1500" s="1">
        <v>2.99</v>
      </c>
      <c r="N1500" s="1" t="s">
        <v>91</v>
      </c>
      <c r="O1500" s="1" t="s">
        <v>1581</v>
      </c>
      <c r="P1500" s="1">
        <v>23500</v>
      </c>
      <c r="T1500"/>
    </row>
    <row r="1501" spans="9:20">
      <c r="I1501" s="1" t="s">
        <v>50</v>
      </c>
      <c r="J1501" s="1" t="s">
        <v>4</v>
      </c>
      <c r="K1501" s="1" t="s">
        <v>8</v>
      </c>
      <c r="L1501" s="1">
        <v>2</v>
      </c>
      <c r="M1501" s="1">
        <v>2.99</v>
      </c>
      <c r="N1501" s="1" t="s">
        <v>91</v>
      </c>
      <c r="O1501" s="1" t="s">
        <v>1582</v>
      </c>
      <c r="P1501" s="1">
        <v>20500</v>
      </c>
      <c r="T1501"/>
    </row>
    <row r="1502" spans="9:20">
      <c r="I1502" s="1" t="s">
        <v>50</v>
      </c>
      <c r="J1502" s="1" t="s">
        <v>5</v>
      </c>
      <c r="K1502" s="1" t="s">
        <v>8</v>
      </c>
      <c r="L1502" s="1">
        <v>2</v>
      </c>
      <c r="M1502" s="1">
        <v>2.99</v>
      </c>
      <c r="N1502" s="1" t="s">
        <v>91</v>
      </c>
      <c r="O1502" s="1" t="s">
        <v>1583</v>
      </c>
      <c r="P1502" s="1">
        <v>17500</v>
      </c>
      <c r="T1502"/>
    </row>
    <row r="1503" spans="9:20">
      <c r="I1503" s="1" t="s">
        <v>50</v>
      </c>
      <c r="J1503" s="1" t="s">
        <v>6</v>
      </c>
      <c r="K1503" s="1" t="s">
        <v>8</v>
      </c>
      <c r="L1503" s="1">
        <v>2</v>
      </c>
      <c r="M1503" s="1">
        <v>2.99</v>
      </c>
      <c r="N1503" s="1" t="s">
        <v>91</v>
      </c>
      <c r="O1503" s="1" t="s">
        <v>1584</v>
      </c>
      <c r="P1503" s="1">
        <v>14100</v>
      </c>
      <c r="T1503"/>
    </row>
    <row r="1504" spans="9:20">
      <c r="I1504" s="1" t="s">
        <v>50</v>
      </c>
      <c r="J1504" s="1" t="s">
        <v>7</v>
      </c>
      <c r="K1504" s="1" t="s">
        <v>8</v>
      </c>
      <c r="L1504" s="1">
        <v>2</v>
      </c>
      <c r="M1504" s="1">
        <v>2.99</v>
      </c>
      <c r="N1504" s="1" t="s">
        <v>91</v>
      </c>
      <c r="O1504" s="1" t="s">
        <v>1585</v>
      </c>
      <c r="P1504" s="1">
        <v>11300</v>
      </c>
      <c r="T1504"/>
    </row>
    <row r="1505" spans="9:20">
      <c r="I1505" s="1" t="s">
        <v>50</v>
      </c>
      <c r="J1505" s="1" t="s">
        <v>75</v>
      </c>
      <c r="K1505" s="1" t="s">
        <v>8</v>
      </c>
      <c r="L1505" s="1">
        <v>2</v>
      </c>
      <c r="M1505" s="1">
        <v>2.99</v>
      </c>
      <c r="N1505" s="1" t="s">
        <v>91</v>
      </c>
      <c r="O1505" s="1" t="s">
        <v>1586</v>
      </c>
      <c r="P1505" s="1">
        <v>9500</v>
      </c>
      <c r="T1505"/>
    </row>
    <row r="1506" spans="9:20">
      <c r="I1506" s="1" t="s">
        <v>50</v>
      </c>
      <c r="J1506" s="1" t="s">
        <v>78</v>
      </c>
      <c r="K1506" s="1" t="s">
        <v>8</v>
      </c>
      <c r="L1506" s="1">
        <v>2</v>
      </c>
      <c r="M1506" s="1">
        <v>2.99</v>
      </c>
      <c r="N1506" s="1" t="s">
        <v>91</v>
      </c>
      <c r="O1506" s="1" t="s">
        <v>1587</v>
      </c>
      <c r="P1506" s="1">
        <v>8000</v>
      </c>
      <c r="T1506"/>
    </row>
    <row r="1507" spans="9:20">
      <c r="I1507" s="1" t="s">
        <v>50</v>
      </c>
      <c r="J1507" s="1" t="s">
        <v>81</v>
      </c>
      <c r="K1507" s="1" t="s">
        <v>8</v>
      </c>
      <c r="L1507" s="1">
        <v>2</v>
      </c>
      <c r="M1507" s="1">
        <v>2.99</v>
      </c>
      <c r="N1507" s="1" t="s">
        <v>91</v>
      </c>
      <c r="O1507" s="1" t="s">
        <v>1588</v>
      </c>
      <c r="P1507" s="1">
        <v>4100</v>
      </c>
      <c r="T1507"/>
    </row>
    <row r="1508" spans="9:20">
      <c r="I1508" s="1" t="s">
        <v>50</v>
      </c>
      <c r="J1508" s="1" t="s">
        <v>84</v>
      </c>
      <c r="K1508" s="1" t="s">
        <v>8</v>
      </c>
      <c r="L1508" s="1">
        <v>2</v>
      </c>
      <c r="M1508" s="1">
        <v>2.99</v>
      </c>
      <c r="N1508" s="1" t="s">
        <v>91</v>
      </c>
      <c r="O1508" s="1" t="s">
        <v>1589</v>
      </c>
      <c r="P1508" s="1">
        <v>1900</v>
      </c>
      <c r="T1508"/>
    </row>
    <row r="1509" spans="9:20">
      <c r="I1509" s="1" t="s">
        <v>50</v>
      </c>
      <c r="J1509" s="1" t="s">
        <v>1</v>
      </c>
      <c r="K1509" s="1" t="s">
        <v>9</v>
      </c>
      <c r="L1509" s="1">
        <v>2</v>
      </c>
      <c r="M1509" s="1">
        <v>2.99</v>
      </c>
      <c r="N1509" s="1" t="s">
        <v>91</v>
      </c>
      <c r="O1509" s="1" t="s">
        <v>1590</v>
      </c>
      <c r="P1509" s="1">
        <v>27000</v>
      </c>
      <c r="T1509"/>
    </row>
    <row r="1510" spans="9:20">
      <c r="I1510" s="1" t="s">
        <v>50</v>
      </c>
      <c r="J1510" s="1" t="s">
        <v>2</v>
      </c>
      <c r="K1510" s="1" t="s">
        <v>9</v>
      </c>
      <c r="L1510" s="1">
        <v>2</v>
      </c>
      <c r="M1510" s="1">
        <v>2.99</v>
      </c>
      <c r="N1510" s="1" t="s">
        <v>91</v>
      </c>
      <c r="O1510" s="1" t="s">
        <v>1591</v>
      </c>
      <c r="P1510" s="1">
        <v>24500</v>
      </c>
      <c r="T1510"/>
    </row>
    <row r="1511" spans="9:20">
      <c r="I1511" s="1" t="s">
        <v>50</v>
      </c>
      <c r="J1511" s="1" t="s">
        <v>3</v>
      </c>
      <c r="K1511" s="1" t="s">
        <v>9</v>
      </c>
      <c r="L1511" s="1">
        <v>2</v>
      </c>
      <c r="M1511" s="1">
        <v>2.99</v>
      </c>
      <c r="N1511" s="1" t="s">
        <v>91</v>
      </c>
      <c r="O1511" s="1" t="s">
        <v>1592</v>
      </c>
      <c r="P1511" s="1">
        <v>21000</v>
      </c>
      <c r="T1511"/>
    </row>
    <row r="1512" spans="9:20">
      <c r="I1512" s="1" t="s">
        <v>50</v>
      </c>
      <c r="J1512" s="1" t="s">
        <v>4</v>
      </c>
      <c r="K1512" s="1" t="s">
        <v>9</v>
      </c>
      <c r="L1512" s="1">
        <v>2</v>
      </c>
      <c r="M1512" s="1">
        <v>2.99</v>
      </c>
      <c r="N1512" s="1" t="s">
        <v>91</v>
      </c>
      <c r="O1512" s="1" t="s">
        <v>1593</v>
      </c>
      <c r="P1512" s="1">
        <v>19000</v>
      </c>
      <c r="T1512"/>
    </row>
    <row r="1513" spans="9:20">
      <c r="I1513" s="1" t="s">
        <v>50</v>
      </c>
      <c r="J1513" s="1" t="s">
        <v>5</v>
      </c>
      <c r="K1513" s="1" t="s">
        <v>9</v>
      </c>
      <c r="L1513" s="1">
        <v>2</v>
      </c>
      <c r="M1513" s="1">
        <v>2.99</v>
      </c>
      <c r="N1513" s="1" t="s">
        <v>91</v>
      </c>
      <c r="O1513" s="1" t="s">
        <v>1594</v>
      </c>
      <c r="P1513" s="1">
        <v>16000</v>
      </c>
      <c r="T1513"/>
    </row>
    <row r="1514" spans="9:20">
      <c r="I1514" s="1" t="s">
        <v>50</v>
      </c>
      <c r="J1514" s="1" t="s">
        <v>6</v>
      </c>
      <c r="K1514" s="1" t="s">
        <v>9</v>
      </c>
      <c r="L1514" s="1">
        <v>2</v>
      </c>
      <c r="M1514" s="1">
        <v>2.99</v>
      </c>
      <c r="N1514" s="1" t="s">
        <v>91</v>
      </c>
      <c r="O1514" s="1" t="s">
        <v>1595</v>
      </c>
      <c r="P1514" s="1">
        <v>13200</v>
      </c>
      <c r="T1514"/>
    </row>
    <row r="1515" spans="9:20">
      <c r="I1515" s="1" t="s">
        <v>50</v>
      </c>
      <c r="J1515" s="1" t="s">
        <v>7</v>
      </c>
      <c r="K1515" s="1" t="s">
        <v>9</v>
      </c>
      <c r="L1515" s="1">
        <v>2</v>
      </c>
      <c r="M1515" s="1">
        <v>2.99</v>
      </c>
      <c r="N1515" s="1" t="s">
        <v>91</v>
      </c>
      <c r="O1515" s="1" t="s">
        <v>1596</v>
      </c>
      <c r="P1515" s="1">
        <v>10500</v>
      </c>
      <c r="T1515"/>
    </row>
    <row r="1516" spans="9:20">
      <c r="I1516" s="1" t="s">
        <v>50</v>
      </c>
      <c r="J1516" s="1" t="s">
        <v>75</v>
      </c>
      <c r="K1516" s="1" t="s">
        <v>9</v>
      </c>
      <c r="L1516" s="1">
        <v>2</v>
      </c>
      <c r="M1516" s="1">
        <v>2.99</v>
      </c>
      <c r="N1516" s="1" t="s">
        <v>91</v>
      </c>
      <c r="O1516" s="1" t="s">
        <v>1597</v>
      </c>
      <c r="P1516" s="1">
        <v>8800</v>
      </c>
      <c r="T1516"/>
    </row>
    <row r="1517" spans="9:20">
      <c r="I1517" s="1" t="s">
        <v>50</v>
      </c>
      <c r="J1517" s="1" t="s">
        <v>78</v>
      </c>
      <c r="K1517" s="1" t="s">
        <v>9</v>
      </c>
      <c r="L1517" s="1">
        <v>2</v>
      </c>
      <c r="M1517" s="1">
        <v>2.99</v>
      </c>
      <c r="N1517" s="1" t="s">
        <v>91</v>
      </c>
      <c r="O1517" s="1" t="s">
        <v>1598</v>
      </c>
      <c r="P1517" s="1">
        <v>7600</v>
      </c>
      <c r="T1517"/>
    </row>
    <row r="1518" spans="9:20">
      <c r="I1518" s="1" t="s">
        <v>50</v>
      </c>
      <c r="J1518" s="1" t="s">
        <v>81</v>
      </c>
      <c r="K1518" s="1" t="s">
        <v>9</v>
      </c>
      <c r="L1518" s="1">
        <v>2</v>
      </c>
      <c r="M1518" s="1">
        <v>2.99</v>
      </c>
      <c r="N1518" s="1" t="s">
        <v>91</v>
      </c>
      <c r="O1518" s="1" t="s">
        <v>1599</v>
      </c>
      <c r="P1518" s="1">
        <v>3900</v>
      </c>
      <c r="T1518"/>
    </row>
    <row r="1519" spans="9:20">
      <c r="I1519" s="1" t="s">
        <v>50</v>
      </c>
      <c r="J1519" s="1" t="s">
        <v>84</v>
      </c>
      <c r="K1519" s="1" t="s">
        <v>9</v>
      </c>
      <c r="L1519" s="1">
        <v>2</v>
      </c>
      <c r="M1519" s="1">
        <v>2.99</v>
      </c>
      <c r="N1519" s="1" t="s">
        <v>91</v>
      </c>
      <c r="O1519" s="1" t="s">
        <v>1600</v>
      </c>
      <c r="P1519" s="1">
        <v>1800</v>
      </c>
      <c r="T1519"/>
    </row>
    <row r="1520" spans="9:20">
      <c r="I1520" s="1" t="s">
        <v>50</v>
      </c>
      <c r="J1520" s="1" t="s">
        <v>1</v>
      </c>
      <c r="K1520" s="1" t="s">
        <v>10</v>
      </c>
      <c r="L1520" s="1">
        <v>2</v>
      </c>
      <c r="M1520" s="1">
        <v>2.99</v>
      </c>
      <c r="N1520" s="1" t="s">
        <v>91</v>
      </c>
      <c r="O1520" s="1" t="s">
        <v>1601</v>
      </c>
      <c r="P1520" s="1">
        <v>24500</v>
      </c>
      <c r="T1520"/>
    </row>
    <row r="1521" spans="9:20">
      <c r="I1521" s="1" t="s">
        <v>50</v>
      </c>
      <c r="J1521" s="1" t="s">
        <v>2</v>
      </c>
      <c r="K1521" s="1" t="s">
        <v>10</v>
      </c>
      <c r="L1521" s="1">
        <v>2</v>
      </c>
      <c r="M1521" s="1">
        <v>2.99</v>
      </c>
      <c r="N1521" s="1" t="s">
        <v>91</v>
      </c>
      <c r="O1521" s="1" t="s">
        <v>1602</v>
      </c>
      <c r="P1521" s="1">
        <v>22000</v>
      </c>
      <c r="T1521"/>
    </row>
    <row r="1522" spans="9:20">
      <c r="I1522" s="1" t="s">
        <v>50</v>
      </c>
      <c r="J1522" s="1" t="s">
        <v>3</v>
      </c>
      <c r="K1522" s="1" t="s">
        <v>10</v>
      </c>
      <c r="L1522" s="1">
        <v>2</v>
      </c>
      <c r="M1522" s="1">
        <v>2.99</v>
      </c>
      <c r="N1522" s="1" t="s">
        <v>91</v>
      </c>
      <c r="O1522" s="1" t="s">
        <v>1603</v>
      </c>
      <c r="P1522" s="1">
        <v>19500</v>
      </c>
      <c r="T1522"/>
    </row>
    <row r="1523" spans="9:20">
      <c r="I1523" s="1" t="s">
        <v>50</v>
      </c>
      <c r="J1523" s="1" t="s">
        <v>4</v>
      </c>
      <c r="K1523" s="1" t="s">
        <v>10</v>
      </c>
      <c r="L1523" s="1">
        <v>2</v>
      </c>
      <c r="M1523" s="1">
        <v>2.99</v>
      </c>
      <c r="N1523" s="1" t="s">
        <v>91</v>
      </c>
      <c r="O1523" s="1" t="s">
        <v>1604</v>
      </c>
      <c r="P1523" s="1">
        <v>17500</v>
      </c>
      <c r="T1523"/>
    </row>
    <row r="1524" spans="9:20">
      <c r="I1524" s="1" t="s">
        <v>50</v>
      </c>
      <c r="J1524" s="1" t="s">
        <v>5</v>
      </c>
      <c r="K1524" s="1" t="s">
        <v>10</v>
      </c>
      <c r="L1524" s="1">
        <v>2</v>
      </c>
      <c r="M1524" s="1">
        <v>2.99</v>
      </c>
      <c r="N1524" s="1" t="s">
        <v>91</v>
      </c>
      <c r="O1524" s="1" t="s">
        <v>1605</v>
      </c>
      <c r="P1524" s="1">
        <v>15000</v>
      </c>
      <c r="T1524"/>
    </row>
    <row r="1525" spans="9:20">
      <c r="I1525" s="1" t="s">
        <v>50</v>
      </c>
      <c r="J1525" s="1" t="s">
        <v>6</v>
      </c>
      <c r="K1525" s="1" t="s">
        <v>10</v>
      </c>
      <c r="L1525" s="1">
        <v>2</v>
      </c>
      <c r="M1525" s="1">
        <v>2.99</v>
      </c>
      <c r="N1525" s="1" t="s">
        <v>91</v>
      </c>
      <c r="O1525" s="1" t="s">
        <v>1606</v>
      </c>
      <c r="P1525" s="1">
        <v>12300</v>
      </c>
      <c r="T1525"/>
    </row>
    <row r="1526" spans="9:20">
      <c r="I1526" s="1" t="s">
        <v>50</v>
      </c>
      <c r="J1526" s="1" t="s">
        <v>7</v>
      </c>
      <c r="K1526" s="1" t="s">
        <v>10</v>
      </c>
      <c r="L1526" s="1">
        <v>2</v>
      </c>
      <c r="M1526" s="1">
        <v>2.99</v>
      </c>
      <c r="N1526" s="1" t="s">
        <v>91</v>
      </c>
      <c r="O1526" s="1" t="s">
        <v>1607</v>
      </c>
      <c r="P1526" s="1">
        <v>9800</v>
      </c>
      <c r="T1526"/>
    </row>
    <row r="1527" spans="9:20">
      <c r="I1527" s="1" t="s">
        <v>50</v>
      </c>
      <c r="J1527" s="1" t="s">
        <v>75</v>
      </c>
      <c r="K1527" s="1" t="s">
        <v>10</v>
      </c>
      <c r="L1527" s="1">
        <v>2</v>
      </c>
      <c r="M1527" s="1">
        <v>2.99</v>
      </c>
      <c r="N1527" s="1" t="s">
        <v>91</v>
      </c>
      <c r="O1527" s="1" t="s">
        <v>1608</v>
      </c>
      <c r="P1527" s="1">
        <v>8300</v>
      </c>
      <c r="T1527"/>
    </row>
    <row r="1528" spans="9:20">
      <c r="I1528" s="1" t="s">
        <v>50</v>
      </c>
      <c r="J1528" s="1" t="s">
        <v>78</v>
      </c>
      <c r="K1528" s="1" t="s">
        <v>10</v>
      </c>
      <c r="L1528" s="1">
        <v>2</v>
      </c>
      <c r="M1528" s="1">
        <v>2.99</v>
      </c>
      <c r="N1528" s="1" t="s">
        <v>91</v>
      </c>
      <c r="O1528" s="1" t="s">
        <v>1609</v>
      </c>
      <c r="P1528" s="1">
        <v>7200</v>
      </c>
      <c r="T1528"/>
    </row>
    <row r="1529" spans="9:20">
      <c r="I1529" s="1" t="s">
        <v>50</v>
      </c>
      <c r="J1529" s="1" t="s">
        <v>81</v>
      </c>
      <c r="K1529" s="1" t="s">
        <v>10</v>
      </c>
      <c r="L1529" s="1">
        <v>2</v>
      </c>
      <c r="M1529" s="1">
        <v>2.99</v>
      </c>
      <c r="N1529" s="1" t="s">
        <v>91</v>
      </c>
      <c r="O1529" s="1" t="s">
        <v>1610</v>
      </c>
      <c r="P1529" s="1">
        <v>3700</v>
      </c>
      <c r="T1529"/>
    </row>
    <row r="1530" spans="9:20">
      <c r="I1530" s="1" t="s">
        <v>50</v>
      </c>
      <c r="J1530" s="1" t="s">
        <v>84</v>
      </c>
      <c r="K1530" s="1" t="s">
        <v>10</v>
      </c>
      <c r="L1530" s="1">
        <v>2</v>
      </c>
      <c r="M1530" s="1">
        <v>2.99</v>
      </c>
      <c r="N1530" s="1" t="s">
        <v>91</v>
      </c>
      <c r="O1530" s="1" t="s">
        <v>1611</v>
      </c>
      <c r="P1530" s="1">
        <v>1700</v>
      </c>
      <c r="T1530"/>
    </row>
    <row r="1531" spans="9:20">
      <c r="I1531" s="1" t="s">
        <v>50</v>
      </c>
      <c r="J1531" s="1" t="s">
        <v>1</v>
      </c>
      <c r="K1531" s="1" t="s">
        <v>11</v>
      </c>
      <c r="L1531" s="1">
        <v>2</v>
      </c>
      <c r="M1531" s="1">
        <v>2.99</v>
      </c>
      <c r="N1531" s="1" t="s">
        <v>91</v>
      </c>
      <c r="O1531" s="1" t="s">
        <v>1612</v>
      </c>
      <c r="P1531" s="1">
        <v>20500</v>
      </c>
      <c r="T1531"/>
    </row>
    <row r="1532" spans="9:20">
      <c r="I1532" s="1" t="s">
        <v>50</v>
      </c>
      <c r="J1532" s="1" t="s">
        <v>2</v>
      </c>
      <c r="K1532" s="1" t="s">
        <v>11</v>
      </c>
      <c r="L1532" s="1">
        <v>2</v>
      </c>
      <c r="M1532" s="1">
        <v>2.99</v>
      </c>
      <c r="N1532" s="1" t="s">
        <v>91</v>
      </c>
      <c r="O1532" s="1" t="s">
        <v>1613</v>
      </c>
      <c r="P1532" s="1">
        <v>18500</v>
      </c>
      <c r="T1532"/>
    </row>
    <row r="1533" spans="9:20">
      <c r="I1533" s="1" t="s">
        <v>50</v>
      </c>
      <c r="J1533" s="1" t="s">
        <v>3</v>
      </c>
      <c r="K1533" s="1" t="s">
        <v>11</v>
      </c>
      <c r="L1533" s="1">
        <v>2</v>
      </c>
      <c r="M1533" s="1">
        <v>2.99</v>
      </c>
      <c r="N1533" s="1" t="s">
        <v>91</v>
      </c>
      <c r="O1533" s="1" t="s">
        <v>1614</v>
      </c>
      <c r="P1533" s="1">
        <v>16500</v>
      </c>
      <c r="T1533"/>
    </row>
    <row r="1534" spans="9:20">
      <c r="I1534" s="1" t="s">
        <v>50</v>
      </c>
      <c r="J1534" s="1" t="s">
        <v>4</v>
      </c>
      <c r="K1534" s="1" t="s">
        <v>11</v>
      </c>
      <c r="L1534" s="1">
        <v>2</v>
      </c>
      <c r="M1534" s="1">
        <v>2.99</v>
      </c>
      <c r="N1534" s="1" t="s">
        <v>91</v>
      </c>
      <c r="O1534" s="1" t="s">
        <v>1615</v>
      </c>
      <c r="P1534" s="1">
        <v>15000</v>
      </c>
      <c r="T1534"/>
    </row>
    <row r="1535" spans="9:20">
      <c r="I1535" s="1" t="s">
        <v>50</v>
      </c>
      <c r="J1535" s="1" t="s">
        <v>5</v>
      </c>
      <c r="K1535" s="1" t="s">
        <v>11</v>
      </c>
      <c r="L1535" s="1">
        <v>2</v>
      </c>
      <c r="M1535" s="1">
        <v>2.99</v>
      </c>
      <c r="N1535" s="1" t="s">
        <v>91</v>
      </c>
      <c r="O1535" s="1" t="s">
        <v>1616</v>
      </c>
      <c r="P1535" s="1">
        <v>13500</v>
      </c>
      <c r="T1535"/>
    </row>
    <row r="1536" spans="9:20">
      <c r="I1536" s="1" t="s">
        <v>50</v>
      </c>
      <c r="J1536" s="1" t="s">
        <v>6</v>
      </c>
      <c r="K1536" s="1" t="s">
        <v>11</v>
      </c>
      <c r="L1536" s="1">
        <v>2</v>
      </c>
      <c r="M1536" s="1">
        <v>2.99</v>
      </c>
      <c r="N1536" s="1" t="s">
        <v>91</v>
      </c>
      <c r="O1536" s="1" t="s">
        <v>1617</v>
      </c>
      <c r="P1536" s="1">
        <v>11200</v>
      </c>
      <c r="T1536"/>
    </row>
    <row r="1537" spans="9:20">
      <c r="I1537" s="1" t="s">
        <v>50</v>
      </c>
      <c r="J1537" s="1" t="s">
        <v>7</v>
      </c>
      <c r="K1537" s="1" t="s">
        <v>11</v>
      </c>
      <c r="L1537" s="1">
        <v>2</v>
      </c>
      <c r="M1537" s="1">
        <v>2.99</v>
      </c>
      <c r="N1537" s="1" t="s">
        <v>91</v>
      </c>
      <c r="O1537" s="1" t="s">
        <v>1618</v>
      </c>
      <c r="P1537" s="1">
        <v>9200</v>
      </c>
      <c r="T1537"/>
    </row>
    <row r="1538" spans="9:20">
      <c r="I1538" s="1" t="s">
        <v>50</v>
      </c>
      <c r="J1538" s="1" t="s">
        <v>75</v>
      </c>
      <c r="K1538" s="1" t="s">
        <v>11</v>
      </c>
      <c r="L1538" s="1">
        <v>2</v>
      </c>
      <c r="M1538" s="1">
        <v>2.99</v>
      </c>
      <c r="N1538" s="1" t="s">
        <v>91</v>
      </c>
      <c r="O1538" s="1" t="s">
        <v>1619</v>
      </c>
      <c r="P1538" s="1">
        <v>7700</v>
      </c>
      <c r="T1538"/>
    </row>
    <row r="1539" spans="9:20">
      <c r="I1539" s="1" t="s">
        <v>50</v>
      </c>
      <c r="J1539" s="1" t="s">
        <v>78</v>
      </c>
      <c r="K1539" s="1" t="s">
        <v>11</v>
      </c>
      <c r="L1539" s="1">
        <v>2</v>
      </c>
      <c r="M1539" s="1">
        <v>2.99</v>
      </c>
      <c r="N1539" s="1" t="s">
        <v>91</v>
      </c>
      <c r="O1539" s="1" t="s">
        <v>1620</v>
      </c>
      <c r="P1539" s="1">
        <v>6800</v>
      </c>
      <c r="T1539"/>
    </row>
    <row r="1540" spans="9:20">
      <c r="I1540" s="1" t="s">
        <v>50</v>
      </c>
      <c r="J1540" s="1" t="s">
        <v>81</v>
      </c>
      <c r="K1540" s="1" t="s">
        <v>11</v>
      </c>
      <c r="L1540" s="1">
        <v>2</v>
      </c>
      <c r="M1540" s="1">
        <v>2.99</v>
      </c>
      <c r="N1540" s="1" t="s">
        <v>91</v>
      </c>
      <c r="O1540" s="1" t="s">
        <v>1621</v>
      </c>
      <c r="P1540" s="1">
        <v>3500</v>
      </c>
      <c r="T1540"/>
    </row>
    <row r="1541" spans="9:20">
      <c r="I1541" s="1" t="s">
        <v>50</v>
      </c>
      <c r="J1541" s="1" t="s">
        <v>84</v>
      </c>
      <c r="K1541" s="1" t="s">
        <v>11</v>
      </c>
      <c r="L1541" s="1">
        <v>2</v>
      </c>
      <c r="M1541" s="1">
        <v>2.99</v>
      </c>
      <c r="N1541" s="1" t="s">
        <v>91</v>
      </c>
      <c r="O1541" s="1" t="s">
        <v>1622</v>
      </c>
      <c r="P1541" s="1">
        <v>1600</v>
      </c>
      <c r="T1541"/>
    </row>
    <row r="1542" spans="9:20">
      <c r="I1542" s="1" t="s">
        <v>50</v>
      </c>
      <c r="J1542" s="1" t="s">
        <v>1</v>
      </c>
      <c r="K1542" s="1" t="s">
        <v>12</v>
      </c>
      <c r="L1542" s="1">
        <v>2</v>
      </c>
      <c r="M1542" s="1">
        <v>2.99</v>
      </c>
      <c r="N1542" s="1" t="s">
        <v>91</v>
      </c>
      <c r="O1542" s="1" t="s">
        <v>1623</v>
      </c>
      <c r="P1542" s="1">
        <v>16500</v>
      </c>
      <c r="T1542"/>
    </row>
    <row r="1543" spans="9:20">
      <c r="I1543" s="1" t="s">
        <v>50</v>
      </c>
      <c r="J1543" s="1" t="s">
        <v>2</v>
      </c>
      <c r="K1543" s="1" t="s">
        <v>12</v>
      </c>
      <c r="L1543" s="1">
        <v>2</v>
      </c>
      <c r="M1543" s="1">
        <v>2.99</v>
      </c>
      <c r="N1543" s="1" t="s">
        <v>91</v>
      </c>
      <c r="O1543" s="1" t="s">
        <v>1624</v>
      </c>
      <c r="P1543" s="1">
        <v>15000</v>
      </c>
      <c r="T1543"/>
    </row>
    <row r="1544" spans="9:20">
      <c r="I1544" s="1" t="s">
        <v>50</v>
      </c>
      <c r="J1544" s="1" t="s">
        <v>3</v>
      </c>
      <c r="K1544" s="1" t="s">
        <v>12</v>
      </c>
      <c r="L1544" s="1">
        <v>2</v>
      </c>
      <c r="M1544" s="1">
        <v>2.99</v>
      </c>
      <c r="N1544" s="1" t="s">
        <v>91</v>
      </c>
      <c r="O1544" s="1" t="s">
        <v>1625</v>
      </c>
      <c r="P1544" s="1">
        <v>13500</v>
      </c>
      <c r="T1544"/>
    </row>
    <row r="1545" spans="9:20">
      <c r="I1545" s="1" t="s">
        <v>50</v>
      </c>
      <c r="J1545" s="1" t="s">
        <v>4</v>
      </c>
      <c r="K1545" s="1" t="s">
        <v>12</v>
      </c>
      <c r="L1545" s="1">
        <v>2</v>
      </c>
      <c r="M1545" s="1">
        <v>2.99</v>
      </c>
      <c r="N1545" s="1" t="s">
        <v>91</v>
      </c>
      <c r="O1545" s="1" t="s">
        <v>1626</v>
      </c>
      <c r="P1545" s="1">
        <v>12500</v>
      </c>
      <c r="T1545"/>
    </row>
    <row r="1546" spans="9:20">
      <c r="I1546" s="1" t="s">
        <v>50</v>
      </c>
      <c r="J1546" s="1" t="s">
        <v>5</v>
      </c>
      <c r="K1546" s="1" t="s">
        <v>12</v>
      </c>
      <c r="L1546" s="1">
        <v>2</v>
      </c>
      <c r="M1546" s="1">
        <v>2.99</v>
      </c>
      <c r="N1546" s="1" t="s">
        <v>91</v>
      </c>
      <c r="O1546" s="1" t="s">
        <v>1627</v>
      </c>
      <c r="P1546" s="1">
        <v>11500</v>
      </c>
      <c r="T1546"/>
    </row>
    <row r="1547" spans="9:20">
      <c r="I1547" s="1" t="s">
        <v>50</v>
      </c>
      <c r="J1547" s="1" t="s">
        <v>6</v>
      </c>
      <c r="K1547" s="1" t="s">
        <v>12</v>
      </c>
      <c r="L1547" s="1">
        <v>2</v>
      </c>
      <c r="M1547" s="1">
        <v>2.99</v>
      </c>
      <c r="N1547" s="1" t="s">
        <v>91</v>
      </c>
      <c r="O1547" s="1" t="s">
        <v>1628</v>
      </c>
      <c r="P1547" s="1">
        <v>10400</v>
      </c>
      <c r="T1547"/>
    </row>
    <row r="1548" spans="9:20">
      <c r="I1548" s="1" t="s">
        <v>50</v>
      </c>
      <c r="J1548" s="1" t="s">
        <v>7</v>
      </c>
      <c r="K1548" s="1" t="s">
        <v>12</v>
      </c>
      <c r="L1548" s="1">
        <v>2</v>
      </c>
      <c r="M1548" s="1">
        <v>2.99</v>
      </c>
      <c r="N1548" s="1" t="s">
        <v>91</v>
      </c>
      <c r="O1548" s="1" t="s">
        <v>1629</v>
      </c>
      <c r="P1548" s="1">
        <v>8600</v>
      </c>
      <c r="T1548"/>
    </row>
    <row r="1549" spans="9:20">
      <c r="I1549" s="1" t="s">
        <v>50</v>
      </c>
      <c r="J1549" s="1" t="s">
        <v>75</v>
      </c>
      <c r="K1549" s="1" t="s">
        <v>12</v>
      </c>
      <c r="L1549" s="1">
        <v>2</v>
      </c>
      <c r="M1549" s="1">
        <v>2.99</v>
      </c>
      <c r="N1549" s="1" t="s">
        <v>91</v>
      </c>
      <c r="O1549" s="1" t="s">
        <v>1630</v>
      </c>
      <c r="P1549" s="1">
        <v>7100</v>
      </c>
      <c r="T1549"/>
    </row>
    <row r="1550" spans="9:20">
      <c r="I1550" s="1" t="s">
        <v>50</v>
      </c>
      <c r="J1550" s="1" t="s">
        <v>78</v>
      </c>
      <c r="K1550" s="1" t="s">
        <v>12</v>
      </c>
      <c r="L1550" s="1">
        <v>2</v>
      </c>
      <c r="M1550" s="1">
        <v>2.99</v>
      </c>
      <c r="N1550" s="1" t="s">
        <v>91</v>
      </c>
      <c r="O1550" s="1" t="s">
        <v>1631</v>
      </c>
      <c r="P1550" s="1">
        <v>6500</v>
      </c>
      <c r="T1550"/>
    </row>
    <row r="1551" spans="9:20">
      <c r="I1551" s="1" t="s">
        <v>50</v>
      </c>
      <c r="J1551" s="1" t="s">
        <v>81</v>
      </c>
      <c r="K1551" s="1" t="s">
        <v>12</v>
      </c>
      <c r="L1551" s="1">
        <v>2</v>
      </c>
      <c r="M1551" s="1">
        <v>2.99</v>
      </c>
      <c r="N1551" s="1" t="s">
        <v>91</v>
      </c>
      <c r="O1551" s="1" t="s">
        <v>1632</v>
      </c>
      <c r="P1551" s="1">
        <v>3300</v>
      </c>
      <c r="T1551"/>
    </row>
    <row r="1552" spans="9:20">
      <c r="I1552" s="1" t="s">
        <v>50</v>
      </c>
      <c r="J1552" s="1" t="s">
        <v>84</v>
      </c>
      <c r="K1552" s="1" t="s">
        <v>12</v>
      </c>
      <c r="L1552" s="1">
        <v>2</v>
      </c>
      <c r="M1552" s="1">
        <v>2.99</v>
      </c>
      <c r="N1552" s="1" t="s">
        <v>91</v>
      </c>
      <c r="O1552" s="1" t="s">
        <v>1633</v>
      </c>
      <c r="P1552" s="1">
        <v>1500</v>
      </c>
      <c r="T1552"/>
    </row>
    <row r="1553" spans="9:20">
      <c r="I1553" s="1" t="s">
        <v>50</v>
      </c>
      <c r="J1553" s="1" t="s">
        <v>1</v>
      </c>
      <c r="K1553" s="1" t="s">
        <v>13</v>
      </c>
      <c r="L1553" s="1">
        <v>2</v>
      </c>
      <c r="M1553" s="1">
        <v>2.99</v>
      </c>
      <c r="N1553" s="1" t="s">
        <v>91</v>
      </c>
      <c r="O1553" s="1" t="s">
        <v>1634</v>
      </c>
      <c r="P1553" s="1">
        <v>13500</v>
      </c>
      <c r="T1553"/>
    </row>
    <row r="1554" spans="9:20">
      <c r="I1554" s="1" t="s">
        <v>50</v>
      </c>
      <c r="J1554" s="1" t="s">
        <v>2</v>
      </c>
      <c r="K1554" s="1" t="s">
        <v>13</v>
      </c>
      <c r="L1554" s="1">
        <v>2</v>
      </c>
      <c r="M1554" s="1">
        <v>2.99</v>
      </c>
      <c r="N1554" s="1" t="s">
        <v>91</v>
      </c>
      <c r="O1554" s="1" t="s">
        <v>1635</v>
      </c>
      <c r="P1554" s="1">
        <v>12000</v>
      </c>
      <c r="T1554"/>
    </row>
    <row r="1555" spans="9:20">
      <c r="I1555" s="1" t="s">
        <v>50</v>
      </c>
      <c r="J1555" s="1" t="s">
        <v>3</v>
      </c>
      <c r="K1555" s="1" t="s">
        <v>13</v>
      </c>
      <c r="L1555" s="1">
        <v>2</v>
      </c>
      <c r="M1555" s="1">
        <v>2.99</v>
      </c>
      <c r="N1555" s="1" t="s">
        <v>91</v>
      </c>
      <c r="O1555" s="1" t="s">
        <v>1636</v>
      </c>
      <c r="P1555" s="1">
        <v>11000</v>
      </c>
      <c r="T1555"/>
    </row>
    <row r="1556" spans="9:20">
      <c r="I1556" s="1" t="s">
        <v>50</v>
      </c>
      <c r="J1556" s="1" t="s">
        <v>4</v>
      </c>
      <c r="K1556" s="1" t="s">
        <v>13</v>
      </c>
      <c r="L1556" s="1">
        <v>2</v>
      </c>
      <c r="M1556" s="1">
        <v>2.99</v>
      </c>
      <c r="N1556" s="1" t="s">
        <v>91</v>
      </c>
      <c r="O1556" s="1" t="s">
        <v>1637</v>
      </c>
      <c r="P1556" s="1">
        <v>10000</v>
      </c>
      <c r="T1556"/>
    </row>
    <row r="1557" spans="9:20">
      <c r="I1557" s="1" t="s">
        <v>50</v>
      </c>
      <c r="J1557" s="1" t="s">
        <v>5</v>
      </c>
      <c r="K1557" s="1" t="s">
        <v>13</v>
      </c>
      <c r="L1557" s="1">
        <v>2</v>
      </c>
      <c r="M1557" s="1">
        <v>2.99</v>
      </c>
      <c r="N1557" s="1" t="s">
        <v>91</v>
      </c>
      <c r="O1557" s="1" t="s">
        <v>1638</v>
      </c>
      <c r="P1557" s="1">
        <v>9300</v>
      </c>
      <c r="T1557"/>
    </row>
    <row r="1558" spans="9:20">
      <c r="I1558" s="1" t="s">
        <v>50</v>
      </c>
      <c r="J1558" s="1" t="s">
        <v>6</v>
      </c>
      <c r="K1558" s="1" t="s">
        <v>13</v>
      </c>
      <c r="L1558" s="1">
        <v>2</v>
      </c>
      <c r="M1558" s="1">
        <v>2.99</v>
      </c>
      <c r="N1558" s="1" t="s">
        <v>91</v>
      </c>
      <c r="O1558" s="1" t="s">
        <v>1639</v>
      </c>
      <c r="P1558" s="1">
        <v>8600</v>
      </c>
      <c r="T1558"/>
    </row>
    <row r="1559" spans="9:20">
      <c r="I1559" s="1" t="s">
        <v>50</v>
      </c>
      <c r="J1559" s="1" t="s">
        <v>7</v>
      </c>
      <c r="K1559" s="1" t="s">
        <v>13</v>
      </c>
      <c r="L1559" s="1">
        <v>2</v>
      </c>
      <c r="M1559" s="1">
        <v>2.99</v>
      </c>
      <c r="N1559" s="1" t="s">
        <v>91</v>
      </c>
      <c r="O1559" s="1" t="s">
        <v>1640</v>
      </c>
      <c r="P1559" s="1">
        <v>7800</v>
      </c>
      <c r="T1559"/>
    </row>
    <row r="1560" spans="9:20">
      <c r="I1560" s="1" t="s">
        <v>50</v>
      </c>
      <c r="J1560" s="1" t="s">
        <v>75</v>
      </c>
      <c r="K1560" s="1" t="s">
        <v>13</v>
      </c>
      <c r="L1560" s="1">
        <v>2</v>
      </c>
      <c r="M1560" s="1">
        <v>2.99</v>
      </c>
      <c r="N1560" s="1" t="s">
        <v>91</v>
      </c>
      <c r="O1560" s="1" t="s">
        <v>1641</v>
      </c>
      <c r="P1560" s="1">
        <v>6600</v>
      </c>
      <c r="T1560"/>
    </row>
    <row r="1561" spans="9:20">
      <c r="I1561" s="1" t="s">
        <v>50</v>
      </c>
      <c r="J1561" s="1" t="s">
        <v>78</v>
      </c>
      <c r="K1561" s="1" t="s">
        <v>13</v>
      </c>
      <c r="L1561" s="1">
        <v>2</v>
      </c>
      <c r="M1561" s="1">
        <v>2.99</v>
      </c>
      <c r="N1561" s="1" t="s">
        <v>91</v>
      </c>
      <c r="O1561" s="1" t="s">
        <v>1642</v>
      </c>
      <c r="P1561" s="1">
        <v>6100</v>
      </c>
      <c r="T1561"/>
    </row>
    <row r="1562" spans="9:20">
      <c r="I1562" s="1" t="s">
        <v>50</v>
      </c>
      <c r="J1562" s="1" t="s">
        <v>81</v>
      </c>
      <c r="K1562" s="1" t="s">
        <v>13</v>
      </c>
      <c r="L1562" s="1">
        <v>2</v>
      </c>
      <c r="M1562" s="1">
        <v>2.99</v>
      </c>
      <c r="N1562" s="1" t="s">
        <v>91</v>
      </c>
      <c r="O1562" s="1" t="s">
        <v>1643</v>
      </c>
      <c r="P1562" s="1">
        <v>3100</v>
      </c>
      <c r="T1562"/>
    </row>
    <row r="1563" spans="9:20">
      <c r="I1563" s="1" t="s">
        <v>50</v>
      </c>
      <c r="J1563" s="1" t="s">
        <v>84</v>
      </c>
      <c r="K1563" s="1" t="s">
        <v>13</v>
      </c>
      <c r="L1563" s="1">
        <v>2</v>
      </c>
      <c r="M1563" s="1">
        <v>2.99</v>
      </c>
      <c r="N1563" s="1" t="s">
        <v>91</v>
      </c>
      <c r="O1563" s="1" t="s">
        <v>1644</v>
      </c>
      <c r="P1563" s="1">
        <v>1500</v>
      </c>
      <c r="T1563"/>
    </row>
    <row r="1564" spans="9:20">
      <c r="I1564" s="1" t="s">
        <v>50</v>
      </c>
      <c r="J1564" s="1" t="s">
        <v>1</v>
      </c>
      <c r="K1564" s="1" t="s">
        <v>14</v>
      </c>
      <c r="L1564" s="1">
        <v>2</v>
      </c>
      <c r="M1564" s="1">
        <v>2.99</v>
      </c>
      <c r="N1564" s="1" t="s">
        <v>91</v>
      </c>
      <c r="O1564" s="1" t="s">
        <v>1645</v>
      </c>
      <c r="P1564" s="1">
        <v>10900</v>
      </c>
      <c r="T1564"/>
    </row>
    <row r="1565" spans="9:20">
      <c r="I1565" s="1" t="s">
        <v>50</v>
      </c>
      <c r="J1565" s="1" t="s">
        <v>2</v>
      </c>
      <c r="K1565" s="1" t="s">
        <v>14</v>
      </c>
      <c r="L1565" s="1">
        <v>2</v>
      </c>
      <c r="M1565" s="1">
        <v>2.99</v>
      </c>
      <c r="N1565" s="1" t="s">
        <v>91</v>
      </c>
      <c r="O1565" s="1" t="s">
        <v>1646</v>
      </c>
      <c r="P1565" s="1">
        <v>9900</v>
      </c>
      <c r="T1565"/>
    </row>
    <row r="1566" spans="9:20">
      <c r="I1566" s="1" t="s">
        <v>50</v>
      </c>
      <c r="J1566" s="1" t="s">
        <v>3</v>
      </c>
      <c r="K1566" s="1" t="s">
        <v>14</v>
      </c>
      <c r="L1566" s="1">
        <v>2</v>
      </c>
      <c r="M1566" s="1">
        <v>2.99</v>
      </c>
      <c r="N1566" s="1" t="s">
        <v>91</v>
      </c>
      <c r="O1566" s="1" t="s">
        <v>1647</v>
      </c>
      <c r="P1566" s="1">
        <v>9100</v>
      </c>
      <c r="T1566"/>
    </row>
    <row r="1567" spans="9:20">
      <c r="I1567" s="1" t="s">
        <v>50</v>
      </c>
      <c r="J1567" s="1" t="s">
        <v>4</v>
      </c>
      <c r="K1567" s="1" t="s">
        <v>14</v>
      </c>
      <c r="L1567" s="1">
        <v>2</v>
      </c>
      <c r="M1567" s="1">
        <v>2.99</v>
      </c>
      <c r="N1567" s="1" t="s">
        <v>91</v>
      </c>
      <c r="O1567" s="1" t="s">
        <v>1648</v>
      </c>
      <c r="P1567" s="1">
        <v>8400</v>
      </c>
      <c r="T1567"/>
    </row>
    <row r="1568" spans="9:20">
      <c r="I1568" s="1" t="s">
        <v>50</v>
      </c>
      <c r="J1568" s="1" t="s">
        <v>5</v>
      </c>
      <c r="K1568" s="1" t="s">
        <v>14</v>
      </c>
      <c r="L1568" s="1">
        <v>2</v>
      </c>
      <c r="M1568" s="1">
        <v>2.99</v>
      </c>
      <c r="N1568" s="1" t="s">
        <v>91</v>
      </c>
      <c r="O1568" s="1" t="s">
        <v>1649</v>
      </c>
      <c r="P1568" s="1">
        <v>7600</v>
      </c>
      <c r="T1568"/>
    </row>
    <row r="1569" spans="9:20">
      <c r="I1569" s="1" t="s">
        <v>50</v>
      </c>
      <c r="J1569" s="1" t="s">
        <v>6</v>
      </c>
      <c r="K1569" s="1" t="s">
        <v>14</v>
      </c>
      <c r="L1569" s="1">
        <v>2</v>
      </c>
      <c r="M1569" s="1">
        <v>2.99</v>
      </c>
      <c r="N1569" s="1" t="s">
        <v>91</v>
      </c>
      <c r="O1569" s="1" t="s">
        <v>1650</v>
      </c>
      <c r="P1569" s="1">
        <v>6900</v>
      </c>
      <c r="T1569"/>
    </row>
    <row r="1570" spans="9:20">
      <c r="I1570" s="1" t="s">
        <v>50</v>
      </c>
      <c r="J1570" s="1" t="s">
        <v>7</v>
      </c>
      <c r="K1570" s="1" t="s">
        <v>14</v>
      </c>
      <c r="L1570" s="1">
        <v>2</v>
      </c>
      <c r="M1570" s="1">
        <v>2.99</v>
      </c>
      <c r="N1570" s="1" t="s">
        <v>91</v>
      </c>
      <c r="O1570" s="1" t="s">
        <v>1651</v>
      </c>
      <c r="P1570" s="1">
        <v>6300</v>
      </c>
      <c r="T1570"/>
    </row>
    <row r="1571" spans="9:20">
      <c r="I1571" s="1" t="s">
        <v>50</v>
      </c>
      <c r="J1571" s="1" t="s">
        <v>75</v>
      </c>
      <c r="K1571" s="1" t="s">
        <v>14</v>
      </c>
      <c r="L1571" s="1">
        <v>2</v>
      </c>
      <c r="M1571" s="1">
        <v>2.99</v>
      </c>
      <c r="N1571" s="1" t="s">
        <v>91</v>
      </c>
      <c r="O1571" s="1" t="s">
        <v>1652</v>
      </c>
      <c r="P1571" s="1">
        <v>5700</v>
      </c>
      <c r="T1571"/>
    </row>
    <row r="1572" spans="9:20">
      <c r="I1572" s="1" t="s">
        <v>50</v>
      </c>
      <c r="J1572" s="1" t="s">
        <v>78</v>
      </c>
      <c r="K1572" s="1" t="s">
        <v>14</v>
      </c>
      <c r="L1572" s="1">
        <v>2</v>
      </c>
      <c r="M1572" s="1">
        <v>2.99</v>
      </c>
      <c r="N1572" s="1" t="s">
        <v>91</v>
      </c>
      <c r="O1572" s="1" t="s">
        <v>1653</v>
      </c>
      <c r="P1572" s="1">
        <v>5400</v>
      </c>
      <c r="T1572"/>
    </row>
    <row r="1573" spans="9:20">
      <c r="I1573" s="1" t="s">
        <v>50</v>
      </c>
      <c r="J1573" s="1" t="s">
        <v>81</v>
      </c>
      <c r="K1573" s="1" t="s">
        <v>14</v>
      </c>
      <c r="L1573" s="1">
        <v>2</v>
      </c>
      <c r="M1573" s="1">
        <v>2.99</v>
      </c>
      <c r="N1573" s="1" t="s">
        <v>91</v>
      </c>
      <c r="O1573" s="1" t="s">
        <v>1654</v>
      </c>
      <c r="P1573" s="1">
        <v>2900</v>
      </c>
      <c r="T1573"/>
    </row>
    <row r="1574" spans="9:20">
      <c r="I1574" s="1" t="s">
        <v>50</v>
      </c>
      <c r="J1574" s="1" t="s">
        <v>84</v>
      </c>
      <c r="K1574" s="1" t="s">
        <v>14</v>
      </c>
      <c r="L1574" s="1">
        <v>2</v>
      </c>
      <c r="M1574" s="1">
        <v>2.99</v>
      </c>
      <c r="N1574" s="1" t="s">
        <v>91</v>
      </c>
      <c r="O1574" s="1" t="s">
        <v>1655</v>
      </c>
      <c r="P1574" s="1">
        <v>1400</v>
      </c>
      <c r="T1574"/>
    </row>
    <row r="1575" spans="9:20">
      <c r="I1575" s="1" t="s">
        <v>50</v>
      </c>
      <c r="J1575" s="1" t="s">
        <v>1</v>
      </c>
      <c r="K1575" s="1" t="s">
        <v>15</v>
      </c>
      <c r="L1575" s="1">
        <v>2</v>
      </c>
      <c r="M1575" s="1">
        <v>2.99</v>
      </c>
      <c r="N1575" s="1" t="s">
        <v>91</v>
      </c>
      <c r="O1575" s="1" t="s">
        <v>1656</v>
      </c>
      <c r="P1575" s="1">
        <v>9100</v>
      </c>
      <c r="T1575"/>
    </row>
    <row r="1576" spans="9:20">
      <c r="I1576" s="1" t="s">
        <v>50</v>
      </c>
      <c r="J1576" s="1" t="s">
        <v>2</v>
      </c>
      <c r="K1576" s="1" t="s">
        <v>15</v>
      </c>
      <c r="L1576" s="1">
        <v>2</v>
      </c>
      <c r="M1576" s="1">
        <v>2.99</v>
      </c>
      <c r="N1576" s="1" t="s">
        <v>91</v>
      </c>
      <c r="O1576" s="1" t="s">
        <v>1657</v>
      </c>
      <c r="P1576" s="1">
        <v>8300</v>
      </c>
      <c r="T1576"/>
    </row>
    <row r="1577" spans="9:20">
      <c r="I1577" s="1" t="s">
        <v>50</v>
      </c>
      <c r="J1577" s="1" t="s">
        <v>3</v>
      </c>
      <c r="K1577" s="1" t="s">
        <v>15</v>
      </c>
      <c r="L1577" s="1">
        <v>2</v>
      </c>
      <c r="M1577" s="1">
        <v>2.99</v>
      </c>
      <c r="N1577" s="1" t="s">
        <v>91</v>
      </c>
      <c r="O1577" s="1" t="s">
        <v>1658</v>
      </c>
      <c r="P1577" s="1">
        <v>7600</v>
      </c>
      <c r="T1577"/>
    </row>
    <row r="1578" spans="9:20">
      <c r="I1578" s="1" t="s">
        <v>50</v>
      </c>
      <c r="J1578" s="1" t="s">
        <v>4</v>
      </c>
      <c r="K1578" s="1" t="s">
        <v>15</v>
      </c>
      <c r="L1578" s="1">
        <v>2</v>
      </c>
      <c r="M1578" s="1">
        <v>2.99</v>
      </c>
      <c r="N1578" s="1" t="s">
        <v>91</v>
      </c>
      <c r="O1578" s="1" t="s">
        <v>1659</v>
      </c>
      <c r="P1578" s="1">
        <v>7000</v>
      </c>
      <c r="T1578"/>
    </row>
    <row r="1579" spans="9:20">
      <c r="I1579" s="1" t="s">
        <v>50</v>
      </c>
      <c r="J1579" s="1" t="s">
        <v>5</v>
      </c>
      <c r="K1579" s="1" t="s">
        <v>15</v>
      </c>
      <c r="L1579" s="1">
        <v>2</v>
      </c>
      <c r="M1579" s="1">
        <v>2.99</v>
      </c>
      <c r="N1579" s="1" t="s">
        <v>91</v>
      </c>
      <c r="O1579" s="1" t="s">
        <v>1660</v>
      </c>
      <c r="P1579" s="1">
        <v>6300</v>
      </c>
      <c r="T1579"/>
    </row>
    <row r="1580" spans="9:20">
      <c r="I1580" s="1" t="s">
        <v>50</v>
      </c>
      <c r="J1580" s="1" t="s">
        <v>6</v>
      </c>
      <c r="K1580" s="1" t="s">
        <v>15</v>
      </c>
      <c r="L1580" s="1">
        <v>2</v>
      </c>
      <c r="M1580" s="1">
        <v>2.99</v>
      </c>
      <c r="N1580" s="1" t="s">
        <v>91</v>
      </c>
      <c r="O1580" s="1" t="s">
        <v>1661</v>
      </c>
      <c r="P1580" s="1">
        <v>5700</v>
      </c>
      <c r="T1580"/>
    </row>
    <row r="1581" spans="9:20">
      <c r="I1581" s="1" t="s">
        <v>50</v>
      </c>
      <c r="J1581" s="1" t="s">
        <v>7</v>
      </c>
      <c r="K1581" s="1" t="s">
        <v>15</v>
      </c>
      <c r="L1581" s="1">
        <v>2</v>
      </c>
      <c r="M1581" s="1">
        <v>2.99</v>
      </c>
      <c r="N1581" s="1" t="s">
        <v>91</v>
      </c>
      <c r="O1581" s="1" t="s">
        <v>1662</v>
      </c>
      <c r="P1581" s="1">
        <v>5300</v>
      </c>
      <c r="T1581"/>
    </row>
    <row r="1582" spans="9:20">
      <c r="I1582" s="1" t="s">
        <v>50</v>
      </c>
      <c r="J1582" s="1" t="s">
        <v>75</v>
      </c>
      <c r="K1582" s="1" t="s">
        <v>15</v>
      </c>
      <c r="L1582" s="1">
        <v>2</v>
      </c>
      <c r="M1582" s="1">
        <v>2.99</v>
      </c>
      <c r="N1582" s="1" t="s">
        <v>91</v>
      </c>
      <c r="O1582" s="1" t="s">
        <v>1663</v>
      </c>
      <c r="P1582" s="1">
        <v>5000</v>
      </c>
      <c r="T1582"/>
    </row>
    <row r="1583" spans="9:20">
      <c r="I1583" s="1" t="s">
        <v>50</v>
      </c>
      <c r="J1583" s="1" t="s">
        <v>78</v>
      </c>
      <c r="K1583" s="1" t="s">
        <v>15</v>
      </c>
      <c r="L1583" s="1">
        <v>2</v>
      </c>
      <c r="M1583" s="1">
        <v>2.99</v>
      </c>
      <c r="N1583" s="1" t="s">
        <v>91</v>
      </c>
      <c r="O1583" s="1" t="s">
        <v>1664</v>
      </c>
      <c r="P1583" s="1">
        <v>4700</v>
      </c>
      <c r="T1583"/>
    </row>
    <row r="1584" spans="9:20">
      <c r="I1584" s="1" t="s">
        <v>50</v>
      </c>
      <c r="J1584" s="1" t="s">
        <v>81</v>
      </c>
      <c r="K1584" s="1" t="s">
        <v>15</v>
      </c>
      <c r="L1584" s="1">
        <v>2</v>
      </c>
      <c r="M1584" s="1">
        <v>2.99</v>
      </c>
      <c r="N1584" s="1" t="s">
        <v>91</v>
      </c>
      <c r="O1584" s="1" t="s">
        <v>1665</v>
      </c>
      <c r="P1584" s="1">
        <v>2800</v>
      </c>
      <c r="T1584"/>
    </row>
    <row r="1585" spans="9:20">
      <c r="I1585" s="1" t="s">
        <v>50</v>
      </c>
      <c r="J1585" s="1" t="s">
        <v>84</v>
      </c>
      <c r="K1585" s="1" t="s">
        <v>15</v>
      </c>
      <c r="L1585" s="1">
        <v>2</v>
      </c>
      <c r="M1585" s="1">
        <v>2.99</v>
      </c>
      <c r="N1585" s="1" t="s">
        <v>91</v>
      </c>
      <c r="O1585" s="1" t="s">
        <v>1666</v>
      </c>
      <c r="P1585" s="1">
        <v>1400</v>
      </c>
      <c r="T1585"/>
    </row>
    <row r="1586" spans="9:20">
      <c r="I1586" s="1" t="s">
        <v>50</v>
      </c>
      <c r="J1586" s="1" t="s">
        <v>1</v>
      </c>
      <c r="K1586" s="1" t="s">
        <v>16</v>
      </c>
      <c r="L1586" s="1">
        <v>2</v>
      </c>
      <c r="M1586" s="1">
        <v>2.99</v>
      </c>
      <c r="N1586" s="1" t="s">
        <v>91</v>
      </c>
      <c r="O1586" s="1" t="s">
        <v>1667</v>
      </c>
      <c r="P1586" s="1">
        <v>7800</v>
      </c>
      <c r="T1586"/>
    </row>
    <row r="1587" spans="9:20">
      <c r="I1587" s="1" t="s">
        <v>50</v>
      </c>
      <c r="J1587" s="1" t="s">
        <v>2</v>
      </c>
      <c r="K1587" s="1" t="s">
        <v>16</v>
      </c>
      <c r="L1587" s="1">
        <v>2</v>
      </c>
      <c r="M1587" s="1">
        <v>2.99</v>
      </c>
      <c r="N1587" s="1" t="s">
        <v>91</v>
      </c>
      <c r="O1587" s="1" t="s">
        <v>1668</v>
      </c>
      <c r="P1587" s="1">
        <v>7100</v>
      </c>
      <c r="T1587"/>
    </row>
    <row r="1588" spans="9:20">
      <c r="I1588" s="1" t="s">
        <v>50</v>
      </c>
      <c r="J1588" s="1" t="s">
        <v>3</v>
      </c>
      <c r="K1588" s="1" t="s">
        <v>16</v>
      </c>
      <c r="L1588" s="1">
        <v>2</v>
      </c>
      <c r="M1588" s="1">
        <v>2.99</v>
      </c>
      <c r="N1588" s="1" t="s">
        <v>91</v>
      </c>
      <c r="O1588" s="1" t="s">
        <v>1669</v>
      </c>
      <c r="P1588" s="1">
        <v>6600</v>
      </c>
      <c r="T1588"/>
    </row>
    <row r="1589" spans="9:20">
      <c r="I1589" s="1" t="s">
        <v>50</v>
      </c>
      <c r="J1589" s="1" t="s">
        <v>4</v>
      </c>
      <c r="K1589" s="1" t="s">
        <v>16</v>
      </c>
      <c r="L1589" s="1">
        <v>2</v>
      </c>
      <c r="M1589" s="1">
        <v>2.99</v>
      </c>
      <c r="N1589" s="1" t="s">
        <v>91</v>
      </c>
      <c r="O1589" s="1" t="s">
        <v>1670</v>
      </c>
      <c r="P1589" s="1">
        <v>6100</v>
      </c>
      <c r="T1589"/>
    </row>
    <row r="1590" spans="9:20">
      <c r="I1590" s="1" t="s">
        <v>50</v>
      </c>
      <c r="J1590" s="1" t="s">
        <v>5</v>
      </c>
      <c r="K1590" s="1" t="s">
        <v>16</v>
      </c>
      <c r="L1590" s="1">
        <v>2</v>
      </c>
      <c r="M1590" s="1">
        <v>2.99</v>
      </c>
      <c r="N1590" s="1" t="s">
        <v>91</v>
      </c>
      <c r="O1590" s="1" t="s">
        <v>1671</v>
      </c>
      <c r="P1590" s="1">
        <v>5400</v>
      </c>
      <c r="T1590"/>
    </row>
    <row r="1591" spans="9:20">
      <c r="I1591" s="1" t="s">
        <v>50</v>
      </c>
      <c r="J1591" s="1" t="s">
        <v>6</v>
      </c>
      <c r="K1591" s="1" t="s">
        <v>16</v>
      </c>
      <c r="L1591" s="1">
        <v>2</v>
      </c>
      <c r="M1591" s="1">
        <v>2.99</v>
      </c>
      <c r="N1591" s="1" t="s">
        <v>91</v>
      </c>
      <c r="O1591" s="1" t="s">
        <v>1672</v>
      </c>
      <c r="P1591" s="1">
        <v>5000</v>
      </c>
      <c r="T1591"/>
    </row>
    <row r="1592" spans="9:20">
      <c r="I1592" s="1" t="s">
        <v>50</v>
      </c>
      <c r="J1592" s="1" t="s">
        <v>7</v>
      </c>
      <c r="K1592" s="1" t="s">
        <v>16</v>
      </c>
      <c r="L1592" s="1">
        <v>2</v>
      </c>
      <c r="M1592" s="1">
        <v>2.99</v>
      </c>
      <c r="N1592" s="1" t="s">
        <v>91</v>
      </c>
      <c r="O1592" s="1" t="s">
        <v>1673</v>
      </c>
      <c r="P1592" s="1">
        <v>4600</v>
      </c>
      <c r="T1592"/>
    </row>
    <row r="1593" spans="9:20">
      <c r="I1593" s="1" t="s">
        <v>50</v>
      </c>
      <c r="J1593" s="1" t="s">
        <v>75</v>
      </c>
      <c r="K1593" s="1" t="s">
        <v>16</v>
      </c>
      <c r="L1593" s="1">
        <v>2</v>
      </c>
      <c r="M1593" s="1">
        <v>2.99</v>
      </c>
      <c r="N1593" s="1" t="s">
        <v>91</v>
      </c>
      <c r="O1593" s="1" t="s">
        <v>1674</v>
      </c>
      <c r="P1593" s="1">
        <v>4300</v>
      </c>
      <c r="T1593"/>
    </row>
    <row r="1594" spans="9:20">
      <c r="I1594" s="1" t="s">
        <v>50</v>
      </c>
      <c r="J1594" s="1" t="s">
        <v>78</v>
      </c>
      <c r="K1594" s="1" t="s">
        <v>16</v>
      </c>
      <c r="L1594" s="1">
        <v>2</v>
      </c>
      <c r="M1594" s="1">
        <v>2.99</v>
      </c>
      <c r="N1594" s="1" t="s">
        <v>91</v>
      </c>
      <c r="O1594" s="1" t="s">
        <v>1675</v>
      </c>
      <c r="P1594" s="1">
        <v>4000</v>
      </c>
      <c r="T1594"/>
    </row>
    <row r="1595" spans="9:20">
      <c r="I1595" s="1" t="s">
        <v>50</v>
      </c>
      <c r="J1595" s="1" t="s">
        <v>81</v>
      </c>
      <c r="K1595" s="1" t="s">
        <v>16</v>
      </c>
      <c r="L1595" s="1">
        <v>2</v>
      </c>
      <c r="M1595" s="1">
        <v>2.99</v>
      </c>
      <c r="N1595" s="1" t="s">
        <v>91</v>
      </c>
      <c r="O1595" s="1" t="s">
        <v>1676</v>
      </c>
      <c r="P1595" s="1">
        <v>2700</v>
      </c>
      <c r="T1595"/>
    </row>
    <row r="1596" spans="9:20">
      <c r="I1596" s="1" t="s">
        <v>50</v>
      </c>
      <c r="J1596" s="1" t="s">
        <v>84</v>
      </c>
      <c r="K1596" s="1" t="s">
        <v>16</v>
      </c>
      <c r="L1596" s="1">
        <v>2</v>
      </c>
      <c r="M1596" s="1">
        <v>2.99</v>
      </c>
      <c r="N1596" s="1" t="s">
        <v>91</v>
      </c>
      <c r="O1596" s="1" t="s">
        <v>1677</v>
      </c>
      <c r="P1596" s="1">
        <v>1300</v>
      </c>
      <c r="T1596"/>
    </row>
    <row r="1597" spans="9:20">
      <c r="I1597" s="1" t="s">
        <v>50</v>
      </c>
      <c r="J1597" s="1" t="s">
        <v>1</v>
      </c>
      <c r="K1597" s="1" t="s">
        <v>17</v>
      </c>
      <c r="L1597" s="1">
        <v>2</v>
      </c>
      <c r="M1597" s="1">
        <v>2.99</v>
      </c>
      <c r="N1597" s="1" t="s">
        <v>91</v>
      </c>
      <c r="O1597" s="1" t="s">
        <v>1678</v>
      </c>
      <c r="P1597" s="1">
        <v>6800</v>
      </c>
      <c r="T1597"/>
    </row>
    <row r="1598" spans="9:20">
      <c r="I1598" s="1" t="s">
        <v>50</v>
      </c>
      <c r="J1598" s="1" t="s">
        <v>2</v>
      </c>
      <c r="K1598" s="1" t="s">
        <v>17</v>
      </c>
      <c r="L1598" s="1">
        <v>2</v>
      </c>
      <c r="M1598" s="1">
        <v>2.99</v>
      </c>
      <c r="N1598" s="1" t="s">
        <v>91</v>
      </c>
      <c r="O1598" s="1" t="s">
        <v>1679</v>
      </c>
      <c r="P1598" s="1">
        <v>6300</v>
      </c>
      <c r="T1598"/>
    </row>
    <row r="1599" spans="9:20">
      <c r="I1599" s="1" t="s">
        <v>50</v>
      </c>
      <c r="J1599" s="1" t="s">
        <v>3</v>
      </c>
      <c r="K1599" s="1" t="s">
        <v>17</v>
      </c>
      <c r="L1599" s="1">
        <v>2</v>
      </c>
      <c r="M1599" s="1">
        <v>2.99</v>
      </c>
      <c r="N1599" s="1" t="s">
        <v>91</v>
      </c>
      <c r="O1599" s="1" t="s">
        <v>1680</v>
      </c>
      <c r="P1599" s="1">
        <v>5700</v>
      </c>
      <c r="T1599"/>
    </row>
    <row r="1600" spans="9:20">
      <c r="I1600" s="1" t="s">
        <v>50</v>
      </c>
      <c r="J1600" s="1" t="s">
        <v>4</v>
      </c>
      <c r="K1600" s="1" t="s">
        <v>17</v>
      </c>
      <c r="L1600" s="1">
        <v>2</v>
      </c>
      <c r="M1600" s="1">
        <v>2.99</v>
      </c>
      <c r="N1600" s="1" t="s">
        <v>91</v>
      </c>
      <c r="O1600" s="1" t="s">
        <v>1681</v>
      </c>
      <c r="P1600" s="1">
        <v>5400</v>
      </c>
      <c r="T1600"/>
    </row>
    <row r="1601" spans="9:20">
      <c r="I1601" s="1" t="s">
        <v>50</v>
      </c>
      <c r="J1601" s="1" t="s">
        <v>5</v>
      </c>
      <c r="K1601" s="1" t="s">
        <v>17</v>
      </c>
      <c r="L1601" s="1">
        <v>2</v>
      </c>
      <c r="M1601" s="1">
        <v>2.99</v>
      </c>
      <c r="N1601" s="1" t="s">
        <v>91</v>
      </c>
      <c r="O1601" s="1" t="s">
        <v>1682</v>
      </c>
      <c r="P1601" s="1">
        <v>4800</v>
      </c>
      <c r="T1601"/>
    </row>
    <row r="1602" spans="9:20">
      <c r="I1602" s="1" t="s">
        <v>50</v>
      </c>
      <c r="J1602" s="1" t="s">
        <v>6</v>
      </c>
      <c r="K1602" s="1" t="s">
        <v>17</v>
      </c>
      <c r="L1602" s="1">
        <v>2</v>
      </c>
      <c r="M1602" s="1">
        <v>2.99</v>
      </c>
      <c r="N1602" s="1" t="s">
        <v>91</v>
      </c>
      <c r="O1602" s="1" t="s">
        <v>1683</v>
      </c>
      <c r="P1602" s="1">
        <v>4500</v>
      </c>
      <c r="T1602"/>
    </row>
    <row r="1603" spans="9:20">
      <c r="I1603" s="1" t="s">
        <v>50</v>
      </c>
      <c r="J1603" s="1" t="s">
        <v>7</v>
      </c>
      <c r="K1603" s="1" t="s">
        <v>17</v>
      </c>
      <c r="L1603" s="1">
        <v>2</v>
      </c>
      <c r="M1603" s="1">
        <v>2.99</v>
      </c>
      <c r="N1603" s="1" t="s">
        <v>91</v>
      </c>
      <c r="O1603" s="1" t="s">
        <v>1684</v>
      </c>
      <c r="P1603" s="1">
        <v>4200</v>
      </c>
      <c r="T1603"/>
    </row>
    <row r="1604" spans="9:20">
      <c r="I1604" s="1" t="s">
        <v>50</v>
      </c>
      <c r="J1604" s="1" t="s">
        <v>75</v>
      </c>
      <c r="K1604" s="1" t="s">
        <v>17</v>
      </c>
      <c r="L1604" s="1">
        <v>2</v>
      </c>
      <c r="M1604" s="1">
        <v>2.99</v>
      </c>
      <c r="N1604" s="1" t="s">
        <v>91</v>
      </c>
      <c r="O1604" s="1" t="s">
        <v>1685</v>
      </c>
      <c r="P1604" s="1">
        <v>4000</v>
      </c>
      <c r="T1604"/>
    </row>
    <row r="1605" spans="9:20">
      <c r="I1605" s="1" t="s">
        <v>50</v>
      </c>
      <c r="J1605" s="1" t="s">
        <v>78</v>
      </c>
      <c r="K1605" s="1" t="s">
        <v>17</v>
      </c>
      <c r="L1605" s="1">
        <v>2</v>
      </c>
      <c r="M1605" s="1">
        <v>2.99</v>
      </c>
      <c r="N1605" s="1" t="s">
        <v>91</v>
      </c>
      <c r="O1605" s="1" t="s">
        <v>1686</v>
      </c>
      <c r="P1605" s="1">
        <v>3800</v>
      </c>
      <c r="T1605"/>
    </row>
    <row r="1606" spans="9:20">
      <c r="I1606" s="1" t="s">
        <v>50</v>
      </c>
      <c r="J1606" s="1" t="s">
        <v>81</v>
      </c>
      <c r="K1606" s="1" t="s">
        <v>17</v>
      </c>
      <c r="L1606" s="1">
        <v>2</v>
      </c>
      <c r="M1606" s="1">
        <v>2.99</v>
      </c>
      <c r="N1606" s="1" t="s">
        <v>91</v>
      </c>
      <c r="O1606" s="1" t="s">
        <v>1687</v>
      </c>
      <c r="P1606" s="1">
        <v>2600</v>
      </c>
      <c r="T1606"/>
    </row>
    <row r="1607" spans="9:20">
      <c r="I1607" s="1" t="s">
        <v>50</v>
      </c>
      <c r="J1607" s="1" t="s">
        <v>84</v>
      </c>
      <c r="K1607" s="1" t="s">
        <v>17</v>
      </c>
      <c r="L1607" s="1">
        <v>2</v>
      </c>
      <c r="M1607" s="1">
        <v>2.99</v>
      </c>
      <c r="N1607" s="1" t="s">
        <v>91</v>
      </c>
      <c r="O1607" s="1" t="s">
        <v>1688</v>
      </c>
      <c r="P1607" s="1">
        <v>1300</v>
      </c>
      <c r="T1607"/>
    </row>
    <row r="1608" spans="9:20">
      <c r="I1608" s="1" t="s">
        <v>50</v>
      </c>
      <c r="J1608" s="1" t="s">
        <v>1</v>
      </c>
      <c r="K1608" s="1" t="s">
        <v>8</v>
      </c>
      <c r="L1608" s="1">
        <v>3</v>
      </c>
      <c r="M1608" s="1">
        <v>3.99</v>
      </c>
      <c r="N1608" s="1" t="s">
        <v>93</v>
      </c>
      <c r="O1608" s="1" t="s">
        <v>1689</v>
      </c>
      <c r="P1608" s="1">
        <v>55000</v>
      </c>
      <c r="T1608"/>
    </row>
    <row r="1609" spans="9:20">
      <c r="I1609" s="1" t="s">
        <v>50</v>
      </c>
      <c r="J1609" s="1" t="s">
        <v>2</v>
      </c>
      <c r="K1609" s="1" t="s">
        <v>8</v>
      </c>
      <c r="L1609" s="1">
        <v>3</v>
      </c>
      <c r="M1609" s="1">
        <v>3.99</v>
      </c>
      <c r="N1609" s="1" t="s">
        <v>93</v>
      </c>
      <c r="O1609" s="1" t="s">
        <v>1690</v>
      </c>
      <c r="P1609" s="1">
        <v>46000</v>
      </c>
      <c r="T1609"/>
    </row>
    <row r="1610" spans="9:20">
      <c r="I1610" s="1" t="s">
        <v>50</v>
      </c>
      <c r="J1610" s="1" t="s">
        <v>3</v>
      </c>
      <c r="K1610" s="1" t="s">
        <v>8</v>
      </c>
      <c r="L1610" s="1">
        <v>3</v>
      </c>
      <c r="M1610" s="1">
        <v>3.99</v>
      </c>
      <c r="N1610" s="1" t="s">
        <v>93</v>
      </c>
      <c r="O1610" s="1" t="s">
        <v>1691</v>
      </c>
      <c r="P1610" s="1">
        <v>41000</v>
      </c>
      <c r="T1610"/>
    </row>
    <row r="1611" spans="9:20">
      <c r="I1611" s="1" t="s">
        <v>50</v>
      </c>
      <c r="J1611" s="1" t="s">
        <v>4</v>
      </c>
      <c r="K1611" s="1" t="s">
        <v>8</v>
      </c>
      <c r="L1611" s="1">
        <v>3</v>
      </c>
      <c r="M1611" s="1">
        <v>3.99</v>
      </c>
      <c r="N1611" s="1" t="s">
        <v>93</v>
      </c>
      <c r="O1611" s="1" t="s">
        <v>1692</v>
      </c>
      <c r="P1611" s="1">
        <v>35000</v>
      </c>
      <c r="T1611"/>
    </row>
    <row r="1612" spans="9:20">
      <c r="I1612" s="1" t="s">
        <v>50</v>
      </c>
      <c r="J1612" s="1" t="s">
        <v>5</v>
      </c>
      <c r="K1612" s="1" t="s">
        <v>8</v>
      </c>
      <c r="L1612" s="1">
        <v>3</v>
      </c>
      <c r="M1612" s="1">
        <v>3.99</v>
      </c>
      <c r="N1612" s="1" t="s">
        <v>93</v>
      </c>
      <c r="O1612" s="1" t="s">
        <v>1693</v>
      </c>
      <c r="P1612" s="1">
        <v>29500</v>
      </c>
      <c r="T1612"/>
    </row>
    <row r="1613" spans="9:20">
      <c r="I1613" s="1" t="s">
        <v>50</v>
      </c>
      <c r="J1613" s="1" t="s">
        <v>6</v>
      </c>
      <c r="K1613" s="1" t="s">
        <v>8</v>
      </c>
      <c r="L1613" s="1">
        <v>3</v>
      </c>
      <c r="M1613" s="1">
        <v>3.99</v>
      </c>
      <c r="N1613" s="1" t="s">
        <v>93</v>
      </c>
      <c r="O1613" s="1" t="s">
        <v>1694</v>
      </c>
      <c r="P1613" s="1">
        <v>23500</v>
      </c>
      <c r="T1613"/>
    </row>
    <row r="1614" spans="9:20">
      <c r="I1614" s="1" t="s">
        <v>50</v>
      </c>
      <c r="J1614" s="1" t="s">
        <v>7</v>
      </c>
      <c r="K1614" s="1" t="s">
        <v>8</v>
      </c>
      <c r="L1614" s="1">
        <v>3</v>
      </c>
      <c r="M1614" s="1">
        <v>3.99</v>
      </c>
      <c r="N1614" s="1" t="s">
        <v>93</v>
      </c>
      <c r="O1614" s="1" t="s">
        <v>1695</v>
      </c>
      <c r="P1614" s="1">
        <v>20000</v>
      </c>
      <c r="T1614"/>
    </row>
    <row r="1615" spans="9:20">
      <c r="I1615" s="1" t="s">
        <v>50</v>
      </c>
      <c r="J1615" s="1" t="s">
        <v>75</v>
      </c>
      <c r="K1615" s="1" t="s">
        <v>8</v>
      </c>
      <c r="L1615" s="1">
        <v>3</v>
      </c>
      <c r="M1615" s="1">
        <v>3.99</v>
      </c>
      <c r="N1615" s="1" t="s">
        <v>93</v>
      </c>
      <c r="O1615" s="1" t="s">
        <v>1696</v>
      </c>
      <c r="P1615" s="1">
        <v>13900</v>
      </c>
      <c r="T1615"/>
    </row>
    <row r="1616" spans="9:20">
      <c r="I1616" s="1" t="s">
        <v>50</v>
      </c>
      <c r="J1616" s="1" t="s">
        <v>78</v>
      </c>
      <c r="K1616" s="1" t="s">
        <v>8</v>
      </c>
      <c r="L1616" s="1">
        <v>3</v>
      </c>
      <c r="M1616" s="1">
        <v>3.99</v>
      </c>
      <c r="N1616" s="1" t="s">
        <v>93</v>
      </c>
      <c r="O1616" s="1" t="s">
        <v>1697</v>
      </c>
      <c r="P1616" s="1">
        <v>10300</v>
      </c>
      <c r="T1616"/>
    </row>
    <row r="1617" spans="9:20">
      <c r="I1617" s="1" t="s">
        <v>50</v>
      </c>
      <c r="J1617" s="1" t="s">
        <v>81</v>
      </c>
      <c r="K1617" s="1" t="s">
        <v>8</v>
      </c>
      <c r="L1617" s="1">
        <v>3</v>
      </c>
      <c r="M1617" s="1">
        <v>3.99</v>
      </c>
      <c r="N1617" s="1" t="s">
        <v>93</v>
      </c>
      <c r="O1617" s="1" t="s">
        <v>1698</v>
      </c>
      <c r="P1617" s="1">
        <v>4900</v>
      </c>
      <c r="T1617"/>
    </row>
    <row r="1618" spans="9:20">
      <c r="I1618" s="1" t="s">
        <v>50</v>
      </c>
      <c r="J1618" s="1" t="s">
        <v>84</v>
      </c>
      <c r="K1618" s="1" t="s">
        <v>8</v>
      </c>
      <c r="L1618" s="1">
        <v>3</v>
      </c>
      <c r="M1618" s="1">
        <v>3.99</v>
      </c>
      <c r="N1618" s="1" t="s">
        <v>93</v>
      </c>
      <c r="O1618" s="1" t="s">
        <v>1699</v>
      </c>
      <c r="P1618" s="1">
        <v>2100</v>
      </c>
      <c r="T1618"/>
    </row>
    <row r="1619" spans="9:20">
      <c r="I1619" s="1" t="s">
        <v>50</v>
      </c>
      <c r="J1619" s="1" t="s">
        <v>1</v>
      </c>
      <c r="K1619" s="1" t="s">
        <v>9</v>
      </c>
      <c r="L1619" s="1">
        <v>3</v>
      </c>
      <c r="M1619" s="1">
        <v>3.99</v>
      </c>
      <c r="N1619" s="1" t="s">
        <v>93</v>
      </c>
      <c r="O1619" s="1" t="s">
        <v>1700</v>
      </c>
      <c r="P1619" s="1">
        <v>45000</v>
      </c>
      <c r="T1619"/>
    </row>
    <row r="1620" spans="9:20">
      <c r="I1620" s="1" t="s">
        <v>50</v>
      </c>
      <c r="J1620" s="1" t="s">
        <v>2</v>
      </c>
      <c r="K1620" s="1" t="s">
        <v>9</v>
      </c>
      <c r="L1620" s="1">
        <v>3</v>
      </c>
      <c r="M1620" s="1">
        <v>3.99</v>
      </c>
      <c r="N1620" s="1" t="s">
        <v>93</v>
      </c>
      <c r="O1620" s="1" t="s">
        <v>1701</v>
      </c>
      <c r="P1620" s="1">
        <v>42000</v>
      </c>
      <c r="T1620"/>
    </row>
    <row r="1621" spans="9:20">
      <c r="I1621" s="1" t="s">
        <v>50</v>
      </c>
      <c r="J1621" s="1" t="s">
        <v>3</v>
      </c>
      <c r="K1621" s="1" t="s">
        <v>9</v>
      </c>
      <c r="L1621" s="1">
        <v>3</v>
      </c>
      <c r="M1621" s="1">
        <v>3.99</v>
      </c>
      <c r="N1621" s="1" t="s">
        <v>93</v>
      </c>
      <c r="O1621" s="1" t="s">
        <v>1702</v>
      </c>
      <c r="P1621" s="1">
        <v>37000</v>
      </c>
      <c r="T1621"/>
    </row>
    <row r="1622" spans="9:20">
      <c r="I1622" s="1" t="s">
        <v>50</v>
      </c>
      <c r="J1622" s="1" t="s">
        <v>4</v>
      </c>
      <c r="K1622" s="1" t="s">
        <v>9</v>
      </c>
      <c r="L1622" s="1">
        <v>3</v>
      </c>
      <c r="M1622" s="1">
        <v>3.99</v>
      </c>
      <c r="N1622" s="1" t="s">
        <v>93</v>
      </c>
      <c r="O1622" s="1" t="s">
        <v>1703</v>
      </c>
      <c r="P1622" s="1">
        <v>32000</v>
      </c>
      <c r="T1622"/>
    </row>
    <row r="1623" spans="9:20">
      <c r="I1623" s="1" t="s">
        <v>50</v>
      </c>
      <c r="J1623" s="1" t="s">
        <v>5</v>
      </c>
      <c r="K1623" s="1" t="s">
        <v>9</v>
      </c>
      <c r="L1623" s="1">
        <v>3</v>
      </c>
      <c r="M1623" s="1">
        <v>3.99</v>
      </c>
      <c r="N1623" s="1" t="s">
        <v>93</v>
      </c>
      <c r="O1623" s="1" t="s">
        <v>1704</v>
      </c>
      <c r="P1623" s="1">
        <v>26500</v>
      </c>
      <c r="T1623"/>
    </row>
    <row r="1624" spans="9:20">
      <c r="I1624" s="1" t="s">
        <v>50</v>
      </c>
      <c r="J1624" s="1" t="s">
        <v>6</v>
      </c>
      <c r="K1624" s="1" t="s">
        <v>9</v>
      </c>
      <c r="L1624" s="1">
        <v>3</v>
      </c>
      <c r="M1624" s="1">
        <v>3.99</v>
      </c>
      <c r="N1624" s="1" t="s">
        <v>93</v>
      </c>
      <c r="O1624" s="1" t="s">
        <v>1705</v>
      </c>
      <c r="P1624" s="1">
        <v>21000</v>
      </c>
      <c r="T1624"/>
    </row>
    <row r="1625" spans="9:20">
      <c r="I1625" s="1" t="s">
        <v>50</v>
      </c>
      <c r="J1625" s="1" t="s">
        <v>7</v>
      </c>
      <c r="K1625" s="1" t="s">
        <v>9</v>
      </c>
      <c r="L1625" s="1">
        <v>3</v>
      </c>
      <c r="M1625" s="1">
        <v>3.99</v>
      </c>
      <c r="N1625" s="1" t="s">
        <v>93</v>
      </c>
      <c r="O1625" s="1" t="s">
        <v>1706</v>
      </c>
      <c r="P1625" s="1">
        <v>18500</v>
      </c>
      <c r="T1625"/>
    </row>
    <row r="1626" spans="9:20">
      <c r="I1626" s="1" t="s">
        <v>50</v>
      </c>
      <c r="J1626" s="1" t="s">
        <v>75</v>
      </c>
      <c r="K1626" s="1" t="s">
        <v>9</v>
      </c>
      <c r="L1626" s="1">
        <v>3</v>
      </c>
      <c r="M1626" s="1">
        <v>3.99</v>
      </c>
      <c r="N1626" s="1" t="s">
        <v>93</v>
      </c>
      <c r="O1626" s="1" t="s">
        <v>1707</v>
      </c>
      <c r="P1626" s="1">
        <v>13100</v>
      </c>
      <c r="T1626"/>
    </row>
    <row r="1627" spans="9:20">
      <c r="I1627" s="1" t="s">
        <v>50</v>
      </c>
      <c r="J1627" s="1" t="s">
        <v>78</v>
      </c>
      <c r="K1627" s="1" t="s">
        <v>9</v>
      </c>
      <c r="L1627" s="1">
        <v>3</v>
      </c>
      <c r="M1627" s="1">
        <v>3.99</v>
      </c>
      <c r="N1627" s="1" t="s">
        <v>93</v>
      </c>
      <c r="O1627" s="1" t="s">
        <v>1708</v>
      </c>
      <c r="P1627" s="1">
        <v>9800</v>
      </c>
      <c r="T1627"/>
    </row>
    <row r="1628" spans="9:20">
      <c r="I1628" s="1" t="s">
        <v>50</v>
      </c>
      <c r="J1628" s="1" t="s">
        <v>81</v>
      </c>
      <c r="K1628" s="1" t="s">
        <v>9</v>
      </c>
      <c r="L1628" s="1">
        <v>3</v>
      </c>
      <c r="M1628" s="1">
        <v>3.99</v>
      </c>
      <c r="N1628" s="1" t="s">
        <v>93</v>
      </c>
      <c r="O1628" s="1" t="s">
        <v>1709</v>
      </c>
      <c r="P1628" s="1">
        <v>4700</v>
      </c>
      <c r="T1628"/>
    </row>
    <row r="1629" spans="9:20">
      <c r="I1629" s="1" t="s">
        <v>50</v>
      </c>
      <c r="J1629" s="1" t="s">
        <v>84</v>
      </c>
      <c r="K1629" s="1" t="s">
        <v>9</v>
      </c>
      <c r="L1629" s="1">
        <v>3</v>
      </c>
      <c r="M1629" s="1">
        <v>3.99</v>
      </c>
      <c r="N1629" s="1" t="s">
        <v>93</v>
      </c>
      <c r="O1629" s="1" t="s">
        <v>1710</v>
      </c>
      <c r="P1629" s="1">
        <v>2000</v>
      </c>
      <c r="T1629"/>
    </row>
    <row r="1630" spans="9:20">
      <c r="I1630" s="1" t="s">
        <v>50</v>
      </c>
      <c r="J1630" s="1" t="s">
        <v>1</v>
      </c>
      <c r="K1630" s="1" t="s">
        <v>10</v>
      </c>
      <c r="L1630" s="1">
        <v>3</v>
      </c>
      <c r="M1630" s="1">
        <v>3.99</v>
      </c>
      <c r="N1630" s="1" t="s">
        <v>93</v>
      </c>
      <c r="O1630" s="1" t="s">
        <v>1711</v>
      </c>
      <c r="P1630" s="1">
        <v>40500</v>
      </c>
      <c r="T1630"/>
    </row>
    <row r="1631" spans="9:20">
      <c r="I1631" s="1" t="s">
        <v>50</v>
      </c>
      <c r="J1631" s="1" t="s">
        <v>2</v>
      </c>
      <c r="K1631" s="1" t="s">
        <v>10</v>
      </c>
      <c r="L1631" s="1">
        <v>3</v>
      </c>
      <c r="M1631" s="1">
        <v>3.99</v>
      </c>
      <c r="N1631" s="1" t="s">
        <v>93</v>
      </c>
      <c r="O1631" s="1" t="s">
        <v>1712</v>
      </c>
      <c r="P1631" s="1">
        <v>37500</v>
      </c>
      <c r="T1631"/>
    </row>
    <row r="1632" spans="9:20">
      <c r="I1632" s="1" t="s">
        <v>50</v>
      </c>
      <c r="J1632" s="1" t="s">
        <v>3</v>
      </c>
      <c r="K1632" s="1" t="s">
        <v>10</v>
      </c>
      <c r="L1632" s="1">
        <v>3</v>
      </c>
      <c r="M1632" s="1">
        <v>3.99</v>
      </c>
      <c r="N1632" s="1" t="s">
        <v>93</v>
      </c>
      <c r="O1632" s="1" t="s">
        <v>1713</v>
      </c>
      <c r="P1632" s="1">
        <v>33500</v>
      </c>
      <c r="T1632"/>
    </row>
    <row r="1633" spans="9:20">
      <c r="I1633" s="1" t="s">
        <v>50</v>
      </c>
      <c r="J1633" s="1" t="s">
        <v>4</v>
      </c>
      <c r="K1633" s="1" t="s">
        <v>10</v>
      </c>
      <c r="L1633" s="1">
        <v>3</v>
      </c>
      <c r="M1633" s="1">
        <v>3.99</v>
      </c>
      <c r="N1633" s="1" t="s">
        <v>93</v>
      </c>
      <c r="O1633" s="1" t="s">
        <v>1714</v>
      </c>
      <c r="P1633" s="1">
        <v>29500</v>
      </c>
      <c r="T1633"/>
    </row>
    <row r="1634" spans="9:20">
      <c r="I1634" s="1" t="s">
        <v>50</v>
      </c>
      <c r="J1634" s="1" t="s">
        <v>5</v>
      </c>
      <c r="K1634" s="1" t="s">
        <v>10</v>
      </c>
      <c r="L1634" s="1">
        <v>3</v>
      </c>
      <c r="M1634" s="1">
        <v>3.99</v>
      </c>
      <c r="N1634" s="1" t="s">
        <v>93</v>
      </c>
      <c r="O1634" s="1" t="s">
        <v>1715</v>
      </c>
      <c r="P1634" s="1">
        <v>24500</v>
      </c>
      <c r="T1634"/>
    </row>
    <row r="1635" spans="9:20">
      <c r="I1635" s="1" t="s">
        <v>50</v>
      </c>
      <c r="J1635" s="1" t="s">
        <v>6</v>
      </c>
      <c r="K1635" s="1" t="s">
        <v>10</v>
      </c>
      <c r="L1635" s="1">
        <v>3</v>
      </c>
      <c r="M1635" s="1">
        <v>3.99</v>
      </c>
      <c r="N1635" s="1" t="s">
        <v>93</v>
      </c>
      <c r="O1635" s="1" t="s">
        <v>1716</v>
      </c>
      <c r="P1635" s="1">
        <v>19500</v>
      </c>
      <c r="T1635"/>
    </row>
    <row r="1636" spans="9:20">
      <c r="I1636" s="1" t="s">
        <v>50</v>
      </c>
      <c r="J1636" s="1" t="s">
        <v>7</v>
      </c>
      <c r="K1636" s="1" t="s">
        <v>10</v>
      </c>
      <c r="L1636" s="1">
        <v>3</v>
      </c>
      <c r="M1636" s="1">
        <v>3.99</v>
      </c>
      <c r="N1636" s="1" t="s">
        <v>93</v>
      </c>
      <c r="O1636" s="1" t="s">
        <v>1717</v>
      </c>
      <c r="P1636" s="1">
        <v>17000</v>
      </c>
      <c r="T1636"/>
    </row>
    <row r="1637" spans="9:20">
      <c r="I1637" s="1" t="s">
        <v>50</v>
      </c>
      <c r="J1637" s="1" t="s">
        <v>75</v>
      </c>
      <c r="K1637" s="1" t="s">
        <v>10</v>
      </c>
      <c r="L1637" s="1">
        <v>3</v>
      </c>
      <c r="M1637" s="1">
        <v>3.99</v>
      </c>
      <c r="N1637" s="1" t="s">
        <v>93</v>
      </c>
      <c r="O1637" s="1" t="s">
        <v>1718</v>
      </c>
      <c r="P1637" s="1">
        <v>12400</v>
      </c>
      <c r="T1637"/>
    </row>
    <row r="1638" spans="9:20">
      <c r="I1638" s="1" t="s">
        <v>50</v>
      </c>
      <c r="J1638" s="1" t="s">
        <v>78</v>
      </c>
      <c r="K1638" s="1" t="s">
        <v>10</v>
      </c>
      <c r="L1638" s="1">
        <v>3</v>
      </c>
      <c r="M1638" s="1">
        <v>3.99</v>
      </c>
      <c r="N1638" s="1" t="s">
        <v>93</v>
      </c>
      <c r="O1638" s="1" t="s">
        <v>1719</v>
      </c>
      <c r="P1638" s="1">
        <v>9300</v>
      </c>
      <c r="T1638"/>
    </row>
    <row r="1639" spans="9:20">
      <c r="I1639" s="1" t="s">
        <v>50</v>
      </c>
      <c r="J1639" s="1" t="s">
        <v>81</v>
      </c>
      <c r="K1639" s="1" t="s">
        <v>10</v>
      </c>
      <c r="L1639" s="1">
        <v>3</v>
      </c>
      <c r="M1639" s="1">
        <v>3.99</v>
      </c>
      <c r="N1639" s="1" t="s">
        <v>93</v>
      </c>
      <c r="O1639" s="1" t="s">
        <v>1720</v>
      </c>
      <c r="P1639" s="1">
        <v>4500</v>
      </c>
      <c r="T1639"/>
    </row>
    <row r="1640" spans="9:20">
      <c r="I1640" s="1" t="s">
        <v>50</v>
      </c>
      <c r="J1640" s="1" t="s">
        <v>84</v>
      </c>
      <c r="K1640" s="1" t="s">
        <v>10</v>
      </c>
      <c r="L1640" s="1">
        <v>3</v>
      </c>
      <c r="M1640" s="1">
        <v>3.99</v>
      </c>
      <c r="N1640" s="1" t="s">
        <v>93</v>
      </c>
      <c r="O1640" s="1" t="s">
        <v>1721</v>
      </c>
      <c r="P1640" s="1">
        <v>1900</v>
      </c>
      <c r="T1640"/>
    </row>
    <row r="1641" spans="9:20">
      <c r="I1641" s="1" t="s">
        <v>50</v>
      </c>
      <c r="J1641" s="1" t="s">
        <v>1</v>
      </c>
      <c r="K1641" s="1" t="s">
        <v>11</v>
      </c>
      <c r="L1641" s="1">
        <v>3</v>
      </c>
      <c r="M1641" s="1">
        <v>3.99</v>
      </c>
      <c r="N1641" s="1" t="s">
        <v>93</v>
      </c>
      <c r="O1641" s="1" t="s">
        <v>1722</v>
      </c>
      <c r="P1641" s="1">
        <v>33500</v>
      </c>
      <c r="T1641"/>
    </row>
    <row r="1642" spans="9:20">
      <c r="I1642" s="1" t="s">
        <v>50</v>
      </c>
      <c r="J1642" s="1" t="s">
        <v>2</v>
      </c>
      <c r="K1642" s="1" t="s">
        <v>11</v>
      </c>
      <c r="L1642" s="1">
        <v>3</v>
      </c>
      <c r="M1642" s="1">
        <v>3.99</v>
      </c>
      <c r="N1642" s="1" t="s">
        <v>93</v>
      </c>
      <c r="O1642" s="1" t="s">
        <v>1723</v>
      </c>
      <c r="P1642" s="1">
        <v>31500</v>
      </c>
      <c r="T1642"/>
    </row>
    <row r="1643" spans="9:20">
      <c r="I1643" s="1" t="s">
        <v>50</v>
      </c>
      <c r="J1643" s="1" t="s">
        <v>3</v>
      </c>
      <c r="K1643" s="1" t="s">
        <v>11</v>
      </c>
      <c r="L1643" s="1">
        <v>3</v>
      </c>
      <c r="M1643" s="1">
        <v>3.99</v>
      </c>
      <c r="N1643" s="1" t="s">
        <v>93</v>
      </c>
      <c r="O1643" s="1" t="s">
        <v>1724</v>
      </c>
      <c r="P1643" s="1">
        <v>28000</v>
      </c>
      <c r="T1643"/>
    </row>
    <row r="1644" spans="9:20">
      <c r="I1644" s="1" t="s">
        <v>50</v>
      </c>
      <c r="J1644" s="1" t="s">
        <v>4</v>
      </c>
      <c r="K1644" s="1" t="s">
        <v>11</v>
      </c>
      <c r="L1644" s="1">
        <v>3</v>
      </c>
      <c r="M1644" s="1">
        <v>3.99</v>
      </c>
      <c r="N1644" s="1" t="s">
        <v>93</v>
      </c>
      <c r="O1644" s="1" t="s">
        <v>1725</v>
      </c>
      <c r="P1644" s="1">
        <v>24500</v>
      </c>
      <c r="T1644"/>
    </row>
    <row r="1645" spans="9:20">
      <c r="I1645" s="1" t="s">
        <v>50</v>
      </c>
      <c r="J1645" s="1" t="s">
        <v>5</v>
      </c>
      <c r="K1645" s="1" t="s">
        <v>11</v>
      </c>
      <c r="L1645" s="1">
        <v>3</v>
      </c>
      <c r="M1645" s="1">
        <v>3.99</v>
      </c>
      <c r="N1645" s="1" t="s">
        <v>93</v>
      </c>
      <c r="O1645" s="1" t="s">
        <v>1726</v>
      </c>
      <c r="P1645" s="1">
        <v>21000</v>
      </c>
      <c r="T1645"/>
    </row>
    <row r="1646" spans="9:20">
      <c r="I1646" s="1" t="s">
        <v>50</v>
      </c>
      <c r="J1646" s="1" t="s">
        <v>6</v>
      </c>
      <c r="K1646" s="1" t="s">
        <v>11</v>
      </c>
      <c r="L1646" s="1">
        <v>3</v>
      </c>
      <c r="M1646" s="1">
        <v>3.99</v>
      </c>
      <c r="N1646" s="1" t="s">
        <v>93</v>
      </c>
      <c r="O1646" s="1" t="s">
        <v>1727</v>
      </c>
      <c r="P1646" s="1">
        <v>18000</v>
      </c>
      <c r="T1646"/>
    </row>
    <row r="1647" spans="9:20">
      <c r="I1647" s="1" t="s">
        <v>50</v>
      </c>
      <c r="J1647" s="1" t="s">
        <v>7</v>
      </c>
      <c r="K1647" s="1" t="s">
        <v>11</v>
      </c>
      <c r="L1647" s="1">
        <v>3</v>
      </c>
      <c r="M1647" s="1">
        <v>3.99</v>
      </c>
      <c r="N1647" s="1" t="s">
        <v>93</v>
      </c>
      <c r="O1647" s="1" t="s">
        <v>1728</v>
      </c>
      <c r="P1647" s="1">
        <v>15500</v>
      </c>
      <c r="T1647"/>
    </row>
    <row r="1648" spans="9:20">
      <c r="I1648" s="1" t="s">
        <v>50</v>
      </c>
      <c r="J1648" s="1" t="s">
        <v>75</v>
      </c>
      <c r="K1648" s="1" t="s">
        <v>11</v>
      </c>
      <c r="L1648" s="1">
        <v>3</v>
      </c>
      <c r="M1648" s="1">
        <v>3.99</v>
      </c>
      <c r="N1648" s="1" t="s">
        <v>93</v>
      </c>
      <c r="O1648" s="1" t="s">
        <v>1729</v>
      </c>
      <c r="P1648" s="1">
        <v>11200</v>
      </c>
      <c r="T1648"/>
    </row>
    <row r="1649" spans="9:20">
      <c r="I1649" s="1" t="s">
        <v>50</v>
      </c>
      <c r="J1649" s="1" t="s">
        <v>78</v>
      </c>
      <c r="K1649" s="1" t="s">
        <v>11</v>
      </c>
      <c r="L1649" s="1">
        <v>3</v>
      </c>
      <c r="M1649" s="1">
        <v>3.99</v>
      </c>
      <c r="N1649" s="1" t="s">
        <v>93</v>
      </c>
      <c r="O1649" s="1" t="s">
        <v>1730</v>
      </c>
      <c r="P1649" s="1">
        <v>8700</v>
      </c>
      <c r="T1649"/>
    </row>
    <row r="1650" spans="9:20">
      <c r="I1650" s="1" t="s">
        <v>50</v>
      </c>
      <c r="J1650" s="1" t="s">
        <v>81</v>
      </c>
      <c r="K1650" s="1" t="s">
        <v>11</v>
      </c>
      <c r="L1650" s="1">
        <v>3</v>
      </c>
      <c r="M1650" s="1">
        <v>3.99</v>
      </c>
      <c r="N1650" s="1" t="s">
        <v>93</v>
      </c>
      <c r="O1650" s="1" t="s">
        <v>1731</v>
      </c>
      <c r="P1650" s="1">
        <v>4300</v>
      </c>
      <c r="T1650"/>
    </row>
    <row r="1651" spans="9:20">
      <c r="I1651" s="1" t="s">
        <v>50</v>
      </c>
      <c r="J1651" s="1" t="s">
        <v>84</v>
      </c>
      <c r="K1651" s="1" t="s">
        <v>11</v>
      </c>
      <c r="L1651" s="1">
        <v>3</v>
      </c>
      <c r="M1651" s="1">
        <v>3.99</v>
      </c>
      <c r="N1651" s="1" t="s">
        <v>93</v>
      </c>
      <c r="O1651" s="1" t="s">
        <v>1732</v>
      </c>
      <c r="P1651" s="1">
        <v>1800</v>
      </c>
      <c r="T1651"/>
    </row>
    <row r="1652" spans="9:20">
      <c r="I1652" s="1" t="s">
        <v>50</v>
      </c>
      <c r="J1652" s="1" t="s">
        <v>1</v>
      </c>
      <c r="K1652" s="1" t="s">
        <v>12</v>
      </c>
      <c r="L1652" s="1">
        <v>3</v>
      </c>
      <c r="M1652" s="1">
        <v>3.99</v>
      </c>
      <c r="N1652" s="1" t="s">
        <v>93</v>
      </c>
      <c r="O1652" s="1" t="s">
        <v>1733</v>
      </c>
      <c r="P1652" s="1">
        <v>27000</v>
      </c>
      <c r="T1652"/>
    </row>
    <row r="1653" spans="9:20">
      <c r="I1653" s="1" t="s">
        <v>50</v>
      </c>
      <c r="J1653" s="1" t="s">
        <v>2</v>
      </c>
      <c r="K1653" s="1" t="s">
        <v>12</v>
      </c>
      <c r="L1653" s="1">
        <v>3</v>
      </c>
      <c r="M1653" s="1">
        <v>3.99</v>
      </c>
      <c r="N1653" s="1" t="s">
        <v>93</v>
      </c>
      <c r="O1653" s="1" t="s">
        <v>1734</v>
      </c>
      <c r="P1653" s="1">
        <v>25000</v>
      </c>
      <c r="T1653"/>
    </row>
    <row r="1654" spans="9:20">
      <c r="I1654" s="1" t="s">
        <v>50</v>
      </c>
      <c r="J1654" s="1" t="s">
        <v>3</v>
      </c>
      <c r="K1654" s="1" t="s">
        <v>12</v>
      </c>
      <c r="L1654" s="1">
        <v>3</v>
      </c>
      <c r="M1654" s="1">
        <v>3.99</v>
      </c>
      <c r="N1654" s="1" t="s">
        <v>93</v>
      </c>
      <c r="O1654" s="1" t="s">
        <v>1735</v>
      </c>
      <c r="P1654" s="1">
        <v>22500</v>
      </c>
      <c r="T1654"/>
    </row>
    <row r="1655" spans="9:20">
      <c r="I1655" s="1" t="s">
        <v>50</v>
      </c>
      <c r="J1655" s="1" t="s">
        <v>4</v>
      </c>
      <c r="K1655" s="1" t="s">
        <v>12</v>
      </c>
      <c r="L1655" s="1">
        <v>3</v>
      </c>
      <c r="M1655" s="1">
        <v>3.99</v>
      </c>
      <c r="N1655" s="1" t="s">
        <v>93</v>
      </c>
      <c r="O1655" s="1" t="s">
        <v>1736</v>
      </c>
      <c r="P1655" s="1">
        <v>20500</v>
      </c>
      <c r="T1655"/>
    </row>
    <row r="1656" spans="9:20">
      <c r="I1656" s="1" t="s">
        <v>50</v>
      </c>
      <c r="J1656" s="1" t="s">
        <v>5</v>
      </c>
      <c r="K1656" s="1" t="s">
        <v>12</v>
      </c>
      <c r="L1656" s="1">
        <v>3</v>
      </c>
      <c r="M1656" s="1">
        <v>3.99</v>
      </c>
      <c r="N1656" s="1" t="s">
        <v>93</v>
      </c>
      <c r="O1656" s="1" t="s">
        <v>1737</v>
      </c>
      <c r="P1656" s="1">
        <v>18500</v>
      </c>
      <c r="T1656"/>
    </row>
    <row r="1657" spans="9:20">
      <c r="I1657" s="1" t="s">
        <v>50</v>
      </c>
      <c r="J1657" s="1" t="s">
        <v>6</v>
      </c>
      <c r="K1657" s="1" t="s">
        <v>12</v>
      </c>
      <c r="L1657" s="1">
        <v>3</v>
      </c>
      <c r="M1657" s="1">
        <v>3.99</v>
      </c>
      <c r="N1657" s="1" t="s">
        <v>93</v>
      </c>
      <c r="O1657" s="1" t="s">
        <v>1738</v>
      </c>
      <c r="P1657" s="1">
        <v>16000</v>
      </c>
      <c r="T1657"/>
    </row>
    <row r="1658" spans="9:20">
      <c r="I1658" s="1" t="s">
        <v>50</v>
      </c>
      <c r="J1658" s="1" t="s">
        <v>7</v>
      </c>
      <c r="K1658" s="1" t="s">
        <v>12</v>
      </c>
      <c r="L1658" s="1">
        <v>3</v>
      </c>
      <c r="M1658" s="1">
        <v>3.99</v>
      </c>
      <c r="N1658" s="1" t="s">
        <v>93</v>
      </c>
      <c r="O1658" s="1" t="s">
        <v>1739</v>
      </c>
      <c r="P1658" s="1">
        <v>13500</v>
      </c>
      <c r="T1658"/>
    </row>
    <row r="1659" spans="9:20">
      <c r="I1659" s="1" t="s">
        <v>50</v>
      </c>
      <c r="J1659" s="1" t="s">
        <v>75</v>
      </c>
      <c r="K1659" s="1" t="s">
        <v>12</v>
      </c>
      <c r="L1659" s="1">
        <v>3</v>
      </c>
      <c r="M1659" s="1">
        <v>3.99</v>
      </c>
      <c r="N1659" s="1" t="s">
        <v>93</v>
      </c>
      <c r="O1659" s="1" t="s">
        <v>1740</v>
      </c>
      <c r="P1659" s="1">
        <v>10100</v>
      </c>
      <c r="T1659"/>
    </row>
    <row r="1660" spans="9:20">
      <c r="I1660" s="1" t="s">
        <v>50</v>
      </c>
      <c r="J1660" s="1" t="s">
        <v>78</v>
      </c>
      <c r="K1660" s="1" t="s">
        <v>12</v>
      </c>
      <c r="L1660" s="1">
        <v>3</v>
      </c>
      <c r="M1660" s="1">
        <v>3.99</v>
      </c>
      <c r="N1660" s="1" t="s">
        <v>93</v>
      </c>
      <c r="O1660" s="1" t="s">
        <v>1741</v>
      </c>
      <c r="P1660" s="1">
        <v>8200</v>
      </c>
      <c r="T1660"/>
    </row>
    <row r="1661" spans="9:20">
      <c r="I1661" s="1" t="s">
        <v>50</v>
      </c>
      <c r="J1661" s="1" t="s">
        <v>81</v>
      </c>
      <c r="K1661" s="1" t="s">
        <v>12</v>
      </c>
      <c r="L1661" s="1">
        <v>3</v>
      </c>
      <c r="M1661" s="1">
        <v>3.99</v>
      </c>
      <c r="N1661" s="1" t="s">
        <v>93</v>
      </c>
      <c r="O1661" s="1" t="s">
        <v>1742</v>
      </c>
      <c r="P1661" s="1">
        <v>4100</v>
      </c>
      <c r="T1661"/>
    </row>
    <row r="1662" spans="9:20">
      <c r="I1662" s="1" t="s">
        <v>50</v>
      </c>
      <c r="J1662" s="1" t="s">
        <v>84</v>
      </c>
      <c r="K1662" s="1" t="s">
        <v>12</v>
      </c>
      <c r="L1662" s="1">
        <v>3</v>
      </c>
      <c r="M1662" s="1">
        <v>3.99</v>
      </c>
      <c r="N1662" s="1" t="s">
        <v>93</v>
      </c>
      <c r="O1662" s="1" t="s">
        <v>1743</v>
      </c>
      <c r="P1662" s="1">
        <v>1700</v>
      </c>
      <c r="T1662"/>
    </row>
    <row r="1663" spans="9:20">
      <c r="I1663" s="1" t="s">
        <v>50</v>
      </c>
      <c r="J1663" s="1" t="s">
        <v>1</v>
      </c>
      <c r="K1663" s="1" t="s">
        <v>13</v>
      </c>
      <c r="L1663" s="1">
        <v>3</v>
      </c>
      <c r="M1663" s="1">
        <v>3.99</v>
      </c>
      <c r="N1663" s="1" t="s">
        <v>93</v>
      </c>
      <c r="O1663" s="1" t="s">
        <v>1744</v>
      </c>
      <c r="P1663" s="1">
        <v>22000</v>
      </c>
      <c r="T1663"/>
    </row>
    <row r="1664" spans="9:20">
      <c r="I1664" s="1" t="s">
        <v>50</v>
      </c>
      <c r="J1664" s="1" t="s">
        <v>2</v>
      </c>
      <c r="K1664" s="1" t="s">
        <v>13</v>
      </c>
      <c r="L1664" s="1">
        <v>3</v>
      </c>
      <c r="M1664" s="1">
        <v>3.99</v>
      </c>
      <c r="N1664" s="1" t="s">
        <v>93</v>
      </c>
      <c r="O1664" s="1" t="s">
        <v>1745</v>
      </c>
      <c r="P1664" s="1">
        <v>20500</v>
      </c>
      <c r="T1664"/>
    </row>
    <row r="1665" spans="9:20">
      <c r="I1665" s="1" t="s">
        <v>50</v>
      </c>
      <c r="J1665" s="1" t="s">
        <v>3</v>
      </c>
      <c r="K1665" s="1" t="s">
        <v>13</v>
      </c>
      <c r="L1665" s="1">
        <v>3</v>
      </c>
      <c r="M1665" s="1">
        <v>3.99</v>
      </c>
      <c r="N1665" s="1" t="s">
        <v>93</v>
      </c>
      <c r="O1665" s="1" t="s">
        <v>1746</v>
      </c>
      <c r="P1665" s="1">
        <v>19000</v>
      </c>
      <c r="T1665"/>
    </row>
    <row r="1666" spans="9:20">
      <c r="I1666" s="1" t="s">
        <v>50</v>
      </c>
      <c r="J1666" s="1" t="s">
        <v>4</v>
      </c>
      <c r="K1666" s="1" t="s">
        <v>13</v>
      </c>
      <c r="L1666" s="1">
        <v>3</v>
      </c>
      <c r="M1666" s="1">
        <v>3.99</v>
      </c>
      <c r="N1666" s="1" t="s">
        <v>93</v>
      </c>
      <c r="O1666" s="1" t="s">
        <v>1747</v>
      </c>
      <c r="P1666" s="1">
        <v>17500</v>
      </c>
      <c r="T1666"/>
    </row>
    <row r="1667" spans="9:20">
      <c r="I1667" s="1" t="s">
        <v>50</v>
      </c>
      <c r="J1667" s="1" t="s">
        <v>5</v>
      </c>
      <c r="K1667" s="1" t="s">
        <v>13</v>
      </c>
      <c r="L1667" s="1">
        <v>3</v>
      </c>
      <c r="M1667" s="1">
        <v>3.99</v>
      </c>
      <c r="N1667" s="1" t="s">
        <v>93</v>
      </c>
      <c r="O1667" s="1" t="s">
        <v>1748</v>
      </c>
      <c r="P1667" s="1">
        <v>16000</v>
      </c>
      <c r="T1667"/>
    </row>
    <row r="1668" spans="9:20">
      <c r="I1668" s="1" t="s">
        <v>50</v>
      </c>
      <c r="J1668" s="1" t="s">
        <v>6</v>
      </c>
      <c r="K1668" s="1" t="s">
        <v>13</v>
      </c>
      <c r="L1668" s="1">
        <v>3</v>
      </c>
      <c r="M1668" s="1">
        <v>3.99</v>
      </c>
      <c r="N1668" s="1" t="s">
        <v>93</v>
      </c>
      <c r="O1668" s="1" t="s">
        <v>1749</v>
      </c>
      <c r="P1668" s="1">
        <v>14000</v>
      </c>
      <c r="T1668"/>
    </row>
    <row r="1669" spans="9:20">
      <c r="I1669" s="1" t="s">
        <v>50</v>
      </c>
      <c r="J1669" s="1" t="s">
        <v>7</v>
      </c>
      <c r="K1669" s="1" t="s">
        <v>13</v>
      </c>
      <c r="L1669" s="1">
        <v>3</v>
      </c>
      <c r="M1669" s="1">
        <v>3.99</v>
      </c>
      <c r="N1669" s="1" t="s">
        <v>93</v>
      </c>
      <c r="O1669" s="1" t="s">
        <v>1750</v>
      </c>
      <c r="P1669" s="1">
        <v>12000</v>
      </c>
      <c r="T1669"/>
    </row>
    <row r="1670" spans="9:20">
      <c r="I1670" s="1" t="s">
        <v>50</v>
      </c>
      <c r="J1670" s="1" t="s">
        <v>75</v>
      </c>
      <c r="K1670" s="1" t="s">
        <v>13</v>
      </c>
      <c r="L1670" s="1">
        <v>3</v>
      </c>
      <c r="M1670" s="1">
        <v>3.99</v>
      </c>
      <c r="N1670" s="1" t="s">
        <v>93</v>
      </c>
      <c r="O1670" s="1" t="s">
        <v>1751</v>
      </c>
      <c r="P1670" s="1">
        <v>9200</v>
      </c>
      <c r="T1670"/>
    </row>
    <row r="1671" spans="9:20">
      <c r="I1671" s="1" t="s">
        <v>50</v>
      </c>
      <c r="J1671" s="1" t="s">
        <v>78</v>
      </c>
      <c r="K1671" s="1" t="s">
        <v>13</v>
      </c>
      <c r="L1671" s="1">
        <v>3</v>
      </c>
      <c r="M1671" s="1">
        <v>3.99</v>
      </c>
      <c r="N1671" s="1" t="s">
        <v>93</v>
      </c>
      <c r="O1671" s="1" t="s">
        <v>1752</v>
      </c>
      <c r="P1671" s="1">
        <v>7700</v>
      </c>
      <c r="T1671"/>
    </row>
    <row r="1672" spans="9:20">
      <c r="I1672" s="1" t="s">
        <v>50</v>
      </c>
      <c r="J1672" s="1" t="s">
        <v>81</v>
      </c>
      <c r="K1672" s="1" t="s">
        <v>13</v>
      </c>
      <c r="L1672" s="1">
        <v>3</v>
      </c>
      <c r="M1672" s="1">
        <v>3.99</v>
      </c>
      <c r="N1672" s="1" t="s">
        <v>93</v>
      </c>
      <c r="O1672" s="1" t="s">
        <v>1753</v>
      </c>
      <c r="P1672" s="1">
        <v>3800</v>
      </c>
      <c r="T1672"/>
    </row>
    <row r="1673" spans="9:20">
      <c r="I1673" s="1" t="s">
        <v>50</v>
      </c>
      <c r="J1673" s="1" t="s">
        <v>84</v>
      </c>
      <c r="K1673" s="1" t="s">
        <v>13</v>
      </c>
      <c r="L1673" s="1">
        <v>3</v>
      </c>
      <c r="M1673" s="1">
        <v>3.99</v>
      </c>
      <c r="N1673" s="1" t="s">
        <v>93</v>
      </c>
      <c r="O1673" s="1" t="s">
        <v>1754</v>
      </c>
      <c r="P1673" s="1">
        <v>1600</v>
      </c>
      <c r="T1673"/>
    </row>
    <row r="1674" spans="9:20">
      <c r="I1674" s="1" t="s">
        <v>50</v>
      </c>
      <c r="J1674" s="1" t="s">
        <v>1</v>
      </c>
      <c r="K1674" s="1" t="s">
        <v>14</v>
      </c>
      <c r="L1674" s="1">
        <v>3</v>
      </c>
      <c r="M1674" s="1">
        <v>3.99</v>
      </c>
      <c r="N1674" s="1" t="s">
        <v>93</v>
      </c>
      <c r="O1674" s="1" t="s">
        <v>1755</v>
      </c>
      <c r="P1674" s="1">
        <v>17500</v>
      </c>
      <c r="T1674"/>
    </row>
    <row r="1675" spans="9:20">
      <c r="I1675" s="1" t="s">
        <v>50</v>
      </c>
      <c r="J1675" s="1" t="s">
        <v>2</v>
      </c>
      <c r="K1675" s="1" t="s">
        <v>14</v>
      </c>
      <c r="L1675" s="1">
        <v>3</v>
      </c>
      <c r="M1675" s="1">
        <v>3.99</v>
      </c>
      <c r="N1675" s="1" t="s">
        <v>93</v>
      </c>
      <c r="O1675" s="1" t="s">
        <v>1756</v>
      </c>
      <c r="P1675" s="1">
        <v>16500</v>
      </c>
      <c r="T1675"/>
    </row>
    <row r="1676" spans="9:20">
      <c r="I1676" s="1" t="s">
        <v>50</v>
      </c>
      <c r="J1676" s="1" t="s">
        <v>3</v>
      </c>
      <c r="K1676" s="1" t="s">
        <v>14</v>
      </c>
      <c r="L1676" s="1">
        <v>3</v>
      </c>
      <c r="M1676" s="1">
        <v>3.99</v>
      </c>
      <c r="N1676" s="1" t="s">
        <v>93</v>
      </c>
      <c r="O1676" s="1" t="s">
        <v>1757</v>
      </c>
      <c r="P1676" s="1">
        <v>15000</v>
      </c>
      <c r="T1676"/>
    </row>
    <row r="1677" spans="9:20">
      <c r="I1677" s="1" t="s">
        <v>50</v>
      </c>
      <c r="J1677" s="1" t="s">
        <v>4</v>
      </c>
      <c r="K1677" s="1" t="s">
        <v>14</v>
      </c>
      <c r="L1677" s="1">
        <v>3</v>
      </c>
      <c r="M1677" s="1">
        <v>3.99</v>
      </c>
      <c r="N1677" s="1" t="s">
        <v>93</v>
      </c>
      <c r="O1677" s="1" t="s">
        <v>1758</v>
      </c>
      <c r="P1677" s="1">
        <v>14000</v>
      </c>
      <c r="T1677"/>
    </row>
    <row r="1678" spans="9:20">
      <c r="I1678" s="1" t="s">
        <v>50</v>
      </c>
      <c r="J1678" s="1" t="s">
        <v>5</v>
      </c>
      <c r="K1678" s="1" t="s">
        <v>14</v>
      </c>
      <c r="L1678" s="1">
        <v>3</v>
      </c>
      <c r="M1678" s="1">
        <v>3.99</v>
      </c>
      <c r="N1678" s="1" t="s">
        <v>93</v>
      </c>
      <c r="O1678" s="1" t="s">
        <v>1759</v>
      </c>
      <c r="P1678" s="1">
        <v>13000</v>
      </c>
      <c r="T1678"/>
    </row>
    <row r="1679" spans="9:20">
      <c r="I1679" s="1" t="s">
        <v>50</v>
      </c>
      <c r="J1679" s="1" t="s">
        <v>6</v>
      </c>
      <c r="K1679" s="1" t="s">
        <v>14</v>
      </c>
      <c r="L1679" s="1">
        <v>3</v>
      </c>
      <c r="M1679" s="1">
        <v>3.99</v>
      </c>
      <c r="N1679" s="1" t="s">
        <v>93</v>
      </c>
      <c r="O1679" s="1" t="s">
        <v>1760</v>
      </c>
      <c r="P1679" s="1">
        <v>12000</v>
      </c>
      <c r="T1679"/>
    </row>
    <row r="1680" spans="9:20">
      <c r="I1680" s="1" t="s">
        <v>50</v>
      </c>
      <c r="J1680" s="1" t="s">
        <v>7</v>
      </c>
      <c r="K1680" s="1" t="s">
        <v>14</v>
      </c>
      <c r="L1680" s="1">
        <v>3</v>
      </c>
      <c r="M1680" s="1">
        <v>3.99</v>
      </c>
      <c r="N1680" s="1" t="s">
        <v>93</v>
      </c>
      <c r="O1680" s="1" t="s">
        <v>1761</v>
      </c>
      <c r="P1680" s="1">
        <v>11000</v>
      </c>
      <c r="T1680"/>
    </row>
    <row r="1681" spans="9:20">
      <c r="I1681" s="1" t="s">
        <v>50</v>
      </c>
      <c r="J1681" s="1" t="s">
        <v>75</v>
      </c>
      <c r="K1681" s="1" t="s">
        <v>14</v>
      </c>
      <c r="L1681" s="1">
        <v>3</v>
      </c>
      <c r="M1681" s="1">
        <v>3.99</v>
      </c>
      <c r="N1681" s="1" t="s">
        <v>93</v>
      </c>
      <c r="O1681" s="1" t="s">
        <v>1762</v>
      </c>
      <c r="P1681" s="1">
        <v>8400</v>
      </c>
      <c r="T1681"/>
    </row>
    <row r="1682" spans="9:20">
      <c r="I1682" s="1" t="s">
        <v>50</v>
      </c>
      <c r="J1682" s="1" t="s">
        <v>78</v>
      </c>
      <c r="K1682" s="1" t="s">
        <v>14</v>
      </c>
      <c r="L1682" s="1">
        <v>3</v>
      </c>
      <c r="M1682" s="1">
        <v>3.99</v>
      </c>
      <c r="N1682" s="1" t="s">
        <v>93</v>
      </c>
      <c r="O1682" s="1" t="s">
        <v>1763</v>
      </c>
      <c r="P1682" s="1">
        <v>7100</v>
      </c>
      <c r="T1682"/>
    </row>
    <row r="1683" spans="9:20">
      <c r="I1683" s="1" t="s">
        <v>50</v>
      </c>
      <c r="J1683" s="1" t="s">
        <v>81</v>
      </c>
      <c r="K1683" s="1" t="s">
        <v>14</v>
      </c>
      <c r="L1683" s="1">
        <v>3</v>
      </c>
      <c r="M1683" s="1">
        <v>3.99</v>
      </c>
      <c r="N1683" s="1" t="s">
        <v>93</v>
      </c>
      <c r="O1683" s="1" t="s">
        <v>1764</v>
      </c>
      <c r="P1683" s="1">
        <v>3500</v>
      </c>
      <c r="T1683"/>
    </row>
    <row r="1684" spans="9:20">
      <c r="I1684" s="1" t="s">
        <v>50</v>
      </c>
      <c r="J1684" s="1" t="s">
        <v>84</v>
      </c>
      <c r="K1684" s="1" t="s">
        <v>14</v>
      </c>
      <c r="L1684" s="1">
        <v>3</v>
      </c>
      <c r="M1684" s="1">
        <v>3.99</v>
      </c>
      <c r="N1684" s="1" t="s">
        <v>93</v>
      </c>
      <c r="O1684" s="1" t="s">
        <v>1765</v>
      </c>
      <c r="P1684" s="1">
        <v>1500</v>
      </c>
      <c r="T1684"/>
    </row>
    <row r="1685" spans="9:20">
      <c r="I1685" s="1" t="s">
        <v>50</v>
      </c>
      <c r="J1685" s="1" t="s">
        <v>1</v>
      </c>
      <c r="K1685" s="1" t="s">
        <v>15</v>
      </c>
      <c r="L1685" s="1">
        <v>3</v>
      </c>
      <c r="M1685" s="1">
        <v>3.99</v>
      </c>
      <c r="N1685" s="1" t="s">
        <v>93</v>
      </c>
      <c r="O1685" s="1" t="s">
        <v>1766</v>
      </c>
      <c r="P1685" s="1">
        <v>14500</v>
      </c>
      <c r="T1685"/>
    </row>
    <row r="1686" spans="9:20">
      <c r="I1686" s="1" t="s">
        <v>50</v>
      </c>
      <c r="J1686" s="1" t="s">
        <v>2</v>
      </c>
      <c r="K1686" s="1" t="s">
        <v>15</v>
      </c>
      <c r="L1686" s="1">
        <v>3</v>
      </c>
      <c r="M1686" s="1">
        <v>3.99</v>
      </c>
      <c r="N1686" s="1" t="s">
        <v>93</v>
      </c>
      <c r="O1686" s="1" t="s">
        <v>1767</v>
      </c>
      <c r="P1686" s="1">
        <v>13500</v>
      </c>
      <c r="T1686"/>
    </row>
    <row r="1687" spans="9:20">
      <c r="I1687" s="1" t="s">
        <v>50</v>
      </c>
      <c r="J1687" s="1" t="s">
        <v>3</v>
      </c>
      <c r="K1687" s="1" t="s">
        <v>15</v>
      </c>
      <c r="L1687" s="1">
        <v>3</v>
      </c>
      <c r="M1687" s="1">
        <v>3.99</v>
      </c>
      <c r="N1687" s="1" t="s">
        <v>93</v>
      </c>
      <c r="O1687" s="1" t="s">
        <v>1768</v>
      </c>
      <c r="P1687" s="1">
        <v>12500</v>
      </c>
      <c r="T1687"/>
    </row>
    <row r="1688" spans="9:20">
      <c r="I1688" s="1" t="s">
        <v>50</v>
      </c>
      <c r="J1688" s="1" t="s">
        <v>4</v>
      </c>
      <c r="K1688" s="1" t="s">
        <v>15</v>
      </c>
      <c r="L1688" s="1">
        <v>3</v>
      </c>
      <c r="M1688" s="1">
        <v>3.99</v>
      </c>
      <c r="N1688" s="1" t="s">
        <v>93</v>
      </c>
      <c r="O1688" s="1" t="s">
        <v>1769</v>
      </c>
      <c r="P1688" s="1">
        <v>12000</v>
      </c>
      <c r="T1688"/>
    </row>
    <row r="1689" spans="9:20">
      <c r="I1689" s="1" t="s">
        <v>50</v>
      </c>
      <c r="J1689" s="1" t="s">
        <v>5</v>
      </c>
      <c r="K1689" s="1" t="s">
        <v>15</v>
      </c>
      <c r="L1689" s="1">
        <v>3</v>
      </c>
      <c r="M1689" s="1">
        <v>3.99</v>
      </c>
      <c r="N1689" s="1" t="s">
        <v>93</v>
      </c>
      <c r="O1689" s="1" t="s">
        <v>1770</v>
      </c>
      <c r="P1689" s="1">
        <v>11000</v>
      </c>
      <c r="T1689"/>
    </row>
    <row r="1690" spans="9:20">
      <c r="I1690" s="1" t="s">
        <v>50</v>
      </c>
      <c r="J1690" s="1" t="s">
        <v>6</v>
      </c>
      <c r="K1690" s="1" t="s">
        <v>15</v>
      </c>
      <c r="L1690" s="1">
        <v>3</v>
      </c>
      <c r="M1690" s="1">
        <v>3.99</v>
      </c>
      <c r="N1690" s="1" t="s">
        <v>93</v>
      </c>
      <c r="O1690" s="1" t="s">
        <v>1771</v>
      </c>
      <c r="P1690" s="1">
        <v>10300</v>
      </c>
      <c r="T1690"/>
    </row>
    <row r="1691" spans="9:20">
      <c r="I1691" s="1" t="s">
        <v>50</v>
      </c>
      <c r="J1691" s="1" t="s">
        <v>7</v>
      </c>
      <c r="K1691" s="1" t="s">
        <v>15</v>
      </c>
      <c r="L1691" s="1">
        <v>3</v>
      </c>
      <c r="M1691" s="1">
        <v>3.99</v>
      </c>
      <c r="N1691" s="1" t="s">
        <v>93</v>
      </c>
      <c r="O1691" s="1" t="s">
        <v>1772</v>
      </c>
      <c r="P1691" s="1">
        <v>9700</v>
      </c>
      <c r="T1691"/>
    </row>
    <row r="1692" spans="9:20">
      <c r="I1692" s="1" t="s">
        <v>50</v>
      </c>
      <c r="J1692" s="1" t="s">
        <v>75</v>
      </c>
      <c r="K1692" s="1" t="s">
        <v>15</v>
      </c>
      <c r="L1692" s="1">
        <v>3</v>
      </c>
      <c r="M1692" s="1">
        <v>3.99</v>
      </c>
      <c r="N1692" s="1" t="s">
        <v>93</v>
      </c>
      <c r="O1692" s="1" t="s">
        <v>1773</v>
      </c>
      <c r="P1692" s="1">
        <v>7600</v>
      </c>
      <c r="T1692"/>
    </row>
    <row r="1693" spans="9:20">
      <c r="I1693" s="1" t="s">
        <v>50</v>
      </c>
      <c r="J1693" s="1" t="s">
        <v>78</v>
      </c>
      <c r="K1693" s="1" t="s">
        <v>15</v>
      </c>
      <c r="L1693" s="1">
        <v>3</v>
      </c>
      <c r="M1693" s="1">
        <v>3.99</v>
      </c>
      <c r="N1693" s="1" t="s">
        <v>93</v>
      </c>
      <c r="O1693" s="1" t="s">
        <v>1774</v>
      </c>
      <c r="P1693" s="1">
        <v>6200</v>
      </c>
      <c r="T1693"/>
    </row>
    <row r="1694" spans="9:20">
      <c r="I1694" s="1" t="s">
        <v>50</v>
      </c>
      <c r="J1694" s="1" t="s">
        <v>81</v>
      </c>
      <c r="K1694" s="1" t="s">
        <v>15</v>
      </c>
      <c r="L1694" s="1">
        <v>3</v>
      </c>
      <c r="M1694" s="1">
        <v>3.99</v>
      </c>
      <c r="N1694" s="1" t="s">
        <v>93</v>
      </c>
      <c r="O1694" s="1" t="s">
        <v>1775</v>
      </c>
      <c r="P1694" s="1">
        <v>3300</v>
      </c>
      <c r="T1694"/>
    </row>
    <row r="1695" spans="9:20">
      <c r="I1695" s="1" t="s">
        <v>50</v>
      </c>
      <c r="J1695" s="1" t="s">
        <v>84</v>
      </c>
      <c r="K1695" s="1" t="s">
        <v>15</v>
      </c>
      <c r="L1695" s="1">
        <v>3</v>
      </c>
      <c r="M1695" s="1">
        <v>3.99</v>
      </c>
      <c r="N1695" s="1" t="s">
        <v>93</v>
      </c>
      <c r="O1695" s="1" t="s">
        <v>1776</v>
      </c>
      <c r="P1695" s="1">
        <v>1500</v>
      </c>
      <c r="T1695"/>
    </row>
    <row r="1696" spans="9:20">
      <c r="I1696" s="1" t="s">
        <v>50</v>
      </c>
      <c r="J1696" s="1" t="s">
        <v>1</v>
      </c>
      <c r="K1696" s="1" t="s">
        <v>16</v>
      </c>
      <c r="L1696" s="1">
        <v>3</v>
      </c>
      <c r="M1696" s="1">
        <v>3.99</v>
      </c>
      <c r="N1696" s="1" t="s">
        <v>93</v>
      </c>
      <c r="O1696" s="1" t="s">
        <v>1777</v>
      </c>
      <c r="P1696" s="1">
        <v>11700</v>
      </c>
      <c r="T1696"/>
    </row>
    <row r="1697" spans="9:20">
      <c r="I1697" s="1" t="s">
        <v>50</v>
      </c>
      <c r="J1697" s="1" t="s">
        <v>2</v>
      </c>
      <c r="K1697" s="1" t="s">
        <v>16</v>
      </c>
      <c r="L1697" s="1">
        <v>3</v>
      </c>
      <c r="M1697" s="1">
        <v>3.99</v>
      </c>
      <c r="N1697" s="1" t="s">
        <v>93</v>
      </c>
      <c r="O1697" s="1" t="s">
        <v>1778</v>
      </c>
      <c r="P1697" s="1">
        <v>11100</v>
      </c>
      <c r="T1697"/>
    </row>
    <row r="1698" spans="9:20">
      <c r="I1698" s="1" t="s">
        <v>50</v>
      </c>
      <c r="J1698" s="1" t="s">
        <v>3</v>
      </c>
      <c r="K1698" s="1" t="s">
        <v>16</v>
      </c>
      <c r="L1698" s="1">
        <v>3</v>
      </c>
      <c r="M1698" s="1">
        <v>3.99</v>
      </c>
      <c r="N1698" s="1" t="s">
        <v>93</v>
      </c>
      <c r="O1698" s="1" t="s">
        <v>1779</v>
      </c>
      <c r="P1698" s="1">
        <v>10700</v>
      </c>
      <c r="T1698"/>
    </row>
    <row r="1699" spans="9:20">
      <c r="I1699" s="1" t="s">
        <v>50</v>
      </c>
      <c r="J1699" s="1" t="s">
        <v>4</v>
      </c>
      <c r="K1699" s="1" t="s">
        <v>16</v>
      </c>
      <c r="L1699" s="1">
        <v>3</v>
      </c>
      <c r="M1699" s="1">
        <v>3.99</v>
      </c>
      <c r="N1699" s="1" t="s">
        <v>93</v>
      </c>
      <c r="O1699" s="1" t="s">
        <v>1780</v>
      </c>
      <c r="P1699" s="1">
        <v>10300</v>
      </c>
      <c r="T1699"/>
    </row>
    <row r="1700" spans="9:20">
      <c r="I1700" s="1" t="s">
        <v>50</v>
      </c>
      <c r="J1700" s="1" t="s">
        <v>5</v>
      </c>
      <c r="K1700" s="1" t="s">
        <v>16</v>
      </c>
      <c r="L1700" s="1">
        <v>3</v>
      </c>
      <c r="M1700" s="1">
        <v>3.99</v>
      </c>
      <c r="N1700" s="1" t="s">
        <v>93</v>
      </c>
      <c r="O1700" s="1" t="s">
        <v>1781</v>
      </c>
      <c r="P1700" s="1">
        <v>9500</v>
      </c>
      <c r="T1700"/>
    </row>
    <row r="1701" spans="9:20">
      <c r="I1701" s="1" t="s">
        <v>50</v>
      </c>
      <c r="J1701" s="1" t="s">
        <v>6</v>
      </c>
      <c r="K1701" s="1" t="s">
        <v>16</v>
      </c>
      <c r="L1701" s="1">
        <v>3</v>
      </c>
      <c r="M1701" s="1">
        <v>3.99</v>
      </c>
      <c r="N1701" s="1" t="s">
        <v>93</v>
      </c>
      <c r="O1701" s="1" t="s">
        <v>1782</v>
      </c>
      <c r="P1701" s="1">
        <v>9000</v>
      </c>
      <c r="T1701"/>
    </row>
    <row r="1702" spans="9:20">
      <c r="I1702" s="1" t="s">
        <v>50</v>
      </c>
      <c r="J1702" s="1" t="s">
        <v>7</v>
      </c>
      <c r="K1702" s="1" t="s">
        <v>16</v>
      </c>
      <c r="L1702" s="1">
        <v>3</v>
      </c>
      <c r="M1702" s="1">
        <v>3.99</v>
      </c>
      <c r="N1702" s="1" t="s">
        <v>93</v>
      </c>
      <c r="O1702" s="1" t="s">
        <v>1783</v>
      </c>
      <c r="P1702" s="1">
        <v>8200</v>
      </c>
      <c r="T1702"/>
    </row>
    <row r="1703" spans="9:20">
      <c r="I1703" s="1" t="s">
        <v>50</v>
      </c>
      <c r="J1703" s="1" t="s">
        <v>75</v>
      </c>
      <c r="K1703" s="1" t="s">
        <v>16</v>
      </c>
      <c r="L1703" s="1">
        <v>3</v>
      </c>
      <c r="M1703" s="1">
        <v>3.99</v>
      </c>
      <c r="N1703" s="1" t="s">
        <v>93</v>
      </c>
      <c r="O1703" s="1" t="s">
        <v>1784</v>
      </c>
      <c r="P1703" s="1">
        <v>6500</v>
      </c>
      <c r="T1703"/>
    </row>
    <row r="1704" spans="9:20">
      <c r="I1704" s="1" t="s">
        <v>50</v>
      </c>
      <c r="J1704" s="1" t="s">
        <v>78</v>
      </c>
      <c r="K1704" s="1" t="s">
        <v>16</v>
      </c>
      <c r="L1704" s="1">
        <v>3</v>
      </c>
      <c r="M1704" s="1">
        <v>3.99</v>
      </c>
      <c r="N1704" s="1" t="s">
        <v>93</v>
      </c>
      <c r="O1704" s="1" t="s">
        <v>1785</v>
      </c>
      <c r="P1704" s="1">
        <v>5500</v>
      </c>
      <c r="T1704"/>
    </row>
    <row r="1705" spans="9:20">
      <c r="I1705" s="1" t="s">
        <v>50</v>
      </c>
      <c r="J1705" s="1" t="s">
        <v>81</v>
      </c>
      <c r="K1705" s="1" t="s">
        <v>16</v>
      </c>
      <c r="L1705" s="1">
        <v>3</v>
      </c>
      <c r="M1705" s="1">
        <v>3.99</v>
      </c>
      <c r="N1705" s="1" t="s">
        <v>93</v>
      </c>
      <c r="O1705" s="1" t="s">
        <v>1786</v>
      </c>
      <c r="P1705" s="1">
        <v>3100</v>
      </c>
      <c r="T1705"/>
    </row>
    <row r="1706" spans="9:20">
      <c r="I1706" s="1" t="s">
        <v>50</v>
      </c>
      <c r="J1706" s="1" t="s">
        <v>84</v>
      </c>
      <c r="K1706" s="1" t="s">
        <v>16</v>
      </c>
      <c r="L1706" s="1">
        <v>3</v>
      </c>
      <c r="M1706" s="1">
        <v>3.99</v>
      </c>
      <c r="N1706" s="1" t="s">
        <v>93</v>
      </c>
      <c r="O1706" s="1" t="s">
        <v>1787</v>
      </c>
      <c r="P1706" s="1">
        <v>1400</v>
      </c>
      <c r="T1706"/>
    </row>
    <row r="1707" spans="9:20">
      <c r="I1707" s="1" t="s">
        <v>50</v>
      </c>
      <c r="J1707" s="1" t="s">
        <v>1</v>
      </c>
      <c r="K1707" s="1" t="s">
        <v>17</v>
      </c>
      <c r="L1707" s="1">
        <v>3</v>
      </c>
      <c r="M1707" s="1">
        <v>3.99</v>
      </c>
      <c r="N1707" s="1" t="s">
        <v>93</v>
      </c>
      <c r="O1707" s="1" t="s">
        <v>1788</v>
      </c>
      <c r="P1707" s="1">
        <v>9500</v>
      </c>
      <c r="T1707"/>
    </row>
    <row r="1708" spans="9:20">
      <c r="I1708" s="1" t="s">
        <v>50</v>
      </c>
      <c r="J1708" s="1" t="s">
        <v>2</v>
      </c>
      <c r="K1708" s="1" t="s">
        <v>17</v>
      </c>
      <c r="L1708" s="1">
        <v>3</v>
      </c>
      <c r="M1708" s="1">
        <v>3.99</v>
      </c>
      <c r="N1708" s="1" t="s">
        <v>93</v>
      </c>
      <c r="O1708" s="1" t="s">
        <v>1789</v>
      </c>
      <c r="P1708" s="1">
        <v>9100</v>
      </c>
      <c r="T1708"/>
    </row>
    <row r="1709" spans="9:20">
      <c r="I1709" s="1" t="s">
        <v>50</v>
      </c>
      <c r="J1709" s="1" t="s">
        <v>3</v>
      </c>
      <c r="K1709" s="1" t="s">
        <v>17</v>
      </c>
      <c r="L1709" s="1">
        <v>3</v>
      </c>
      <c r="M1709" s="1">
        <v>3.99</v>
      </c>
      <c r="N1709" s="1" t="s">
        <v>93</v>
      </c>
      <c r="O1709" s="1" t="s">
        <v>1790</v>
      </c>
      <c r="P1709" s="1">
        <v>8700</v>
      </c>
      <c r="T1709"/>
    </row>
    <row r="1710" spans="9:20">
      <c r="I1710" s="1" t="s">
        <v>50</v>
      </c>
      <c r="J1710" s="1" t="s">
        <v>4</v>
      </c>
      <c r="K1710" s="1" t="s">
        <v>17</v>
      </c>
      <c r="L1710" s="1">
        <v>3</v>
      </c>
      <c r="M1710" s="1">
        <v>3.99</v>
      </c>
      <c r="N1710" s="1" t="s">
        <v>93</v>
      </c>
      <c r="O1710" s="1" t="s">
        <v>1791</v>
      </c>
      <c r="P1710" s="1">
        <v>8300</v>
      </c>
      <c r="T1710"/>
    </row>
    <row r="1711" spans="9:20">
      <c r="I1711" s="1" t="s">
        <v>50</v>
      </c>
      <c r="J1711" s="1" t="s">
        <v>5</v>
      </c>
      <c r="K1711" s="1" t="s">
        <v>17</v>
      </c>
      <c r="L1711" s="1">
        <v>3</v>
      </c>
      <c r="M1711" s="1">
        <v>3.99</v>
      </c>
      <c r="N1711" s="1" t="s">
        <v>93</v>
      </c>
      <c r="O1711" s="1" t="s">
        <v>1792</v>
      </c>
      <c r="P1711" s="1">
        <v>7900</v>
      </c>
      <c r="T1711"/>
    </row>
    <row r="1712" spans="9:20">
      <c r="I1712" s="1" t="s">
        <v>50</v>
      </c>
      <c r="J1712" s="1" t="s">
        <v>6</v>
      </c>
      <c r="K1712" s="1" t="s">
        <v>17</v>
      </c>
      <c r="L1712" s="1">
        <v>3</v>
      </c>
      <c r="M1712" s="1">
        <v>3.99</v>
      </c>
      <c r="N1712" s="1" t="s">
        <v>93</v>
      </c>
      <c r="O1712" s="1" t="s">
        <v>1793</v>
      </c>
      <c r="P1712" s="1">
        <v>7500</v>
      </c>
      <c r="T1712"/>
    </row>
    <row r="1713" spans="9:20">
      <c r="I1713" s="1" t="s">
        <v>50</v>
      </c>
      <c r="J1713" s="1" t="s">
        <v>7</v>
      </c>
      <c r="K1713" s="1" t="s">
        <v>17</v>
      </c>
      <c r="L1713" s="1">
        <v>3</v>
      </c>
      <c r="M1713" s="1">
        <v>3.99</v>
      </c>
      <c r="N1713" s="1" t="s">
        <v>93</v>
      </c>
      <c r="O1713" s="1" t="s">
        <v>1794</v>
      </c>
      <c r="P1713" s="1">
        <v>6700</v>
      </c>
      <c r="T1713"/>
    </row>
    <row r="1714" spans="9:20">
      <c r="I1714" s="1" t="s">
        <v>50</v>
      </c>
      <c r="J1714" s="1" t="s">
        <v>75</v>
      </c>
      <c r="K1714" s="1" t="s">
        <v>17</v>
      </c>
      <c r="L1714" s="1">
        <v>3</v>
      </c>
      <c r="M1714" s="1">
        <v>3.99</v>
      </c>
      <c r="N1714" s="1" t="s">
        <v>93</v>
      </c>
      <c r="O1714" s="1" t="s">
        <v>1795</v>
      </c>
      <c r="P1714" s="1">
        <v>5800</v>
      </c>
      <c r="T1714"/>
    </row>
    <row r="1715" spans="9:20">
      <c r="I1715" s="1" t="s">
        <v>50</v>
      </c>
      <c r="J1715" s="1" t="s">
        <v>78</v>
      </c>
      <c r="K1715" s="1" t="s">
        <v>17</v>
      </c>
      <c r="L1715" s="1">
        <v>3</v>
      </c>
      <c r="M1715" s="1">
        <v>3.99</v>
      </c>
      <c r="N1715" s="1" t="s">
        <v>93</v>
      </c>
      <c r="O1715" s="1" t="s">
        <v>1796</v>
      </c>
      <c r="P1715" s="1">
        <v>4700</v>
      </c>
      <c r="T1715"/>
    </row>
    <row r="1716" spans="9:20">
      <c r="I1716" s="1" t="s">
        <v>50</v>
      </c>
      <c r="J1716" s="1" t="s">
        <v>81</v>
      </c>
      <c r="K1716" s="1" t="s">
        <v>17</v>
      </c>
      <c r="L1716" s="1">
        <v>3</v>
      </c>
      <c r="M1716" s="1">
        <v>3.99</v>
      </c>
      <c r="N1716" s="1" t="s">
        <v>93</v>
      </c>
      <c r="O1716" s="1" t="s">
        <v>1797</v>
      </c>
      <c r="P1716" s="1">
        <v>3000</v>
      </c>
      <c r="T1716"/>
    </row>
    <row r="1717" spans="9:20">
      <c r="I1717" s="1" t="s">
        <v>50</v>
      </c>
      <c r="J1717" s="1" t="s">
        <v>84</v>
      </c>
      <c r="K1717" s="1" t="s">
        <v>17</v>
      </c>
      <c r="L1717" s="1">
        <v>3</v>
      </c>
      <c r="M1717" s="1">
        <v>3.99</v>
      </c>
      <c r="N1717" s="1" t="s">
        <v>93</v>
      </c>
      <c r="O1717" s="1" t="s">
        <v>1798</v>
      </c>
      <c r="P1717" s="1">
        <v>1400</v>
      </c>
      <c r="T1717"/>
    </row>
    <row r="1718" spans="9:20">
      <c r="I1718" s="1" t="s">
        <v>50</v>
      </c>
      <c r="J1718" s="1" t="s">
        <v>1</v>
      </c>
      <c r="K1718" s="1" t="s">
        <v>8</v>
      </c>
      <c r="L1718" s="1">
        <v>4</v>
      </c>
      <c r="M1718" s="1">
        <v>4.99</v>
      </c>
      <c r="N1718" s="1" t="s">
        <v>95</v>
      </c>
      <c r="O1718" s="1" t="s">
        <v>1799</v>
      </c>
      <c r="P1718" s="1">
        <v>74500</v>
      </c>
      <c r="T1718"/>
    </row>
    <row r="1719" spans="9:20">
      <c r="I1719" s="1" t="s">
        <v>50</v>
      </c>
      <c r="J1719" s="1" t="s">
        <v>2</v>
      </c>
      <c r="K1719" s="1" t="s">
        <v>8</v>
      </c>
      <c r="L1719" s="1">
        <v>4</v>
      </c>
      <c r="M1719" s="1">
        <v>4.99</v>
      </c>
      <c r="N1719" s="1" t="s">
        <v>95</v>
      </c>
      <c r="O1719" s="1" t="s">
        <v>1800</v>
      </c>
      <c r="P1719" s="1">
        <v>64500</v>
      </c>
      <c r="T1719"/>
    </row>
    <row r="1720" spans="9:20">
      <c r="I1720" s="1" t="s">
        <v>50</v>
      </c>
      <c r="J1720" s="1" t="s">
        <v>3</v>
      </c>
      <c r="K1720" s="1" t="s">
        <v>8</v>
      </c>
      <c r="L1720" s="1">
        <v>4</v>
      </c>
      <c r="M1720" s="1">
        <v>4.99</v>
      </c>
      <c r="N1720" s="1" t="s">
        <v>95</v>
      </c>
      <c r="O1720" s="1" t="s">
        <v>1801</v>
      </c>
      <c r="P1720" s="1">
        <v>58500</v>
      </c>
      <c r="T1720"/>
    </row>
    <row r="1721" spans="9:20">
      <c r="I1721" s="1" t="s">
        <v>50</v>
      </c>
      <c r="J1721" s="1" t="s">
        <v>4</v>
      </c>
      <c r="K1721" s="1" t="s">
        <v>8</v>
      </c>
      <c r="L1721" s="1">
        <v>4</v>
      </c>
      <c r="M1721" s="1">
        <v>4.99</v>
      </c>
      <c r="N1721" s="1" t="s">
        <v>95</v>
      </c>
      <c r="O1721" s="1" t="s">
        <v>1802</v>
      </c>
      <c r="P1721" s="1">
        <v>49500</v>
      </c>
      <c r="T1721"/>
    </row>
    <row r="1722" spans="9:20">
      <c r="I1722" s="1" t="s">
        <v>50</v>
      </c>
      <c r="J1722" s="1" t="s">
        <v>5</v>
      </c>
      <c r="K1722" s="1" t="s">
        <v>8</v>
      </c>
      <c r="L1722" s="1">
        <v>4</v>
      </c>
      <c r="M1722" s="1">
        <v>4.99</v>
      </c>
      <c r="N1722" s="1" t="s">
        <v>95</v>
      </c>
      <c r="O1722" s="1" t="s">
        <v>1803</v>
      </c>
      <c r="P1722" s="1">
        <v>41500</v>
      </c>
      <c r="T1722"/>
    </row>
    <row r="1723" spans="9:20">
      <c r="I1723" s="1" t="s">
        <v>50</v>
      </c>
      <c r="J1723" s="1" t="s">
        <v>6</v>
      </c>
      <c r="K1723" s="1" t="s">
        <v>8</v>
      </c>
      <c r="L1723" s="1">
        <v>4</v>
      </c>
      <c r="M1723" s="1">
        <v>4.99</v>
      </c>
      <c r="N1723" s="1" t="s">
        <v>95</v>
      </c>
      <c r="O1723" s="1" t="s">
        <v>1804</v>
      </c>
      <c r="P1723" s="1">
        <v>31500</v>
      </c>
      <c r="T1723"/>
    </row>
    <row r="1724" spans="9:20">
      <c r="I1724" s="1" t="s">
        <v>50</v>
      </c>
      <c r="J1724" s="1" t="s">
        <v>7</v>
      </c>
      <c r="K1724" s="1" t="s">
        <v>8</v>
      </c>
      <c r="L1724" s="1">
        <v>4</v>
      </c>
      <c r="M1724" s="1">
        <v>4.99</v>
      </c>
      <c r="N1724" s="1" t="s">
        <v>95</v>
      </c>
      <c r="O1724" s="1" t="s">
        <v>1805</v>
      </c>
      <c r="P1724" s="1">
        <v>25500</v>
      </c>
      <c r="T1724"/>
    </row>
    <row r="1725" spans="9:20">
      <c r="I1725" s="1" t="s">
        <v>50</v>
      </c>
      <c r="J1725" s="1" t="s">
        <v>75</v>
      </c>
      <c r="K1725" s="1" t="s">
        <v>8</v>
      </c>
      <c r="L1725" s="1">
        <v>4</v>
      </c>
      <c r="M1725" s="1">
        <v>4.99</v>
      </c>
      <c r="N1725" s="1" t="s">
        <v>95</v>
      </c>
      <c r="O1725" s="1" t="s">
        <v>1806</v>
      </c>
      <c r="P1725" s="1">
        <v>15500</v>
      </c>
      <c r="T1725"/>
    </row>
    <row r="1726" spans="9:20">
      <c r="I1726" s="1" t="s">
        <v>50</v>
      </c>
      <c r="J1726" s="1" t="s">
        <v>78</v>
      </c>
      <c r="K1726" s="1" t="s">
        <v>8</v>
      </c>
      <c r="L1726" s="1">
        <v>4</v>
      </c>
      <c r="M1726" s="1">
        <v>4.99</v>
      </c>
      <c r="N1726" s="1" t="s">
        <v>95</v>
      </c>
      <c r="O1726" s="1" t="s">
        <v>1807</v>
      </c>
      <c r="P1726" s="1">
        <v>11100</v>
      </c>
      <c r="T1726"/>
    </row>
    <row r="1727" spans="9:20">
      <c r="I1727" s="1" t="s">
        <v>50</v>
      </c>
      <c r="J1727" s="1" t="s">
        <v>81</v>
      </c>
      <c r="K1727" s="1" t="s">
        <v>8</v>
      </c>
      <c r="L1727" s="1">
        <v>4</v>
      </c>
      <c r="M1727" s="1">
        <v>4.99</v>
      </c>
      <c r="N1727" s="1" t="s">
        <v>95</v>
      </c>
      <c r="O1727" s="1" t="s">
        <v>1808</v>
      </c>
      <c r="P1727" s="1">
        <v>5400</v>
      </c>
      <c r="T1727"/>
    </row>
    <row r="1728" spans="9:20">
      <c r="I1728" s="1" t="s">
        <v>50</v>
      </c>
      <c r="J1728" s="1" t="s">
        <v>84</v>
      </c>
      <c r="K1728" s="1" t="s">
        <v>8</v>
      </c>
      <c r="L1728" s="1">
        <v>4</v>
      </c>
      <c r="M1728" s="1">
        <v>4.99</v>
      </c>
      <c r="N1728" s="1" t="s">
        <v>95</v>
      </c>
      <c r="O1728" s="1" t="s">
        <v>1809</v>
      </c>
      <c r="P1728" s="1">
        <v>2300</v>
      </c>
      <c r="T1728"/>
    </row>
    <row r="1729" spans="9:20">
      <c r="I1729" s="1" t="s">
        <v>50</v>
      </c>
      <c r="J1729" s="1" t="s">
        <v>1</v>
      </c>
      <c r="K1729" s="1" t="s">
        <v>9</v>
      </c>
      <c r="L1729" s="1">
        <v>4</v>
      </c>
      <c r="M1729" s="1">
        <v>4.99</v>
      </c>
      <c r="N1729" s="1" t="s">
        <v>95</v>
      </c>
      <c r="O1729" s="1" t="s">
        <v>1810</v>
      </c>
      <c r="P1729" s="1">
        <v>62500</v>
      </c>
      <c r="T1729"/>
    </row>
    <row r="1730" spans="9:20">
      <c r="I1730" s="1" t="s">
        <v>50</v>
      </c>
      <c r="J1730" s="1" t="s">
        <v>2</v>
      </c>
      <c r="K1730" s="1" t="s">
        <v>9</v>
      </c>
      <c r="L1730" s="1">
        <v>4</v>
      </c>
      <c r="M1730" s="1">
        <v>4.99</v>
      </c>
      <c r="N1730" s="1" t="s">
        <v>95</v>
      </c>
      <c r="O1730" s="1" t="s">
        <v>1811</v>
      </c>
      <c r="P1730" s="1">
        <v>58500</v>
      </c>
      <c r="T1730"/>
    </row>
    <row r="1731" spans="9:20">
      <c r="I1731" s="1" t="s">
        <v>50</v>
      </c>
      <c r="J1731" s="1" t="s">
        <v>3</v>
      </c>
      <c r="K1731" s="1" t="s">
        <v>9</v>
      </c>
      <c r="L1731" s="1">
        <v>4</v>
      </c>
      <c r="M1731" s="1">
        <v>4.99</v>
      </c>
      <c r="N1731" s="1" t="s">
        <v>95</v>
      </c>
      <c r="O1731" s="1" t="s">
        <v>1812</v>
      </c>
      <c r="P1731" s="1">
        <v>52500</v>
      </c>
      <c r="T1731"/>
    </row>
    <row r="1732" spans="9:20">
      <c r="I1732" s="1" t="s">
        <v>50</v>
      </c>
      <c r="J1732" s="1" t="s">
        <v>4</v>
      </c>
      <c r="K1732" s="1" t="s">
        <v>9</v>
      </c>
      <c r="L1732" s="1">
        <v>4</v>
      </c>
      <c r="M1732" s="1">
        <v>4.99</v>
      </c>
      <c r="N1732" s="1" t="s">
        <v>95</v>
      </c>
      <c r="O1732" s="1" t="s">
        <v>1813</v>
      </c>
      <c r="P1732" s="1">
        <v>45000</v>
      </c>
      <c r="T1732"/>
    </row>
    <row r="1733" spans="9:20">
      <c r="I1733" s="1" t="s">
        <v>50</v>
      </c>
      <c r="J1733" s="1" t="s">
        <v>5</v>
      </c>
      <c r="K1733" s="1" t="s">
        <v>9</v>
      </c>
      <c r="L1733" s="1">
        <v>4</v>
      </c>
      <c r="M1733" s="1">
        <v>4.99</v>
      </c>
      <c r="N1733" s="1" t="s">
        <v>95</v>
      </c>
      <c r="O1733" s="1" t="s">
        <v>1814</v>
      </c>
      <c r="P1733" s="1">
        <v>39000</v>
      </c>
      <c r="T1733"/>
    </row>
    <row r="1734" spans="9:20">
      <c r="I1734" s="1" t="s">
        <v>50</v>
      </c>
      <c r="J1734" s="1" t="s">
        <v>6</v>
      </c>
      <c r="K1734" s="1" t="s">
        <v>9</v>
      </c>
      <c r="L1734" s="1">
        <v>4</v>
      </c>
      <c r="M1734" s="1">
        <v>4.99</v>
      </c>
      <c r="N1734" s="1" t="s">
        <v>95</v>
      </c>
      <c r="O1734" s="1" t="s">
        <v>1815</v>
      </c>
      <c r="P1734" s="1">
        <v>29500</v>
      </c>
      <c r="T1734"/>
    </row>
    <row r="1735" spans="9:20">
      <c r="I1735" s="1" t="s">
        <v>50</v>
      </c>
      <c r="J1735" s="1" t="s">
        <v>7</v>
      </c>
      <c r="K1735" s="1" t="s">
        <v>9</v>
      </c>
      <c r="L1735" s="1">
        <v>4</v>
      </c>
      <c r="M1735" s="1">
        <v>4.99</v>
      </c>
      <c r="N1735" s="1" t="s">
        <v>95</v>
      </c>
      <c r="O1735" s="1" t="s">
        <v>1816</v>
      </c>
      <c r="P1735" s="1">
        <v>24000</v>
      </c>
      <c r="T1735"/>
    </row>
    <row r="1736" spans="9:20">
      <c r="I1736" s="1" t="s">
        <v>50</v>
      </c>
      <c r="J1736" s="1" t="s">
        <v>75</v>
      </c>
      <c r="K1736" s="1" t="s">
        <v>9</v>
      </c>
      <c r="L1736" s="1">
        <v>4</v>
      </c>
      <c r="M1736" s="1">
        <v>4.99</v>
      </c>
      <c r="N1736" s="1" t="s">
        <v>95</v>
      </c>
      <c r="O1736" s="1" t="s">
        <v>1817</v>
      </c>
      <c r="P1736" s="1">
        <v>14500</v>
      </c>
      <c r="T1736"/>
    </row>
    <row r="1737" spans="9:20">
      <c r="I1737" s="1" t="s">
        <v>50</v>
      </c>
      <c r="J1737" s="1" t="s">
        <v>78</v>
      </c>
      <c r="K1737" s="1" t="s">
        <v>9</v>
      </c>
      <c r="L1737" s="1">
        <v>4</v>
      </c>
      <c r="M1737" s="1">
        <v>4.99</v>
      </c>
      <c r="N1737" s="1" t="s">
        <v>95</v>
      </c>
      <c r="O1737" s="1" t="s">
        <v>1818</v>
      </c>
      <c r="P1737" s="1">
        <v>10600</v>
      </c>
      <c r="T1737"/>
    </row>
    <row r="1738" spans="9:20">
      <c r="I1738" s="1" t="s">
        <v>50</v>
      </c>
      <c r="J1738" s="1" t="s">
        <v>81</v>
      </c>
      <c r="K1738" s="1" t="s">
        <v>9</v>
      </c>
      <c r="L1738" s="1">
        <v>4</v>
      </c>
      <c r="M1738" s="1">
        <v>4.99</v>
      </c>
      <c r="N1738" s="1" t="s">
        <v>95</v>
      </c>
      <c r="O1738" s="1" t="s">
        <v>1819</v>
      </c>
      <c r="P1738" s="1">
        <v>5200</v>
      </c>
      <c r="T1738"/>
    </row>
    <row r="1739" spans="9:20">
      <c r="I1739" s="1" t="s">
        <v>50</v>
      </c>
      <c r="J1739" s="1" t="s">
        <v>84</v>
      </c>
      <c r="K1739" s="1" t="s">
        <v>9</v>
      </c>
      <c r="L1739" s="1">
        <v>4</v>
      </c>
      <c r="M1739" s="1">
        <v>4.99</v>
      </c>
      <c r="N1739" s="1" t="s">
        <v>95</v>
      </c>
      <c r="O1739" s="1" t="s">
        <v>1820</v>
      </c>
      <c r="P1739" s="1">
        <v>2200</v>
      </c>
      <c r="T1739"/>
    </row>
    <row r="1740" spans="9:20">
      <c r="I1740" s="1" t="s">
        <v>50</v>
      </c>
      <c r="J1740" s="1" t="s">
        <v>1</v>
      </c>
      <c r="K1740" s="1" t="s">
        <v>10</v>
      </c>
      <c r="L1740" s="1">
        <v>4</v>
      </c>
      <c r="M1740" s="1">
        <v>4.99</v>
      </c>
      <c r="N1740" s="1" t="s">
        <v>95</v>
      </c>
      <c r="O1740" s="1" t="s">
        <v>1821</v>
      </c>
      <c r="P1740" s="1">
        <v>56500</v>
      </c>
      <c r="T1740"/>
    </row>
    <row r="1741" spans="9:20">
      <c r="I1741" s="1" t="s">
        <v>50</v>
      </c>
      <c r="J1741" s="1" t="s">
        <v>2</v>
      </c>
      <c r="K1741" s="1" t="s">
        <v>10</v>
      </c>
      <c r="L1741" s="1">
        <v>4</v>
      </c>
      <c r="M1741" s="1">
        <v>4.99</v>
      </c>
      <c r="N1741" s="1" t="s">
        <v>95</v>
      </c>
      <c r="O1741" s="1" t="s">
        <v>1822</v>
      </c>
      <c r="P1741" s="1">
        <v>52000</v>
      </c>
      <c r="T1741"/>
    </row>
    <row r="1742" spans="9:20">
      <c r="I1742" s="1" t="s">
        <v>50</v>
      </c>
      <c r="J1742" s="1" t="s">
        <v>3</v>
      </c>
      <c r="K1742" s="1" t="s">
        <v>10</v>
      </c>
      <c r="L1742" s="1">
        <v>4</v>
      </c>
      <c r="M1742" s="1">
        <v>4.99</v>
      </c>
      <c r="N1742" s="1" t="s">
        <v>95</v>
      </c>
      <c r="O1742" s="1" t="s">
        <v>1823</v>
      </c>
      <c r="P1742" s="1">
        <v>47500</v>
      </c>
      <c r="T1742"/>
    </row>
    <row r="1743" spans="9:20">
      <c r="I1743" s="1" t="s">
        <v>50</v>
      </c>
      <c r="J1743" s="1" t="s">
        <v>4</v>
      </c>
      <c r="K1743" s="1" t="s">
        <v>10</v>
      </c>
      <c r="L1743" s="1">
        <v>4</v>
      </c>
      <c r="M1743" s="1">
        <v>4.99</v>
      </c>
      <c r="N1743" s="1" t="s">
        <v>95</v>
      </c>
      <c r="O1743" s="1" t="s">
        <v>1824</v>
      </c>
      <c r="P1743" s="1">
        <v>41000</v>
      </c>
      <c r="T1743"/>
    </row>
    <row r="1744" spans="9:20">
      <c r="I1744" s="1" t="s">
        <v>50</v>
      </c>
      <c r="J1744" s="1" t="s">
        <v>5</v>
      </c>
      <c r="K1744" s="1" t="s">
        <v>10</v>
      </c>
      <c r="L1744" s="1">
        <v>4</v>
      </c>
      <c r="M1744" s="1">
        <v>4.99</v>
      </c>
      <c r="N1744" s="1" t="s">
        <v>95</v>
      </c>
      <c r="O1744" s="1" t="s">
        <v>1825</v>
      </c>
      <c r="P1744" s="1">
        <v>35500</v>
      </c>
      <c r="T1744"/>
    </row>
    <row r="1745" spans="9:20">
      <c r="I1745" s="1" t="s">
        <v>50</v>
      </c>
      <c r="J1745" s="1" t="s">
        <v>6</v>
      </c>
      <c r="K1745" s="1" t="s">
        <v>10</v>
      </c>
      <c r="L1745" s="1">
        <v>4</v>
      </c>
      <c r="M1745" s="1">
        <v>4.99</v>
      </c>
      <c r="N1745" s="1" t="s">
        <v>95</v>
      </c>
      <c r="O1745" s="1" t="s">
        <v>1826</v>
      </c>
      <c r="P1745" s="1">
        <v>27500</v>
      </c>
      <c r="T1745"/>
    </row>
    <row r="1746" spans="9:20">
      <c r="I1746" s="1" t="s">
        <v>50</v>
      </c>
      <c r="J1746" s="1" t="s">
        <v>7</v>
      </c>
      <c r="K1746" s="1" t="s">
        <v>10</v>
      </c>
      <c r="L1746" s="1">
        <v>4</v>
      </c>
      <c r="M1746" s="1">
        <v>4.99</v>
      </c>
      <c r="N1746" s="1" t="s">
        <v>95</v>
      </c>
      <c r="O1746" s="1" t="s">
        <v>1827</v>
      </c>
      <c r="P1746" s="1">
        <v>22500</v>
      </c>
      <c r="T1746"/>
    </row>
    <row r="1747" spans="9:20">
      <c r="I1747" s="1" t="s">
        <v>50</v>
      </c>
      <c r="J1747" s="1" t="s">
        <v>75</v>
      </c>
      <c r="K1747" s="1" t="s">
        <v>10</v>
      </c>
      <c r="L1747" s="1">
        <v>4</v>
      </c>
      <c r="M1747" s="1">
        <v>4.99</v>
      </c>
      <c r="N1747" s="1" t="s">
        <v>95</v>
      </c>
      <c r="O1747" s="1" t="s">
        <v>1828</v>
      </c>
      <c r="P1747" s="1">
        <v>13800</v>
      </c>
      <c r="T1747"/>
    </row>
    <row r="1748" spans="9:20">
      <c r="I1748" s="1" t="s">
        <v>50</v>
      </c>
      <c r="J1748" s="1" t="s">
        <v>78</v>
      </c>
      <c r="K1748" s="1" t="s">
        <v>10</v>
      </c>
      <c r="L1748" s="1">
        <v>4</v>
      </c>
      <c r="M1748" s="1">
        <v>4.99</v>
      </c>
      <c r="N1748" s="1" t="s">
        <v>95</v>
      </c>
      <c r="O1748" s="1" t="s">
        <v>1829</v>
      </c>
      <c r="P1748" s="1">
        <v>10100</v>
      </c>
      <c r="T1748"/>
    </row>
    <row r="1749" spans="9:20">
      <c r="I1749" s="1" t="s">
        <v>50</v>
      </c>
      <c r="J1749" s="1" t="s">
        <v>81</v>
      </c>
      <c r="K1749" s="1" t="s">
        <v>10</v>
      </c>
      <c r="L1749" s="1">
        <v>4</v>
      </c>
      <c r="M1749" s="1">
        <v>4.99</v>
      </c>
      <c r="N1749" s="1" t="s">
        <v>95</v>
      </c>
      <c r="O1749" s="1" t="s">
        <v>1830</v>
      </c>
      <c r="P1749" s="1">
        <v>5000</v>
      </c>
      <c r="T1749"/>
    </row>
    <row r="1750" spans="9:20">
      <c r="I1750" s="1" t="s">
        <v>50</v>
      </c>
      <c r="J1750" s="1" t="s">
        <v>84</v>
      </c>
      <c r="K1750" s="1" t="s">
        <v>10</v>
      </c>
      <c r="L1750" s="1">
        <v>4</v>
      </c>
      <c r="M1750" s="1">
        <v>4.99</v>
      </c>
      <c r="N1750" s="1" t="s">
        <v>95</v>
      </c>
      <c r="O1750" s="1" t="s">
        <v>1831</v>
      </c>
      <c r="P1750" s="1">
        <v>2100</v>
      </c>
      <c r="T1750"/>
    </row>
    <row r="1751" spans="9:20">
      <c r="I1751" s="1" t="s">
        <v>50</v>
      </c>
      <c r="J1751" s="1" t="s">
        <v>1</v>
      </c>
      <c r="K1751" s="1" t="s">
        <v>11</v>
      </c>
      <c r="L1751" s="1">
        <v>4</v>
      </c>
      <c r="M1751" s="1">
        <v>4.99</v>
      </c>
      <c r="N1751" s="1" t="s">
        <v>95</v>
      </c>
      <c r="O1751" s="1" t="s">
        <v>1832</v>
      </c>
      <c r="P1751" s="1">
        <v>46500</v>
      </c>
      <c r="T1751"/>
    </row>
    <row r="1752" spans="9:20">
      <c r="I1752" s="1" t="s">
        <v>50</v>
      </c>
      <c r="J1752" s="1" t="s">
        <v>2</v>
      </c>
      <c r="K1752" s="1" t="s">
        <v>11</v>
      </c>
      <c r="L1752" s="1">
        <v>4</v>
      </c>
      <c r="M1752" s="1">
        <v>4.99</v>
      </c>
      <c r="N1752" s="1" t="s">
        <v>95</v>
      </c>
      <c r="O1752" s="1" t="s">
        <v>1833</v>
      </c>
      <c r="P1752" s="1">
        <v>43000</v>
      </c>
      <c r="T1752"/>
    </row>
    <row r="1753" spans="9:20">
      <c r="I1753" s="1" t="s">
        <v>50</v>
      </c>
      <c r="J1753" s="1" t="s">
        <v>3</v>
      </c>
      <c r="K1753" s="1" t="s">
        <v>11</v>
      </c>
      <c r="L1753" s="1">
        <v>4</v>
      </c>
      <c r="M1753" s="1">
        <v>4.99</v>
      </c>
      <c r="N1753" s="1" t="s">
        <v>95</v>
      </c>
      <c r="O1753" s="1" t="s">
        <v>1834</v>
      </c>
      <c r="P1753" s="1">
        <v>39500</v>
      </c>
      <c r="T1753"/>
    </row>
    <row r="1754" spans="9:20">
      <c r="I1754" s="1" t="s">
        <v>50</v>
      </c>
      <c r="J1754" s="1" t="s">
        <v>4</v>
      </c>
      <c r="K1754" s="1" t="s">
        <v>11</v>
      </c>
      <c r="L1754" s="1">
        <v>4</v>
      </c>
      <c r="M1754" s="1">
        <v>4.99</v>
      </c>
      <c r="N1754" s="1" t="s">
        <v>95</v>
      </c>
      <c r="O1754" s="1" t="s">
        <v>1835</v>
      </c>
      <c r="P1754" s="1">
        <v>36000</v>
      </c>
      <c r="T1754"/>
    </row>
    <row r="1755" spans="9:20">
      <c r="I1755" s="1" t="s">
        <v>50</v>
      </c>
      <c r="J1755" s="1" t="s">
        <v>5</v>
      </c>
      <c r="K1755" s="1" t="s">
        <v>11</v>
      </c>
      <c r="L1755" s="1">
        <v>4</v>
      </c>
      <c r="M1755" s="1">
        <v>4.99</v>
      </c>
      <c r="N1755" s="1" t="s">
        <v>95</v>
      </c>
      <c r="O1755" s="1" t="s">
        <v>1836</v>
      </c>
      <c r="P1755" s="1">
        <v>31500</v>
      </c>
      <c r="T1755"/>
    </row>
    <row r="1756" spans="9:20">
      <c r="I1756" s="1" t="s">
        <v>50</v>
      </c>
      <c r="J1756" s="1" t="s">
        <v>6</v>
      </c>
      <c r="K1756" s="1" t="s">
        <v>11</v>
      </c>
      <c r="L1756" s="1">
        <v>4</v>
      </c>
      <c r="M1756" s="1">
        <v>4.99</v>
      </c>
      <c r="N1756" s="1" t="s">
        <v>95</v>
      </c>
      <c r="O1756" s="1" t="s">
        <v>1837</v>
      </c>
      <c r="P1756" s="1">
        <v>24500</v>
      </c>
      <c r="T1756"/>
    </row>
    <row r="1757" spans="9:20">
      <c r="I1757" s="1" t="s">
        <v>50</v>
      </c>
      <c r="J1757" s="1" t="s">
        <v>7</v>
      </c>
      <c r="K1757" s="1" t="s">
        <v>11</v>
      </c>
      <c r="L1757" s="1">
        <v>4</v>
      </c>
      <c r="M1757" s="1">
        <v>4.99</v>
      </c>
      <c r="N1757" s="1" t="s">
        <v>95</v>
      </c>
      <c r="O1757" s="1" t="s">
        <v>1838</v>
      </c>
      <c r="P1757" s="1">
        <v>20000</v>
      </c>
      <c r="T1757"/>
    </row>
    <row r="1758" spans="9:20">
      <c r="I1758" s="1" t="s">
        <v>50</v>
      </c>
      <c r="J1758" s="1" t="s">
        <v>75</v>
      </c>
      <c r="K1758" s="1" t="s">
        <v>11</v>
      </c>
      <c r="L1758" s="1">
        <v>4</v>
      </c>
      <c r="M1758" s="1">
        <v>4.99</v>
      </c>
      <c r="N1758" s="1" t="s">
        <v>95</v>
      </c>
      <c r="O1758" s="1" t="s">
        <v>1839</v>
      </c>
      <c r="P1758" s="1">
        <v>12700</v>
      </c>
      <c r="T1758"/>
    </row>
    <row r="1759" spans="9:20">
      <c r="I1759" s="1" t="s">
        <v>50</v>
      </c>
      <c r="J1759" s="1" t="s">
        <v>78</v>
      </c>
      <c r="K1759" s="1" t="s">
        <v>11</v>
      </c>
      <c r="L1759" s="1">
        <v>4</v>
      </c>
      <c r="M1759" s="1">
        <v>4.99</v>
      </c>
      <c r="N1759" s="1" t="s">
        <v>95</v>
      </c>
      <c r="O1759" s="1" t="s">
        <v>1840</v>
      </c>
      <c r="P1759" s="1">
        <v>9500</v>
      </c>
      <c r="T1759"/>
    </row>
    <row r="1760" spans="9:20">
      <c r="I1760" s="1" t="s">
        <v>50</v>
      </c>
      <c r="J1760" s="1" t="s">
        <v>81</v>
      </c>
      <c r="K1760" s="1" t="s">
        <v>11</v>
      </c>
      <c r="L1760" s="1">
        <v>4</v>
      </c>
      <c r="M1760" s="1">
        <v>4.99</v>
      </c>
      <c r="N1760" s="1" t="s">
        <v>95</v>
      </c>
      <c r="O1760" s="1" t="s">
        <v>1841</v>
      </c>
      <c r="P1760" s="1">
        <v>4700</v>
      </c>
      <c r="T1760"/>
    </row>
    <row r="1761" spans="9:20">
      <c r="I1761" s="1" t="s">
        <v>50</v>
      </c>
      <c r="J1761" s="1" t="s">
        <v>84</v>
      </c>
      <c r="K1761" s="1" t="s">
        <v>11</v>
      </c>
      <c r="L1761" s="1">
        <v>4</v>
      </c>
      <c r="M1761" s="1">
        <v>4.99</v>
      </c>
      <c r="N1761" s="1" t="s">
        <v>95</v>
      </c>
      <c r="O1761" s="1" t="s">
        <v>1842</v>
      </c>
      <c r="P1761" s="1">
        <v>2000</v>
      </c>
      <c r="T1761"/>
    </row>
    <row r="1762" spans="9:20">
      <c r="I1762" s="1" t="s">
        <v>50</v>
      </c>
      <c r="J1762" s="1" t="s">
        <v>1</v>
      </c>
      <c r="K1762" s="1" t="s">
        <v>12</v>
      </c>
      <c r="L1762" s="1">
        <v>4</v>
      </c>
      <c r="M1762" s="1">
        <v>4.99</v>
      </c>
      <c r="N1762" s="1" t="s">
        <v>95</v>
      </c>
      <c r="O1762" s="1" t="s">
        <v>1843</v>
      </c>
      <c r="P1762" s="1">
        <v>36000</v>
      </c>
      <c r="T1762"/>
    </row>
    <row r="1763" spans="9:20">
      <c r="I1763" s="1" t="s">
        <v>50</v>
      </c>
      <c r="J1763" s="1" t="s">
        <v>2</v>
      </c>
      <c r="K1763" s="1" t="s">
        <v>12</v>
      </c>
      <c r="L1763" s="1">
        <v>4</v>
      </c>
      <c r="M1763" s="1">
        <v>4.99</v>
      </c>
      <c r="N1763" s="1" t="s">
        <v>95</v>
      </c>
      <c r="O1763" s="1" t="s">
        <v>1844</v>
      </c>
      <c r="P1763" s="1">
        <v>33500</v>
      </c>
      <c r="T1763"/>
    </row>
    <row r="1764" spans="9:20">
      <c r="I1764" s="1" t="s">
        <v>50</v>
      </c>
      <c r="J1764" s="1" t="s">
        <v>3</v>
      </c>
      <c r="K1764" s="1" t="s">
        <v>12</v>
      </c>
      <c r="L1764" s="1">
        <v>4</v>
      </c>
      <c r="M1764" s="1">
        <v>4.99</v>
      </c>
      <c r="N1764" s="1" t="s">
        <v>95</v>
      </c>
      <c r="O1764" s="1" t="s">
        <v>1845</v>
      </c>
      <c r="P1764" s="1">
        <v>31500</v>
      </c>
      <c r="T1764"/>
    </row>
    <row r="1765" spans="9:20">
      <c r="I1765" s="1" t="s">
        <v>50</v>
      </c>
      <c r="J1765" s="1" t="s">
        <v>4</v>
      </c>
      <c r="K1765" s="1" t="s">
        <v>12</v>
      </c>
      <c r="L1765" s="1">
        <v>4</v>
      </c>
      <c r="M1765" s="1">
        <v>4.99</v>
      </c>
      <c r="N1765" s="1" t="s">
        <v>95</v>
      </c>
      <c r="O1765" s="1" t="s">
        <v>1846</v>
      </c>
      <c r="P1765" s="1">
        <v>29500</v>
      </c>
      <c r="T1765"/>
    </row>
    <row r="1766" spans="9:20">
      <c r="I1766" s="1" t="s">
        <v>50</v>
      </c>
      <c r="J1766" s="1" t="s">
        <v>5</v>
      </c>
      <c r="K1766" s="1" t="s">
        <v>12</v>
      </c>
      <c r="L1766" s="1">
        <v>4</v>
      </c>
      <c r="M1766" s="1">
        <v>4.99</v>
      </c>
      <c r="N1766" s="1" t="s">
        <v>95</v>
      </c>
      <c r="O1766" s="1" t="s">
        <v>1847</v>
      </c>
      <c r="P1766" s="1">
        <v>26000</v>
      </c>
      <c r="T1766"/>
    </row>
    <row r="1767" spans="9:20">
      <c r="I1767" s="1" t="s">
        <v>50</v>
      </c>
      <c r="J1767" s="1" t="s">
        <v>6</v>
      </c>
      <c r="K1767" s="1" t="s">
        <v>12</v>
      </c>
      <c r="L1767" s="1">
        <v>4</v>
      </c>
      <c r="M1767" s="1">
        <v>4.99</v>
      </c>
      <c r="N1767" s="1" t="s">
        <v>95</v>
      </c>
      <c r="O1767" s="1" t="s">
        <v>1848</v>
      </c>
      <c r="P1767" s="1">
        <v>21500</v>
      </c>
      <c r="T1767"/>
    </row>
    <row r="1768" spans="9:20">
      <c r="I1768" s="1" t="s">
        <v>50</v>
      </c>
      <c r="J1768" s="1" t="s">
        <v>7</v>
      </c>
      <c r="K1768" s="1" t="s">
        <v>12</v>
      </c>
      <c r="L1768" s="1">
        <v>4</v>
      </c>
      <c r="M1768" s="1">
        <v>4.99</v>
      </c>
      <c r="N1768" s="1" t="s">
        <v>95</v>
      </c>
      <c r="O1768" s="1" t="s">
        <v>1849</v>
      </c>
      <c r="P1768" s="1">
        <v>18000</v>
      </c>
      <c r="T1768"/>
    </row>
    <row r="1769" spans="9:20">
      <c r="I1769" s="1" t="s">
        <v>50</v>
      </c>
      <c r="J1769" s="1" t="s">
        <v>75</v>
      </c>
      <c r="K1769" s="1" t="s">
        <v>12</v>
      </c>
      <c r="L1769" s="1">
        <v>4</v>
      </c>
      <c r="M1769" s="1">
        <v>4.99</v>
      </c>
      <c r="N1769" s="1" t="s">
        <v>95</v>
      </c>
      <c r="O1769" s="1" t="s">
        <v>1850</v>
      </c>
      <c r="P1769" s="1">
        <v>11400</v>
      </c>
      <c r="T1769"/>
    </row>
    <row r="1770" spans="9:20">
      <c r="I1770" s="1" t="s">
        <v>50</v>
      </c>
      <c r="J1770" s="1" t="s">
        <v>78</v>
      </c>
      <c r="K1770" s="1" t="s">
        <v>12</v>
      </c>
      <c r="L1770" s="1">
        <v>4</v>
      </c>
      <c r="M1770" s="1">
        <v>4.99</v>
      </c>
      <c r="N1770" s="1" t="s">
        <v>95</v>
      </c>
      <c r="O1770" s="1" t="s">
        <v>1851</v>
      </c>
      <c r="P1770" s="1">
        <v>9000</v>
      </c>
      <c r="T1770"/>
    </row>
    <row r="1771" spans="9:20">
      <c r="I1771" s="1" t="s">
        <v>50</v>
      </c>
      <c r="J1771" s="1" t="s">
        <v>81</v>
      </c>
      <c r="K1771" s="1" t="s">
        <v>12</v>
      </c>
      <c r="L1771" s="1">
        <v>4</v>
      </c>
      <c r="M1771" s="1">
        <v>4.99</v>
      </c>
      <c r="N1771" s="1" t="s">
        <v>95</v>
      </c>
      <c r="O1771" s="1" t="s">
        <v>1852</v>
      </c>
      <c r="P1771" s="1">
        <v>4400</v>
      </c>
      <c r="T1771"/>
    </row>
    <row r="1772" spans="9:20">
      <c r="I1772" s="1" t="s">
        <v>50</v>
      </c>
      <c r="J1772" s="1" t="s">
        <v>84</v>
      </c>
      <c r="K1772" s="1" t="s">
        <v>12</v>
      </c>
      <c r="L1772" s="1">
        <v>4</v>
      </c>
      <c r="M1772" s="1">
        <v>4.99</v>
      </c>
      <c r="N1772" s="1" t="s">
        <v>95</v>
      </c>
      <c r="O1772" s="1" t="s">
        <v>1853</v>
      </c>
      <c r="P1772" s="1">
        <v>1900</v>
      </c>
      <c r="T1772"/>
    </row>
    <row r="1773" spans="9:20">
      <c r="I1773" s="1" t="s">
        <v>50</v>
      </c>
      <c r="J1773" s="1" t="s">
        <v>1</v>
      </c>
      <c r="K1773" s="1" t="s">
        <v>13</v>
      </c>
      <c r="L1773" s="1">
        <v>4</v>
      </c>
      <c r="M1773" s="1">
        <v>4.99</v>
      </c>
      <c r="N1773" s="1" t="s">
        <v>95</v>
      </c>
      <c r="O1773" s="1" t="s">
        <v>1854</v>
      </c>
      <c r="P1773" s="1">
        <v>28000</v>
      </c>
      <c r="T1773"/>
    </row>
    <row r="1774" spans="9:20">
      <c r="I1774" s="1" t="s">
        <v>50</v>
      </c>
      <c r="J1774" s="1" t="s">
        <v>2</v>
      </c>
      <c r="K1774" s="1" t="s">
        <v>13</v>
      </c>
      <c r="L1774" s="1">
        <v>4</v>
      </c>
      <c r="M1774" s="1">
        <v>4.99</v>
      </c>
      <c r="N1774" s="1" t="s">
        <v>95</v>
      </c>
      <c r="O1774" s="1" t="s">
        <v>1855</v>
      </c>
      <c r="P1774" s="1">
        <v>26000</v>
      </c>
      <c r="T1774"/>
    </row>
    <row r="1775" spans="9:20">
      <c r="I1775" s="1" t="s">
        <v>50</v>
      </c>
      <c r="J1775" s="1" t="s">
        <v>3</v>
      </c>
      <c r="K1775" s="1" t="s">
        <v>13</v>
      </c>
      <c r="L1775" s="1">
        <v>4</v>
      </c>
      <c r="M1775" s="1">
        <v>4.99</v>
      </c>
      <c r="N1775" s="1" t="s">
        <v>95</v>
      </c>
      <c r="O1775" s="1" t="s">
        <v>1856</v>
      </c>
      <c r="P1775" s="1">
        <v>24500</v>
      </c>
      <c r="T1775"/>
    </row>
    <row r="1776" spans="9:20">
      <c r="I1776" s="1" t="s">
        <v>50</v>
      </c>
      <c r="J1776" s="1" t="s">
        <v>4</v>
      </c>
      <c r="K1776" s="1" t="s">
        <v>13</v>
      </c>
      <c r="L1776" s="1">
        <v>4</v>
      </c>
      <c r="M1776" s="1">
        <v>4.99</v>
      </c>
      <c r="N1776" s="1" t="s">
        <v>95</v>
      </c>
      <c r="O1776" s="1" t="s">
        <v>1857</v>
      </c>
      <c r="P1776" s="1">
        <v>23000</v>
      </c>
      <c r="T1776"/>
    </row>
    <row r="1777" spans="9:20">
      <c r="I1777" s="1" t="s">
        <v>50</v>
      </c>
      <c r="J1777" s="1" t="s">
        <v>5</v>
      </c>
      <c r="K1777" s="1" t="s">
        <v>13</v>
      </c>
      <c r="L1777" s="1">
        <v>4</v>
      </c>
      <c r="M1777" s="1">
        <v>4.99</v>
      </c>
      <c r="N1777" s="1" t="s">
        <v>95</v>
      </c>
      <c r="O1777" s="1" t="s">
        <v>1858</v>
      </c>
      <c r="P1777" s="1">
        <v>21000</v>
      </c>
      <c r="T1777"/>
    </row>
    <row r="1778" spans="9:20">
      <c r="I1778" s="1" t="s">
        <v>50</v>
      </c>
      <c r="J1778" s="1" t="s">
        <v>6</v>
      </c>
      <c r="K1778" s="1" t="s">
        <v>13</v>
      </c>
      <c r="L1778" s="1">
        <v>4</v>
      </c>
      <c r="M1778" s="1">
        <v>4.99</v>
      </c>
      <c r="N1778" s="1" t="s">
        <v>95</v>
      </c>
      <c r="O1778" s="1" t="s">
        <v>1859</v>
      </c>
      <c r="P1778" s="1">
        <v>19000</v>
      </c>
      <c r="T1778"/>
    </row>
    <row r="1779" spans="9:20">
      <c r="I1779" s="1" t="s">
        <v>50</v>
      </c>
      <c r="J1779" s="1" t="s">
        <v>7</v>
      </c>
      <c r="K1779" s="1" t="s">
        <v>13</v>
      </c>
      <c r="L1779" s="1">
        <v>4</v>
      </c>
      <c r="M1779" s="1">
        <v>4.99</v>
      </c>
      <c r="N1779" s="1" t="s">
        <v>95</v>
      </c>
      <c r="O1779" s="1" t="s">
        <v>1860</v>
      </c>
      <c r="P1779" s="1">
        <v>16000</v>
      </c>
      <c r="T1779"/>
    </row>
    <row r="1780" spans="9:20">
      <c r="I1780" s="1" t="s">
        <v>50</v>
      </c>
      <c r="J1780" s="1" t="s">
        <v>75</v>
      </c>
      <c r="K1780" s="1" t="s">
        <v>13</v>
      </c>
      <c r="L1780" s="1">
        <v>4</v>
      </c>
      <c r="M1780" s="1">
        <v>4.99</v>
      </c>
      <c r="N1780" s="1" t="s">
        <v>95</v>
      </c>
      <c r="O1780" s="1" t="s">
        <v>1861</v>
      </c>
      <c r="P1780" s="1">
        <v>10500</v>
      </c>
      <c r="T1780"/>
    </row>
    <row r="1781" spans="9:20">
      <c r="I1781" s="1" t="s">
        <v>50</v>
      </c>
      <c r="J1781" s="1" t="s">
        <v>78</v>
      </c>
      <c r="K1781" s="1" t="s">
        <v>13</v>
      </c>
      <c r="L1781" s="1">
        <v>4</v>
      </c>
      <c r="M1781" s="1">
        <v>4.99</v>
      </c>
      <c r="N1781" s="1" t="s">
        <v>95</v>
      </c>
      <c r="O1781" s="1" t="s">
        <v>1862</v>
      </c>
      <c r="P1781" s="1">
        <v>8600</v>
      </c>
      <c r="T1781"/>
    </row>
    <row r="1782" spans="9:20">
      <c r="I1782" s="1" t="s">
        <v>50</v>
      </c>
      <c r="J1782" s="1" t="s">
        <v>81</v>
      </c>
      <c r="K1782" s="1" t="s">
        <v>13</v>
      </c>
      <c r="L1782" s="1">
        <v>4</v>
      </c>
      <c r="M1782" s="1">
        <v>4.99</v>
      </c>
      <c r="N1782" s="1" t="s">
        <v>95</v>
      </c>
      <c r="O1782" s="1" t="s">
        <v>1863</v>
      </c>
      <c r="P1782" s="1">
        <v>4100</v>
      </c>
      <c r="T1782"/>
    </row>
    <row r="1783" spans="9:20">
      <c r="I1783" s="1" t="s">
        <v>50</v>
      </c>
      <c r="J1783" s="1" t="s">
        <v>84</v>
      </c>
      <c r="K1783" s="1" t="s">
        <v>13</v>
      </c>
      <c r="L1783" s="1">
        <v>4</v>
      </c>
      <c r="M1783" s="1">
        <v>4.99</v>
      </c>
      <c r="N1783" s="1" t="s">
        <v>95</v>
      </c>
      <c r="O1783" s="1" t="s">
        <v>1864</v>
      </c>
      <c r="P1783" s="1">
        <v>1800</v>
      </c>
      <c r="T1783"/>
    </row>
    <row r="1784" spans="9:20">
      <c r="I1784" s="1" t="s">
        <v>50</v>
      </c>
      <c r="J1784" s="1" t="s">
        <v>1</v>
      </c>
      <c r="K1784" s="1" t="s">
        <v>14</v>
      </c>
      <c r="L1784" s="1">
        <v>4</v>
      </c>
      <c r="M1784" s="1">
        <v>4.99</v>
      </c>
      <c r="N1784" s="1" t="s">
        <v>95</v>
      </c>
      <c r="O1784" s="1" t="s">
        <v>1865</v>
      </c>
      <c r="P1784" s="1">
        <v>22500</v>
      </c>
      <c r="T1784"/>
    </row>
    <row r="1785" spans="9:20">
      <c r="I1785" s="1" t="s">
        <v>50</v>
      </c>
      <c r="J1785" s="1" t="s">
        <v>2</v>
      </c>
      <c r="K1785" s="1" t="s">
        <v>14</v>
      </c>
      <c r="L1785" s="1">
        <v>4</v>
      </c>
      <c r="M1785" s="1">
        <v>4.99</v>
      </c>
      <c r="N1785" s="1" t="s">
        <v>95</v>
      </c>
      <c r="O1785" s="1" t="s">
        <v>1866</v>
      </c>
      <c r="P1785" s="1">
        <v>21000</v>
      </c>
      <c r="T1785"/>
    </row>
    <row r="1786" spans="9:20">
      <c r="I1786" s="1" t="s">
        <v>50</v>
      </c>
      <c r="J1786" s="1" t="s">
        <v>3</v>
      </c>
      <c r="K1786" s="1" t="s">
        <v>14</v>
      </c>
      <c r="L1786" s="1">
        <v>4</v>
      </c>
      <c r="M1786" s="1">
        <v>4.99</v>
      </c>
      <c r="N1786" s="1" t="s">
        <v>95</v>
      </c>
      <c r="O1786" s="1" t="s">
        <v>1867</v>
      </c>
      <c r="P1786" s="1">
        <v>19500</v>
      </c>
      <c r="T1786"/>
    </row>
    <row r="1787" spans="9:20">
      <c r="I1787" s="1" t="s">
        <v>50</v>
      </c>
      <c r="J1787" s="1" t="s">
        <v>4</v>
      </c>
      <c r="K1787" s="1" t="s">
        <v>14</v>
      </c>
      <c r="L1787" s="1">
        <v>4</v>
      </c>
      <c r="M1787" s="1">
        <v>4.99</v>
      </c>
      <c r="N1787" s="1" t="s">
        <v>95</v>
      </c>
      <c r="O1787" s="1" t="s">
        <v>1868</v>
      </c>
      <c r="P1787" s="1">
        <v>18500</v>
      </c>
      <c r="T1787"/>
    </row>
    <row r="1788" spans="9:20">
      <c r="I1788" s="1" t="s">
        <v>50</v>
      </c>
      <c r="J1788" s="1" t="s">
        <v>5</v>
      </c>
      <c r="K1788" s="1" t="s">
        <v>14</v>
      </c>
      <c r="L1788" s="1">
        <v>4</v>
      </c>
      <c r="M1788" s="1">
        <v>4.99</v>
      </c>
      <c r="N1788" s="1" t="s">
        <v>95</v>
      </c>
      <c r="O1788" s="1" t="s">
        <v>1869</v>
      </c>
      <c r="P1788" s="1">
        <v>17000</v>
      </c>
      <c r="T1788"/>
    </row>
    <row r="1789" spans="9:20">
      <c r="I1789" s="1" t="s">
        <v>50</v>
      </c>
      <c r="J1789" s="1" t="s">
        <v>6</v>
      </c>
      <c r="K1789" s="1" t="s">
        <v>14</v>
      </c>
      <c r="L1789" s="1">
        <v>4</v>
      </c>
      <c r="M1789" s="1">
        <v>4.99</v>
      </c>
      <c r="N1789" s="1" t="s">
        <v>95</v>
      </c>
      <c r="O1789" s="1" t="s">
        <v>1870</v>
      </c>
      <c r="P1789" s="1">
        <v>15500</v>
      </c>
      <c r="T1789"/>
    </row>
    <row r="1790" spans="9:20">
      <c r="I1790" s="1" t="s">
        <v>50</v>
      </c>
      <c r="J1790" s="1" t="s">
        <v>7</v>
      </c>
      <c r="K1790" s="1" t="s">
        <v>14</v>
      </c>
      <c r="L1790" s="1">
        <v>4</v>
      </c>
      <c r="M1790" s="1">
        <v>4.99</v>
      </c>
      <c r="N1790" s="1" t="s">
        <v>95</v>
      </c>
      <c r="O1790" s="1" t="s">
        <v>1871</v>
      </c>
      <c r="P1790" s="1">
        <v>14000</v>
      </c>
      <c r="T1790"/>
    </row>
    <row r="1791" spans="9:20">
      <c r="I1791" s="1" t="s">
        <v>50</v>
      </c>
      <c r="J1791" s="1" t="s">
        <v>75</v>
      </c>
      <c r="K1791" s="1" t="s">
        <v>14</v>
      </c>
      <c r="L1791" s="1">
        <v>4</v>
      </c>
      <c r="M1791" s="1">
        <v>4.99</v>
      </c>
      <c r="N1791" s="1" t="s">
        <v>95</v>
      </c>
      <c r="O1791" s="1" t="s">
        <v>1872</v>
      </c>
      <c r="P1791" s="1">
        <v>9500</v>
      </c>
      <c r="T1791"/>
    </row>
    <row r="1792" spans="9:20">
      <c r="I1792" s="1" t="s">
        <v>50</v>
      </c>
      <c r="J1792" s="1" t="s">
        <v>78</v>
      </c>
      <c r="K1792" s="1" t="s">
        <v>14</v>
      </c>
      <c r="L1792" s="1">
        <v>4</v>
      </c>
      <c r="M1792" s="1">
        <v>4.99</v>
      </c>
      <c r="N1792" s="1" t="s">
        <v>95</v>
      </c>
      <c r="O1792" s="1" t="s">
        <v>1873</v>
      </c>
      <c r="P1792" s="1">
        <v>7500</v>
      </c>
      <c r="T1792"/>
    </row>
    <row r="1793" spans="9:20">
      <c r="I1793" s="1" t="s">
        <v>50</v>
      </c>
      <c r="J1793" s="1" t="s">
        <v>81</v>
      </c>
      <c r="K1793" s="1" t="s">
        <v>14</v>
      </c>
      <c r="L1793" s="1">
        <v>4</v>
      </c>
      <c r="M1793" s="1">
        <v>4.99</v>
      </c>
      <c r="N1793" s="1" t="s">
        <v>95</v>
      </c>
      <c r="O1793" s="1" t="s">
        <v>1874</v>
      </c>
      <c r="P1793" s="1">
        <v>3900</v>
      </c>
      <c r="T1793"/>
    </row>
    <row r="1794" spans="9:20">
      <c r="I1794" s="1" t="s">
        <v>50</v>
      </c>
      <c r="J1794" s="1" t="s">
        <v>84</v>
      </c>
      <c r="K1794" s="1" t="s">
        <v>14</v>
      </c>
      <c r="L1794" s="1">
        <v>4</v>
      </c>
      <c r="M1794" s="1">
        <v>4.99</v>
      </c>
      <c r="N1794" s="1" t="s">
        <v>95</v>
      </c>
      <c r="O1794" s="1" t="s">
        <v>1875</v>
      </c>
      <c r="P1794" s="1">
        <v>1700</v>
      </c>
      <c r="T1794"/>
    </row>
    <row r="1795" spans="9:20">
      <c r="I1795" s="1" t="s">
        <v>50</v>
      </c>
      <c r="J1795" s="1" t="s">
        <v>1</v>
      </c>
      <c r="K1795" s="1" t="s">
        <v>15</v>
      </c>
      <c r="L1795" s="1">
        <v>4</v>
      </c>
      <c r="M1795" s="1">
        <v>4.99</v>
      </c>
      <c r="N1795" s="1" t="s">
        <v>95</v>
      </c>
      <c r="O1795" s="1" t="s">
        <v>1876</v>
      </c>
      <c r="P1795" s="1">
        <v>18500</v>
      </c>
      <c r="T1795"/>
    </row>
    <row r="1796" spans="9:20">
      <c r="I1796" s="1" t="s">
        <v>50</v>
      </c>
      <c r="J1796" s="1" t="s">
        <v>2</v>
      </c>
      <c r="K1796" s="1" t="s">
        <v>15</v>
      </c>
      <c r="L1796" s="1">
        <v>4</v>
      </c>
      <c r="M1796" s="1">
        <v>4.99</v>
      </c>
      <c r="N1796" s="1" t="s">
        <v>95</v>
      </c>
      <c r="O1796" s="1" t="s">
        <v>1877</v>
      </c>
      <c r="P1796" s="1">
        <v>17500</v>
      </c>
      <c r="T1796"/>
    </row>
    <row r="1797" spans="9:20">
      <c r="I1797" s="1" t="s">
        <v>50</v>
      </c>
      <c r="J1797" s="1" t="s">
        <v>3</v>
      </c>
      <c r="K1797" s="1" t="s">
        <v>15</v>
      </c>
      <c r="L1797" s="1">
        <v>4</v>
      </c>
      <c r="M1797" s="1">
        <v>4.99</v>
      </c>
      <c r="N1797" s="1" t="s">
        <v>95</v>
      </c>
      <c r="O1797" s="1" t="s">
        <v>1878</v>
      </c>
      <c r="P1797" s="1">
        <v>16000</v>
      </c>
      <c r="T1797"/>
    </row>
    <row r="1798" spans="9:20">
      <c r="I1798" s="1" t="s">
        <v>50</v>
      </c>
      <c r="J1798" s="1" t="s">
        <v>4</v>
      </c>
      <c r="K1798" s="1" t="s">
        <v>15</v>
      </c>
      <c r="L1798" s="1">
        <v>4</v>
      </c>
      <c r="M1798" s="1">
        <v>4.99</v>
      </c>
      <c r="N1798" s="1" t="s">
        <v>95</v>
      </c>
      <c r="O1798" s="1" t="s">
        <v>1879</v>
      </c>
      <c r="P1798" s="1">
        <v>15000</v>
      </c>
      <c r="T1798"/>
    </row>
    <row r="1799" spans="9:20">
      <c r="I1799" s="1" t="s">
        <v>50</v>
      </c>
      <c r="J1799" s="1" t="s">
        <v>5</v>
      </c>
      <c r="K1799" s="1" t="s">
        <v>15</v>
      </c>
      <c r="L1799" s="1">
        <v>4</v>
      </c>
      <c r="M1799" s="1">
        <v>4.99</v>
      </c>
      <c r="N1799" s="1" t="s">
        <v>95</v>
      </c>
      <c r="O1799" s="1" t="s">
        <v>1880</v>
      </c>
      <c r="P1799" s="1">
        <v>14000</v>
      </c>
      <c r="T1799"/>
    </row>
    <row r="1800" spans="9:20">
      <c r="I1800" s="1" t="s">
        <v>50</v>
      </c>
      <c r="J1800" s="1" t="s">
        <v>6</v>
      </c>
      <c r="K1800" s="1" t="s">
        <v>15</v>
      </c>
      <c r="L1800" s="1">
        <v>4</v>
      </c>
      <c r="M1800" s="1">
        <v>4.99</v>
      </c>
      <c r="N1800" s="1" t="s">
        <v>95</v>
      </c>
      <c r="O1800" s="1" t="s">
        <v>1881</v>
      </c>
      <c r="P1800" s="1">
        <v>13000</v>
      </c>
      <c r="T1800"/>
    </row>
    <row r="1801" spans="9:20">
      <c r="I1801" s="1" t="s">
        <v>50</v>
      </c>
      <c r="J1801" s="1" t="s">
        <v>7</v>
      </c>
      <c r="K1801" s="1" t="s">
        <v>15</v>
      </c>
      <c r="L1801" s="1">
        <v>4</v>
      </c>
      <c r="M1801" s="1">
        <v>4.99</v>
      </c>
      <c r="N1801" s="1" t="s">
        <v>95</v>
      </c>
      <c r="O1801" s="1" t="s">
        <v>1882</v>
      </c>
      <c r="P1801" s="1">
        <v>12000</v>
      </c>
      <c r="T1801"/>
    </row>
    <row r="1802" spans="9:20">
      <c r="I1802" s="1" t="s">
        <v>50</v>
      </c>
      <c r="J1802" s="1" t="s">
        <v>75</v>
      </c>
      <c r="K1802" s="1" t="s">
        <v>15</v>
      </c>
      <c r="L1802" s="1">
        <v>4</v>
      </c>
      <c r="M1802" s="1">
        <v>4.99</v>
      </c>
      <c r="N1802" s="1" t="s">
        <v>95</v>
      </c>
      <c r="O1802" s="1" t="s">
        <v>1883</v>
      </c>
      <c r="P1802" s="1">
        <v>8300</v>
      </c>
      <c r="T1802"/>
    </row>
    <row r="1803" spans="9:20">
      <c r="I1803" s="1" t="s">
        <v>50</v>
      </c>
      <c r="J1803" s="1" t="s">
        <v>78</v>
      </c>
      <c r="K1803" s="1" t="s">
        <v>15</v>
      </c>
      <c r="L1803" s="1">
        <v>4</v>
      </c>
      <c r="M1803" s="1">
        <v>4.99</v>
      </c>
      <c r="N1803" s="1" t="s">
        <v>95</v>
      </c>
      <c r="O1803" s="1" t="s">
        <v>1884</v>
      </c>
      <c r="P1803" s="1">
        <v>6600</v>
      </c>
      <c r="T1803"/>
    </row>
    <row r="1804" spans="9:20">
      <c r="I1804" s="1" t="s">
        <v>50</v>
      </c>
      <c r="J1804" s="1" t="s">
        <v>81</v>
      </c>
      <c r="K1804" s="1" t="s">
        <v>15</v>
      </c>
      <c r="L1804" s="1">
        <v>4</v>
      </c>
      <c r="M1804" s="1">
        <v>4.99</v>
      </c>
      <c r="N1804" s="1" t="s">
        <v>95</v>
      </c>
      <c r="O1804" s="1" t="s">
        <v>1885</v>
      </c>
      <c r="P1804" s="1">
        <v>3600</v>
      </c>
      <c r="T1804"/>
    </row>
    <row r="1805" spans="9:20">
      <c r="I1805" s="1" t="s">
        <v>50</v>
      </c>
      <c r="J1805" s="1" t="s">
        <v>84</v>
      </c>
      <c r="K1805" s="1" t="s">
        <v>15</v>
      </c>
      <c r="L1805" s="1">
        <v>4</v>
      </c>
      <c r="M1805" s="1">
        <v>4.99</v>
      </c>
      <c r="N1805" s="1" t="s">
        <v>95</v>
      </c>
      <c r="O1805" s="1" t="s">
        <v>1886</v>
      </c>
      <c r="P1805" s="1">
        <v>1700</v>
      </c>
      <c r="T1805"/>
    </row>
    <row r="1806" spans="9:20">
      <c r="I1806" s="1" t="s">
        <v>50</v>
      </c>
      <c r="J1806" s="1" t="s">
        <v>1</v>
      </c>
      <c r="K1806" s="1" t="s">
        <v>16</v>
      </c>
      <c r="L1806" s="1">
        <v>4</v>
      </c>
      <c r="M1806" s="1">
        <v>4.99</v>
      </c>
      <c r="N1806" s="1" t="s">
        <v>95</v>
      </c>
      <c r="O1806" s="1" t="s">
        <v>1887</v>
      </c>
      <c r="P1806" s="1">
        <v>15000</v>
      </c>
      <c r="T1806"/>
    </row>
    <row r="1807" spans="9:20">
      <c r="I1807" s="1" t="s">
        <v>50</v>
      </c>
      <c r="J1807" s="1" t="s">
        <v>2</v>
      </c>
      <c r="K1807" s="1" t="s">
        <v>16</v>
      </c>
      <c r="L1807" s="1">
        <v>4</v>
      </c>
      <c r="M1807" s="1">
        <v>4.99</v>
      </c>
      <c r="N1807" s="1" t="s">
        <v>95</v>
      </c>
      <c r="O1807" s="1" t="s">
        <v>1888</v>
      </c>
      <c r="P1807" s="1">
        <v>14000</v>
      </c>
      <c r="T1807"/>
    </row>
    <row r="1808" spans="9:20">
      <c r="I1808" s="1" t="s">
        <v>50</v>
      </c>
      <c r="J1808" s="1" t="s">
        <v>3</v>
      </c>
      <c r="K1808" s="1" t="s">
        <v>16</v>
      </c>
      <c r="L1808" s="1">
        <v>4</v>
      </c>
      <c r="M1808" s="1">
        <v>4.99</v>
      </c>
      <c r="N1808" s="1" t="s">
        <v>95</v>
      </c>
      <c r="O1808" s="1" t="s">
        <v>1889</v>
      </c>
      <c r="P1808" s="1">
        <v>13000</v>
      </c>
      <c r="T1808"/>
    </row>
    <row r="1809" spans="9:20">
      <c r="I1809" s="1" t="s">
        <v>50</v>
      </c>
      <c r="J1809" s="1" t="s">
        <v>4</v>
      </c>
      <c r="K1809" s="1" t="s">
        <v>16</v>
      </c>
      <c r="L1809" s="1">
        <v>4</v>
      </c>
      <c r="M1809" s="1">
        <v>4.99</v>
      </c>
      <c r="N1809" s="1" t="s">
        <v>95</v>
      </c>
      <c r="O1809" s="1" t="s">
        <v>1890</v>
      </c>
      <c r="P1809" s="1">
        <v>12000</v>
      </c>
      <c r="T1809"/>
    </row>
    <row r="1810" spans="9:20">
      <c r="I1810" s="1" t="s">
        <v>50</v>
      </c>
      <c r="J1810" s="1" t="s">
        <v>5</v>
      </c>
      <c r="K1810" s="1" t="s">
        <v>16</v>
      </c>
      <c r="L1810" s="1">
        <v>4</v>
      </c>
      <c r="M1810" s="1">
        <v>4.99</v>
      </c>
      <c r="N1810" s="1" t="s">
        <v>95</v>
      </c>
      <c r="O1810" s="1" t="s">
        <v>1891</v>
      </c>
      <c r="P1810" s="1">
        <v>11500</v>
      </c>
      <c r="T1810"/>
    </row>
    <row r="1811" spans="9:20">
      <c r="I1811" s="1" t="s">
        <v>50</v>
      </c>
      <c r="J1811" s="1" t="s">
        <v>6</v>
      </c>
      <c r="K1811" s="1" t="s">
        <v>16</v>
      </c>
      <c r="L1811" s="1">
        <v>4</v>
      </c>
      <c r="M1811" s="1">
        <v>4.99</v>
      </c>
      <c r="N1811" s="1" t="s">
        <v>95</v>
      </c>
      <c r="O1811" s="1" t="s">
        <v>1892</v>
      </c>
      <c r="P1811" s="1">
        <v>10500</v>
      </c>
      <c r="T1811"/>
    </row>
    <row r="1812" spans="9:20">
      <c r="I1812" s="1" t="s">
        <v>50</v>
      </c>
      <c r="J1812" s="1" t="s">
        <v>7</v>
      </c>
      <c r="K1812" s="1" t="s">
        <v>16</v>
      </c>
      <c r="L1812" s="1">
        <v>4</v>
      </c>
      <c r="M1812" s="1">
        <v>4.99</v>
      </c>
      <c r="N1812" s="1" t="s">
        <v>95</v>
      </c>
      <c r="O1812" s="1" t="s">
        <v>1893</v>
      </c>
      <c r="P1812" s="1">
        <v>10000</v>
      </c>
      <c r="T1812"/>
    </row>
    <row r="1813" spans="9:20">
      <c r="I1813" s="1" t="s">
        <v>50</v>
      </c>
      <c r="J1813" s="1" t="s">
        <v>75</v>
      </c>
      <c r="K1813" s="1" t="s">
        <v>16</v>
      </c>
      <c r="L1813" s="1">
        <v>4</v>
      </c>
      <c r="M1813" s="1">
        <v>4.99</v>
      </c>
      <c r="N1813" s="1" t="s">
        <v>95</v>
      </c>
      <c r="O1813" s="1" t="s">
        <v>1894</v>
      </c>
      <c r="P1813" s="1">
        <v>7300</v>
      </c>
      <c r="T1813"/>
    </row>
    <row r="1814" spans="9:20">
      <c r="I1814" s="1" t="s">
        <v>50</v>
      </c>
      <c r="J1814" s="1" t="s">
        <v>78</v>
      </c>
      <c r="K1814" s="1" t="s">
        <v>16</v>
      </c>
      <c r="L1814" s="1">
        <v>4</v>
      </c>
      <c r="M1814" s="1">
        <v>4.99</v>
      </c>
      <c r="N1814" s="1" t="s">
        <v>95</v>
      </c>
      <c r="O1814" s="1" t="s">
        <v>1895</v>
      </c>
      <c r="P1814" s="1">
        <v>5900</v>
      </c>
      <c r="T1814"/>
    </row>
    <row r="1815" spans="9:20">
      <c r="I1815" s="1" t="s">
        <v>50</v>
      </c>
      <c r="J1815" s="1" t="s">
        <v>81</v>
      </c>
      <c r="K1815" s="1" t="s">
        <v>16</v>
      </c>
      <c r="L1815" s="1">
        <v>4</v>
      </c>
      <c r="M1815" s="1">
        <v>4.99</v>
      </c>
      <c r="N1815" s="1" t="s">
        <v>95</v>
      </c>
      <c r="O1815" s="1" t="s">
        <v>1896</v>
      </c>
      <c r="P1815" s="1">
        <v>3400</v>
      </c>
      <c r="T1815"/>
    </row>
    <row r="1816" spans="9:20">
      <c r="I1816" s="1" t="s">
        <v>50</v>
      </c>
      <c r="J1816" s="1" t="s">
        <v>84</v>
      </c>
      <c r="K1816" s="1" t="s">
        <v>16</v>
      </c>
      <c r="L1816" s="1">
        <v>4</v>
      </c>
      <c r="M1816" s="1">
        <v>4.99</v>
      </c>
      <c r="N1816" s="1" t="s">
        <v>95</v>
      </c>
      <c r="O1816" s="1" t="s">
        <v>1897</v>
      </c>
      <c r="P1816" s="1">
        <v>1600</v>
      </c>
      <c r="T1816"/>
    </row>
    <row r="1817" spans="9:20">
      <c r="I1817" s="1" t="s">
        <v>50</v>
      </c>
      <c r="J1817" s="1" t="s">
        <v>1</v>
      </c>
      <c r="K1817" s="1" t="s">
        <v>17</v>
      </c>
      <c r="L1817" s="1">
        <v>4</v>
      </c>
      <c r="M1817" s="1">
        <v>4.99</v>
      </c>
      <c r="N1817" s="1" t="s">
        <v>95</v>
      </c>
      <c r="O1817" s="1" t="s">
        <v>1898</v>
      </c>
      <c r="P1817" s="1">
        <v>12500</v>
      </c>
      <c r="T1817"/>
    </row>
    <row r="1818" spans="9:20">
      <c r="I1818" s="1" t="s">
        <v>50</v>
      </c>
      <c r="J1818" s="1" t="s">
        <v>2</v>
      </c>
      <c r="K1818" s="1" t="s">
        <v>17</v>
      </c>
      <c r="L1818" s="1">
        <v>4</v>
      </c>
      <c r="M1818" s="1">
        <v>4.99</v>
      </c>
      <c r="N1818" s="1" t="s">
        <v>95</v>
      </c>
      <c r="O1818" s="1" t="s">
        <v>1899</v>
      </c>
      <c r="P1818" s="1">
        <v>11500</v>
      </c>
      <c r="T1818"/>
    </row>
    <row r="1819" spans="9:20">
      <c r="I1819" s="1" t="s">
        <v>50</v>
      </c>
      <c r="J1819" s="1" t="s">
        <v>3</v>
      </c>
      <c r="K1819" s="1" t="s">
        <v>17</v>
      </c>
      <c r="L1819" s="1">
        <v>4</v>
      </c>
      <c r="M1819" s="1">
        <v>4.99</v>
      </c>
      <c r="N1819" s="1" t="s">
        <v>95</v>
      </c>
      <c r="O1819" s="1" t="s">
        <v>1900</v>
      </c>
      <c r="P1819" s="1">
        <v>10500</v>
      </c>
      <c r="T1819"/>
    </row>
    <row r="1820" spans="9:20">
      <c r="I1820" s="1" t="s">
        <v>50</v>
      </c>
      <c r="J1820" s="1" t="s">
        <v>4</v>
      </c>
      <c r="K1820" s="1" t="s">
        <v>17</v>
      </c>
      <c r="L1820" s="1">
        <v>4</v>
      </c>
      <c r="M1820" s="1">
        <v>4.99</v>
      </c>
      <c r="N1820" s="1" t="s">
        <v>95</v>
      </c>
      <c r="O1820" s="1" t="s">
        <v>1901</v>
      </c>
      <c r="P1820" s="1">
        <v>10000</v>
      </c>
      <c r="T1820"/>
    </row>
    <row r="1821" spans="9:20">
      <c r="I1821" s="1" t="s">
        <v>50</v>
      </c>
      <c r="J1821" s="1" t="s">
        <v>5</v>
      </c>
      <c r="K1821" s="1" t="s">
        <v>17</v>
      </c>
      <c r="L1821" s="1">
        <v>4</v>
      </c>
      <c r="M1821" s="1">
        <v>4.99</v>
      </c>
      <c r="N1821" s="1" t="s">
        <v>95</v>
      </c>
      <c r="O1821" s="1" t="s">
        <v>1902</v>
      </c>
      <c r="P1821" s="1">
        <v>9500</v>
      </c>
      <c r="T1821"/>
    </row>
    <row r="1822" spans="9:20">
      <c r="I1822" s="1" t="s">
        <v>50</v>
      </c>
      <c r="J1822" s="1" t="s">
        <v>6</v>
      </c>
      <c r="K1822" s="1" t="s">
        <v>17</v>
      </c>
      <c r="L1822" s="1">
        <v>4</v>
      </c>
      <c r="M1822" s="1">
        <v>4.99</v>
      </c>
      <c r="N1822" s="1" t="s">
        <v>95</v>
      </c>
      <c r="O1822" s="1" t="s">
        <v>1903</v>
      </c>
      <c r="P1822" s="1">
        <v>9000</v>
      </c>
      <c r="T1822"/>
    </row>
    <row r="1823" spans="9:20">
      <c r="I1823" s="1" t="s">
        <v>50</v>
      </c>
      <c r="J1823" s="1" t="s">
        <v>7</v>
      </c>
      <c r="K1823" s="1" t="s">
        <v>17</v>
      </c>
      <c r="L1823" s="1">
        <v>4</v>
      </c>
      <c r="M1823" s="1">
        <v>4.99</v>
      </c>
      <c r="N1823" s="1" t="s">
        <v>95</v>
      </c>
      <c r="O1823" s="1" t="s">
        <v>1904</v>
      </c>
      <c r="P1823" s="1">
        <v>8000</v>
      </c>
      <c r="T1823"/>
    </row>
    <row r="1824" spans="9:20">
      <c r="I1824" s="1" t="s">
        <v>50</v>
      </c>
      <c r="J1824" s="1" t="s">
        <v>75</v>
      </c>
      <c r="K1824" s="1" t="s">
        <v>17</v>
      </c>
      <c r="L1824" s="1">
        <v>4</v>
      </c>
      <c r="M1824" s="1">
        <v>4.99</v>
      </c>
      <c r="N1824" s="1" t="s">
        <v>95</v>
      </c>
      <c r="O1824" s="1" t="s">
        <v>1905</v>
      </c>
      <c r="P1824" s="1">
        <v>6500</v>
      </c>
      <c r="T1824"/>
    </row>
    <row r="1825" spans="9:20">
      <c r="I1825" s="1" t="s">
        <v>50</v>
      </c>
      <c r="J1825" s="1" t="s">
        <v>78</v>
      </c>
      <c r="K1825" s="1" t="s">
        <v>17</v>
      </c>
      <c r="L1825" s="1">
        <v>4</v>
      </c>
      <c r="M1825" s="1">
        <v>4.99</v>
      </c>
      <c r="N1825" s="1" t="s">
        <v>95</v>
      </c>
      <c r="O1825" s="1" t="s">
        <v>1906</v>
      </c>
      <c r="P1825" s="1">
        <v>5000</v>
      </c>
      <c r="T1825"/>
    </row>
    <row r="1826" spans="9:20">
      <c r="I1826" s="1" t="s">
        <v>50</v>
      </c>
      <c r="J1826" s="1" t="s">
        <v>81</v>
      </c>
      <c r="K1826" s="1" t="s">
        <v>17</v>
      </c>
      <c r="L1826" s="1">
        <v>4</v>
      </c>
      <c r="M1826" s="1">
        <v>4.99</v>
      </c>
      <c r="N1826" s="1" t="s">
        <v>95</v>
      </c>
      <c r="O1826" s="1" t="s">
        <v>1907</v>
      </c>
      <c r="P1826" s="1">
        <v>3200</v>
      </c>
      <c r="T1826"/>
    </row>
    <row r="1827" spans="9:20">
      <c r="I1827" s="1" t="s">
        <v>50</v>
      </c>
      <c r="J1827" s="1" t="s">
        <v>84</v>
      </c>
      <c r="K1827" s="1" t="s">
        <v>17</v>
      </c>
      <c r="L1827" s="1">
        <v>4</v>
      </c>
      <c r="M1827" s="1">
        <v>4.99</v>
      </c>
      <c r="N1827" s="1" t="s">
        <v>95</v>
      </c>
      <c r="O1827" s="1" t="s">
        <v>1908</v>
      </c>
      <c r="P1827" s="1">
        <v>1600</v>
      </c>
      <c r="T1827"/>
    </row>
    <row r="1828" spans="9:20">
      <c r="I1828" s="1" t="s">
        <v>50</v>
      </c>
      <c r="J1828" s="1" t="s">
        <v>1</v>
      </c>
      <c r="K1828" s="1" t="s">
        <v>8</v>
      </c>
      <c r="L1828" s="1">
        <v>5</v>
      </c>
      <c r="M1828" s="1">
        <v>5.99</v>
      </c>
      <c r="N1828" s="1" t="s">
        <v>97</v>
      </c>
      <c r="O1828" s="1" t="s">
        <v>1909</v>
      </c>
      <c r="P1828" s="1">
        <v>100000</v>
      </c>
      <c r="T1828"/>
    </row>
    <row r="1829" spans="9:20">
      <c r="I1829" s="1" t="s">
        <v>50</v>
      </c>
      <c r="J1829" s="1" t="s">
        <v>2</v>
      </c>
      <c r="K1829" s="1" t="s">
        <v>8</v>
      </c>
      <c r="L1829" s="1">
        <v>5</v>
      </c>
      <c r="M1829" s="1">
        <v>5.99</v>
      </c>
      <c r="N1829" s="1" t="s">
        <v>97</v>
      </c>
      <c r="O1829" s="1" t="s">
        <v>1910</v>
      </c>
      <c r="P1829" s="1">
        <v>85500</v>
      </c>
      <c r="T1829"/>
    </row>
    <row r="1830" spans="9:20">
      <c r="I1830" s="1" t="s">
        <v>50</v>
      </c>
      <c r="J1830" s="1" t="s">
        <v>3</v>
      </c>
      <c r="K1830" s="1" t="s">
        <v>8</v>
      </c>
      <c r="L1830" s="1">
        <v>5</v>
      </c>
      <c r="M1830" s="1">
        <v>5.99</v>
      </c>
      <c r="N1830" s="1" t="s">
        <v>97</v>
      </c>
      <c r="O1830" s="1" t="s">
        <v>1911</v>
      </c>
      <c r="P1830" s="1">
        <v>77000</v>
      </c>
      <c r="T1830"/>
    </row>
    <row r="1831" spans="9:20">
      <c r="I1831" s="1" t="s">
        <v>50</v>
      </c>
      <c r="J1831" s="1" t="s">
        <v>4</v>
      </c>
      <c r="K1831" s="1" t="s">
        <v>8</v>
      </c>
      <c r="L1831" s="1">
        <v>5</v>
      </c>
      <c r="M1831" s="1">
        <v>5.99</v>
      </c>
      <c r="N1831" s="1" t="s">
        <v>97</v>
      </c>
      <c r="O1831" s="1" t="s">
        <v>1912</v>
      </c>
      <c r="P1831" s="1">
        <v>69000</v>
      </c>
      <c r="T1831"/>
    </row>
    <row r="1832" spans="9:20">
      <c r="I1832" s="1" t="s">
        <v>50</v>
      </c>
      <c r="J1832" s="1" t="s">
        <v>5</v>
      </c>
      <c r="K1832" s="1" t="s">
        <v>8</v>
      </c>
      <c r="L1832" s="1">
        <v>5</v>
      </c>
      <c r="M1832" s="1">
        <v>5.99</v>
      </c>
      <c r="N1832" s="1" t="s">
        <v>97</v>
      </c>
      <c r="O1832" s="1" t="s">
        <v>1913</v>
      </c>
      <c r="P1832" s="1">
        <v>58000</v>
      </c>
      <c r="T1832"/>
    </row>
    <row r="1833" spans="9:20">
      <c r="I1833" s="1" t="s">
        <v>50</v>
      </c>
      <c r="J1833" s="1" t="s">
        <v>6</v>
      </c>
      <c r="K1833" s="1" t="s">
        <v>8</v>
      </c>
      <c r="L1833" s="1">
        <v>5</v>
      </c>
      <c r="M1833" s="1">
        <v>5.99</v>
      </c>
      <c r="N1833" s="1" t="s">
        <v>97</v>
      </c>
      <c r="O1833" s="1" t="s">
        <v>1914</v>
      </c>
      <c r="P1833" s="1">
        <v>43000</v>
      </c>
      <c r="T1833"/>
    </row>
    <row r="1834" spans="9:20">
      <c r="I1834" s="1" t="s">
        <v>50</v>
      </c>
      <c r="J1834" s="1" t="s">
        <v>7</v>
      </c>
      <c r="K1834" s="1" t="s">
        <v>8</v>
      </c>
      <c r="L1834" s="1">
        <v>5</v>
      </c>
      <c r="M1834" s="1">
        <v>5.99</v>
      </c>
      <c r="N1834" s="1" t="s">
        <v>97</v>
      </c>
      <c r="O1834" s="1" t="s">
        <v>1915</v>
      </c>
      <c r="P1834" s="1">
        <v>31500</v>
      </c>
      <c r="T1834"/>
    </row>
    <row r="1835" spans="9:20">
      <c r="I1835" s="1" t="s">
        <v>50</v>
      </c>
      <c r="J1835" s="1" t="s">
        <v>75</v>
      </c>
      <c r="K1835" s="1" t="s">
        <v>8</v>
      </c>
      <c r="L1835" s="1">
        <v>5</v>
      </c>
      <c r="M1835" s="1">
        <v>5.99</v>
      </c>
      <c r="N1835" s="1" t="s">
        <v>97</v>
      </c>
      <c r="O1835" s="1" t="s">
        <v>1916</v>
      </c>
      <c r="P1835" s="1">
        <v>17500</v>
      </c>
      <c r="T1835"/>
    </row>
    <row r="1836" spans="9:20">
      <c r="I1836" s="1" t="s">
        <v>50</v>
      </c>
      <c r="J1836" s="1" t="s">
        <v>78</v>
      </c>
      <c r="K1836" s="1" t="s">
        <v>8</v>
      </c>
      <c r="L1836" s="1">
        <v>5</v>
      </c>
      <c r="M1836" s="1">
        <v>5.99</v>
      </c>
      <c r="N1836" s="1" t="s">
        <v>97</v>
      </c>
      <c r="O1836" s="1" t="s">
        <v>1917</v>
      </c>
      <c r="P1836" s="1">
        <v>12500</v>
      </c>
      <c r="T1836"/>
    </row>
    <row r="1837" spans="9:20">
      <c r="I1837" s="1" t="s">
        <v>50</v>
      </c>
      <c r="J1837" s="1" t="s">
        <v>81</v>
      </c>
      <c r="K1837" s="1" t="s">
        <v>8</v>
      </c>
      <c r="L1837" s="1">
        <v>5</v>
      </c>
      <c r="M1837" s="1">
        <v>5.99</v>
      </c>
      <c r="N1837" s="1" t="s">
        <v>97</v>
      </c>
      <c r="O1837" s="1" t="s">
        <v>1918</v>
      </c>
      <c r="P1837" s="1">
        <v>6000</v>
      </c>
      <c r="T1837"/>
    </row>
    <row r="1838" spans="9:20">
      <c r="I1838" s="1" t="s">
        <v>50</v>
      </c>
      <c r="J1838" s="1" t="s">
        <v>84</v>
      </c>
      <c r="K1838" s="1" t="s">
        <v>8</v>
      </c>
      <c r="L1838" s="1">
        <v>5</v>
      </c>
      <c r="M1838" s="1">
        <v>5.99</v>
      </c>
      <c r="N1838" s="1" t="s">
        <v>97</v>
      </c>
      <c r="O1838" s="1" t="s">
        <v>1919</v>
      </c>
      <c r="P1838" s="1">
        <v>2500</v>
      </c>
      <c r="T1838"/>
    </row>
    <row r="1839" spans="9:20">
      <c r="I1839" s="1" t="s">
        <v>50</v>
      </c>
      <c r="J1839" s="1" t="s">
        <v>1</v>
      </c>
      <c r="K1839" s="1" t="s">
        <v>9</v>
      </c>
      <c r="L1839" s="1">
        <v>5</v>
      </c>
      <c r="M1839" s="1">
        <v>5.99</v>
      </c>
      <c r="N1839" s="1" t="s">
        <v>97</v>
      </c>
      <c r="O1839" s="1" t="s">
        <v>1920</v>
      </c>
      <c r="P1839" s="1">
        <v>83500</v>
      </c>
      <c r="T1839"/>
    </row>
    <row r="1840" spans="9:20">
      <c r="I1840" s="1" t="s">
        <v>50</v>
      </c>
      <c r="J1840" s="1" t="s">
        <v>2</v>
      </c>
      <c r="K1840" s="1" t="s">
        <v>9</v>
      </c>
      <c r="L1840" s="1">
        <v>5</v>
      </c>
      <c r="M1840" s="1">
        <v>5.99</v>
      </c>
      <c r="N1840" s="1" t="s">
        <v>97</v>
      </c>
      <c r="O1840" s="1" t="s">
        <v>1921</v>
      </c>
      <c r="P1840" s="1">
        <v>75000</v>
      </c>
      <c r="T1840"/>
    </row>
    <row r="1841" spans="9:20">
      <c r="I1841" s="1" t="s">
        <v>50</v>
      </c>
      <c r="J1841" s="1" t="s">
        <v>3</v>
      </c>
      <c r="K1841" s="1" t="s">
        <v>9</v>
      </c>
      <c r="L1841" s="1">
        <v>5</v>
      </c>
      <c r="M1841" s="1">
        <v>5.99</v>
      </c>
      <c r="N1841" s="1" t="s">
        <v>97</v>
      </c>
      <c r="O1841" s="1" t="s">
        <v>1922</v>
      </c>
      <c r="P1841" s="1">
        <v>67000</v>
      </c>
      <c r="T1841"/>
    </row>
    <row r="1842" spans="9:20">
      <c r="I1842" s="1" t="s">
        <v>50</v>
      </c>
      <c r="J1842" s="1" t="s">
        <v>4</v>
      </c>
      <c r="K1842" s="1" t="s">
        <v>9</v>
      </c>
      <c r="L1842" s="1">
        <v>5</v>
      </c>
      <c r="M1842" s="1">
        <v>5.99</v>
      </c>
      <c r="N1842" s="1" t="s">
        <v>97</v>
      </c>
      <c r="O1842" s="1" t="s">
        <v>1923</v>
      </c>
      <c r="P1842" s="1">
        <v>59500</v>
      </c>
      <c r="T1842"/>
    </row>
    <row r="1843" spans="9:20">
      <c r="I1843" s="1" t="s">
        <v>50</v>
      </c>
      <c r="J1843" s="1" t="s">
        <v>5</v>
      </c>
      <c r="K1843" s="1" t="s">
        <v>9</v>
      </c>
      <c r="L1843" s="1">
        <v>5</v>
      </c>
      <c r="M1843" s="1">
        <v>5.99</v>
      </c>
      <c r="N1843" s="1" t="s">
        <v>97</v>
      </c>
      <c r="O1843" s="1" t="s">
        <v>1924</v>
      </c>
      <c r="P1843" s="1">
        <v>52000</v>
      </c>
      <c r="T1843"/>
    </row>
    <row r="1844" spans="9:20">
      <c r="I1844" s="1" t="s">
        <v>50</v>
      </c>
      <c r="J1844" s="1" t="s">
        <v>6</v>
      </c>
      <c r="K1844" s="1" t="s">
        <v>9</v>
      </c>
      <c r="L1844" s="1">
        <v>5</v>
      </c>
      <c r="M1844" s="1">
        <v>5.99</v>
      </c>
      <c r="N1844" s="1" t="s">
        <v>97</v>
      </c>
      <c r="O1844" s="1" t="s">
        <v>1925</v>
      </c>
      <c r="P1844" s="1">
        <v>39500</v>
      </c>
      <c r="T1844"/>
    </row>
    <row r="1845" spans="9:20">
      <c r="I1845" s="1" t="s">
        <v>50</v>
      </c>
      <c r="J1845" s="1" t="s">
        <v>7</v>
      </c>
      <c r="K1845" s="1" t="s">
        <v>9</v>
      </c>
      <c r="L1845" s="1">
        <v>5</v>
      </c>
      <c r="M1845" s="1">
        <v>5.99</v>
      </c>
      <c r="N1845" s="1" t="s">
        <v>97</v>
      </c>
      <c r="O1845" s="1" t="s">
        <v>1926</v>
      </c>
      <c r="P1845" s="1">
        <v>29500</v>
      </c>
      <c r="T1845"/>
    </row>
    <row r="1846" spans="9:20">
      <c r="I1846" s="1" t="s">
        <v>50</v>
      </c>
      <c r="J1846" s="1" t="s">
        <v>75</v>
      </c>
      <c r="K1846" s="1" t="s">
        <v>9</v>
      </c>
      <c r="L1846" s="1">
        <v>5</v>
      </c>
      <c r="M1846" s="1">
        <v>5.99</v>
      </c>
      <c r="N1846" s="1" t="s">
        <v>97</v>
      </c>
      <c r="O1846" s="1" t="s">
        <v>1927</v>
      </c>
      <c r="P1846" s="1">
        <v>17000</v>
      </c>
      <c r="T1846"/>
    </row>
    <row r="1847" spans="9:20">
      <c r="I1847" s="1" t="s">
        <v>50</v>
      </c>
      <c r="J1847" s="1" t="s">
        <v>78</v>
      </c>
      <c r="K1847" s="1" t="s">
        <v>9</v>
      </c>
      <c r="L1847" s="1">
        <v>5</v>
      </c>
      <c r="M1847" s="1">
        <v>5.99</v>
      </c>
      <c r="N1847" s="1" t="s">
        <v>97</v>
      </c>
      <c r="O1847" s="1" t="s">
        <v>1928</v>
      </c>
      <c r="P1847" s="1">
        <v>12000</v>
      </c>
      <c r="T1847"/>
    </row>
    <row r="1848" spans="9:20">
      <c r="I1848" s="1" t="s">
        <v>50</v>
      </c>
      <c r="J1848" s="1" t="s">
        <v>81</v>
      </c>
      <c r="K1848" s="1" t="s">
        <v>9</v>
      </c>
      <c r="L1848" s="1">
        <v>5</v>
      </c>
      <c r="M1848" s="1">
        <v>5.99</v>
      </c>
      <c r="N1848" s="1" t="s">
        <v>97</v>
      </c>
      <c r="O1848" s="1" t="s">
        <v>1929</v>
      </c>
      <c r="P1848" s="1">
        <v>5700</v>
      </c>
      <c r="T1848"/>
    </row>
    <row r="1849" spans="9:20">
      <c r="I1849" s="1" t="s">
        <v>50</v>
      </c>
      <c r="J1849" s="1" t="s">
        <v>84</v>
      </c>
      <c r="K1849" s="1" t="s">
        <v>9</v>
      </c>
      <c r="L1849" s="1">
        <v>5</v>
      </c>
      <c r="M1849" s="1">
        <v>5.99</v>
      </c>
      <c r="N1849" s="1" t="s">
        <v>97</v>
      </c>
      <c r="O1849" s="1" t="s">
        <v>1930</v>
      </c>
      <c r="P1849" s="1">
        <v>2300</v>
      </c>
      <c r="T1849"/>
    </row>
    <row r="1850" spans="9:20">
      <c r="I1850" s="1" t="s">
        <v>50</v>
      </c>
      <c r="J1850" s="1" t="s">
        <v>1</v>
      </c>
      <c r="K1850" s="1" t="s">
        <v>10</v>
      </c>
      <c r="L1850" s="1">
        <v>5</v>
      </c>
      <c r="M1850" s="1">
        <v>5.99</v>
      </c>
      <c r="N1850" s="1" t="s">
        <v>97</v>
      </c>
      <c r="O1850" s="1" t="s">
        <v>1931</v>
      </c>
      <c r="P1850" s="1">
        <v>73000</v>
      </c>
      <c r="T1850"/>
    </row>
    <row r="1851" spans="9:20">
      <c r="I1851" s="1" t="s">
        <v>50</v>
      </c>
      <c r="J1851" s="1" t="s">
        <v>2</v>
      </c>
      <c r="K1851" s="1" t="s">
        <v>10</v>
      </c>
      <c r="L1851" s="1">
        <v>5</v>
      </c>
      <c r="M1851" s="1">
        <v>5.99</v>
      </c>
      <c r="N1851" s="1" t="s">
        <v>97</v>
      </c>
      <c r="O1851" s="1" t="s">
        <v>1932</v>
      </c>
      <c r="P1851" s="1">
        <v>67000</v>
      </c>
      <c r="T1851"/>
    </row>
    <row r="1852" spans="9:20">
      <c r="I1852" s="1" t="s">
        <v>50</v>
      </c>
      <c r="J1852" s="1" t="s">
        <v>3</v>
      </c>
      <c r="K1852" s="1" t="s">
        <v>10</v>
      </c>
      <c r="L1852" s="1">
        <v>5</v>
      </c>
      <c r="M1852" s="1">
        <v>5.99</v>
      </c>
      <c r="N1852" s="1" t="s">
        <v>97</v>
      </c>
      <c r="O1852" s="1" t="s">
        <v>1933</v>
      </c>
      <c r="P1852" s="1">
        <v>59500</v>
      </c>
      <c r="T1852"/>
    </row>
    <row r="1853" spans="9:20">
      <c r="I1853" s="1" t="s">
        <v>50</v>
      </c>
      <c r="J1853" s="1" t="s">
        <v>4</v>
      </c>
      <c r="K1853" s="1" t="s">
        <v>10</v>
      </c>
      <c r="L1853" s="1">
        <v>5</v>
      </c>
      <c r="M1853" s="1">
        <v>5.99</v>
      </c>
      <c r="N1853" s="1" t="s">
        <v>97</v>
      </c>
      <c r="O1853" s="1" t="s">
        <v>1934</v>
      </c>
      <c r="P1853" s="1">
        <v>54000</v>
      </c>
      <c r="T1853"/>
    </row>
    <row r="1854" spans="9:20">
      <c r="I1854" s="1" t="s">
        <v>50</v>
      </c>
      <c r="J1854" s="1" t="s">
        <v>5</v>
      </c>
      <c r="K1854" s="1" t="s">
        <v>10</v>
      </c>
      <c r="L1854" s="1">
        <v>5</v>
      </c>
      <c r="M1854" s="1">
        <v>5.99</v>
      </c>
      <c r="N1854" s="1" t="s">
        <v>97</v>
      </c>
      <c r="O1854" s="1" t="s">
        <v>1935</v>
      </c>
      <c r="P1854" s="1">
        <v>46500</v>
      </c>
      <c r="T1854"/>
    </row>
    <row r="1855" spans="9:20">
      <c r="I1855" s="1" t="s">
        <v>50</v>
      </c>
      <c r="J1855" s="1" t="s">
        <v>6</v>
      </c>
      <c r="K1855" s="1" t="s">
        <v>10</v>
      </c>
      <c r="L1855" s="1">
        <v>5</v>
      </c>
      <c r="M1855" s="1">
        <v>5.99</v>
      </c>
      <c r="N1855" s="1" t="s">
        <v>97</v>
      </c>
      <c r="O1855" s="1" t="s">
        <v>1936</v>
      </c>
      <c r="P1855" s="1">
        <v>36000</v>
      </c>
      <c r="T1855"/>
    </row>
    <row r="1856" spans="9:20">
      <c r="I1856" s="1" t="s">
        <v>50</v>
      </c>
      <c r="J1856" s="1" t="s">
        <v>7</v>
      </c>
      <c r="K1856" s="1" t="s">
        <v>10</v>
      </c>
      <c r="L1856" s="1">
        <v>5</v>
      </c>
      <c r="M1856" s="1">
        <v>5.99</v>
      </c>
      <c r="N1856" s="1" t="s">
        <v>97</v>
      </c>
      <c r="O1856" s="1" t="s">
        <v>1937</v>
      </c>
      <c r="P1856" s="1">
        <v>28000</v>
      </c>
      <c r="T1856"/>
    </row>
    <row r="1857" spans="9:20">
      <c r="I1857" s="1" t="s">
        <v>50</v>
      </c>
      <c r="J1857" s="1" t="s">
        <v>75</v>
      </c>
      <c r="K1857" s="1" t="s">
        <v>10</v>
      </c>
      <c r="L1857" s="1">
        <v>5</v>
      </c>
      <c r="M1857" s="1">
        <v>5.99</v>
      </c>
      <c r="N1857" s="1" t="s">
        <v>97</v>
      </c>
      <c r="O1857" s="1" t="s">
        <v>1938</v>
      </c>
      <c r="P1857" s="1">
        <v>16000</v>
      </c>
      <c r="T1857"/>
    </row>
    <row r="1858" spans="9:20">
      <c r="I1858" s="1" t="s">
        <v>50</v>
      </c>
      <c r="J1858" s="1" t="s">
        <v>78</v>
      </c>
      <c r="K1858" s="1" t="s">
        <v>10</v>
      </c>
      <c r="L1858" s="1">
        <v>5</v>
      </c>
      <c r="M1858" s="1">
        <v>5.99</v>
      </c>
      <c r="N1858" s="1" t="s">
        <v>97</v>
      </c>
      <c r="O1858" s="1" t="s">
        <v>1939</v>
      </c>
      <c r="P1858" s="1">
        <v>11500</v>
      </c>
      <c r="T1858"/>
    </row>
    <row r="1859" spans="9:20">
      <c r="I1859" s="1" t="s">
        <v>50</v>
      </c>
      <c r="J1859" s="1" t="s">
        <v>81</v>
      </c>
      <c r="K1859" s="1" t="s">
        <v>10</v>
      </c>
      <c r="L1859" s="1">
        <v>5</v>
      </c>
      <c r="M1859" s="1">
        <v>5.99</v>
      </c>
      <c r="N1859" s="1" t="s">
        <v>97</v>
      </c>
      <c r="O1859" s="1" t="s">
        <v>1940</v>
      </c>
      <c r="P1859" s="1">
        <v>5400</v>
      </c>
      <c r="T1859"/>
    </row>
    <row r="1860" spans="9:20">
      <c r="I1860" s="1" t="s">
        <v>50</v>
      </c>
      <c r="J1860" s="1" t="s">
        <v>84</v>
      </c>
      <c r="K1860" s="1" t="s">
        <v>10</v>
      </c>
      <c r="L1860" s="1">
        <v>5</v>
      </c>
      <c r="M1860" s="1">
        <v>5.99</v>
      </c>
      <c r="N1860" s="1" t="s">
        <v>97</v>
      </c>
      <c r="O1860" s="1" t="s">
        <v>1941</v>
      </c>
      <c r="P1860" s="1">
        <v>2200</v>
      </c>
      <c r="T1860"/>
    </row>
    <row r="1861" spans="9:20">
      <c r="I1861" s="1" t="s">
        <v>50</v>
      </c>
      <c r="J1861" s="1" t="s">
        <v>1</v>
      </c>
      <c r="K1861" s="1" t="s">
        <v>11</v>
      </c>
      <c r="L1861" s="1">
        <v>5</v>
      </c>
      <c r="M1861" s="1">
        <v>5.99</v>
      </c>
      <c r="N1861" s="1" t="s">
        <v>97</v>
      </c>
      <c r="O1861" s="1" t="s">
        <v>1942</v>
      </c>
      <c r="P1861" s="1">
        <v>60500</v>
      </c>
      <c r="T1861"/>
    </row>
    <row r="1862" spans="9:20">
      <c r="I1862" s="1" t="s">
        <v>50</v>
      </c>
      <c r="J1862" s="1" t="s">
        <v>2</v>
      </c>
      <c r="K1862" s="1" t="s">
        <v>11</v>
      </c>
      <c r="L1862" s="1">
        <v>5</v>
      </c>
      <c r="M1862" s="1">
        <v>5.99</v>
      </c>
      <c r="N1862" s="1" t="s">
        <v>97</v>
      </c>
      <c r="O1862" s="1" t="s">
        <v>1943</v>
      </c>
      <c r="P1862" s="1">
        <v>55500</v>
      </c>
      <c r="T1862"/>
    </row>
    <row r="1863" spans="9:20">
      <c r="I1863" s="1" t="s">
        <v>50</v>
      </c>
      <c r="J1863" s="1" t="s">
        <v>3</v>
      </c>
      <c r="K1863" s="1" t="s">
        <v>11</v>
      </c>
      <c r="L1863" s="1">
        <v>5</v>
      </c>
      <c r="M1863" s="1">
        <v>5.99</v>
      </c>
      <c r="N1863" s="1" t="s">
        <v>97</v>
      </c>
      <c r="O1863" s="1" t="s">
        <v>1944</v>
      </c>
      <c r="P1863" s="1">
        <v>50500</v>
      </c>
      <c r="T1863"/>
    </row>
    <row r="1864" spans="9:20">
      <c r="I1864" s="1" t="s">
        <v>50</v>
      </c>
      <c r="J1864" s="1" t="s">
        <v>4</v>
      </c>
      <c r="K1864" s="1" t="s">
        <v>11</v>
      </c>
      <c r="L1864" s="1">
        <v>5</v>
      </c>
      <c r="M1864" s="1">
        <v>5.99</v>
      </c>
      <c r="N1864" s="1" t="s">
        <v>97</v>
      </c>
      <c r="O1864" s="1" t="s">
        <v>1945</v>
      </c>
      <c r="P1864" s="1">
        <v>46000</v>
      </c>
      <c r="T1864"/>
    </row>
    <row r="1865" spans="9:20">
      <c r="I1865" s="1" t="s">
        <v>50</v>
      </c>
      <c r="J1865" s="1" t="s">
        <v>5</v>
      </c>
      <c r="K1865" s="1" t="s">
        <v>11</v>
      </c>
      <c r="L1865" s="1">
        <v>5</v>
      </c>
      <c r="M1865" s="1">
        <v>5.99</v>
      </c>
      <c r="N1865" s="1" t="s">
        <v>97</v>
      </c>
      <c r="O1865" s="1" t="s">
        <v>1946</v>
      </c>
      <c r="P1865" s="1">
        <v>39500</v>
      </c>
      <c r="T1865"/>
    </row>
    <row r="1866" spans="9:20">
      <c r="I1866" s="1" t="s">
        <v>50</v>
      </c>
      <c r="J1866" s="1" t="s">
        <v>6</v>
      </c>
      <c r="K1866" s="1" t="s">
        <v>11</v>
      </c>
      <c r="L1866" s="1">
        <v>5</v>
      </c>
      <c r="M1866" s="1">
        <v>5.99</v>
      </c>
      <c r="N1866" s="1" t="s">
        <v>97</v>
      </c>
      <c r="O1866" s="1" t="s">
        <v>1947</v>
      </c>
      <c r="P1866" s="1">
        <v>32000</v>
      </c>
      <c r="T1866"/>
    </row>
    <row r="1867" spans="9:20">
      <c r="I1867" s="1" t="s">
        <v>50</v>
      </c>
      <c r="J1867" s="1" t="s">
        <v>7</v>
      </c>
      <c r="K1867" s="1" t="s">
        <v>11</v>
      </c>
      <c r="L1867" s="1">
        <v>5</v>
      </c>
      <c r="M1867" s="1">
        <v>5.99</v>
      </c>
      <c r="N1867" s="1" t="s">
        <v>97</v>
      </c>
      <c r="O1867" s="1" t="s">
        <v>1948</v>
      </c>
      <c r="P1867" s="1">
        <v>26000</v>
      </c>
      <c r="T1867"/>
    </row>
    <row r="1868" spans="9:20">
      <c r="I1868" s="1" t="s">
        <v>50</v>
      </c>
      <c r="J1868" s="1" t="s">
        <v>75</v>
      </c>
      <c r="K1868" s="1" t="s">
        <v>11</v>
      </c>
      <c r="L1868" s="1">
        <v>5</v>
      </c>
      <c r="M1868" s="1">
        <v>5.99</v>
      </c>
      <c r="N1868" s="1" t="s">
        <v>97</v>
      </c>
      <c r="O1868" s="1" t="s">
        <v>1949</v>
      </c>
      <c r="P1868" s="1">
        <v>15000</v>
      </c>
      <c r="T1868"/>
    </row>
    <row r="1869" spans="9:20">
      <c r="I1869" s="1" t="s">
        <v>50</v>
      </c>
      <c r="J1869" s="1" t="s">
        <v>78</v>
      </c>
      <c r="K1869" s="1" t="s">
        <v>11</v>
      </c>
      <c r="L1869" s="1">
        <v>5</v>
      </c>
      <c r="M1869" s="1">
        <v>5.99</v>
      </c>
      <c r="N1869" s="1" t="s">
        <v>97</v>
      </c>
      <c r="O1869" s="1" t="s">
        <v>1950</v>
      </c>
      <c r="P1869" s="1">
        <v>11000</v>
      </c>
      <c r="T1869"/>
    </row>
    <row r="1870" spans="9:20">
      <c r="I1870" s="1" t="s">
        <v>50</v>
      </c>
      <c r="J1870" s="1" t="s">
        <v>81</v>
      </c>
      <c r="K1870" s="1" t="s">
        <v>11</v>
      </c>
      <c r="L1870" s="1">
        <v>5</v>
      </c>
      <c r="M1870" s="1">
        <v>5.99</v>
      </c>
      <c r="N1870" s="1" t="s">
        <v>97</v>
      </c>
      <c r="O1870" s="1" t="s">
        <v>1951</v>
      </c>
      <c r="P1870" s="1">
        <v>5100</v>
      </c>
      <c r="T1870"/>
    </row>
    <row r="1871" spans="9:20">
      <c r="I1871" s="1" t="s">
        <v>50</v>
      </c>
      <c r="J1871" s="1" t="s">
        <v>84</v>
      </c>
      <c r="K1871" s="1" t="s">
        <v>11</v>
      </c>
      <c r="L1871" s="1">
        <v>5</v>
      </c>
      <c r="M1871" s="1">
        <v>5.99</v>
      </c>
      <c r="N1871" s="1" t="s">
        <v>97</v>
      </c>
      <c r="O1871" s="1" t="s">
        <v>1952</v>
      </c>
      <c r="P1871" s="1">
        <v>2100</v>
      </c>
      <c r="T1871"/>
    </row>
    <row r="1872" spans="9:20">
      <c r="I1872" s="1" t="s">
        <v>50</v>
      </c>
      <c r="J1872" s="1" t="s">
        <v>1</v>
      </c>
      <c r="K1872" s="1" t="s">
        <v>12</v>
      </c>
      <c r="L1872" s="1">
        <v>5</v>
      </c>
      <c r="M1872" s="1">
        <v>5.99</v>
      </c>
      <c r="N1872" s="1" t="s">
        <v>97</v>
      </c>
      <c r="O1872" s="1" t="s">
        <v>1953</v>
      </c>
      <c r="P1872" s="1">
        <v>48000</v>
      </c>
      <c r="T1872"/>
    </row>
    <row r="1873" spans="9:20">
      <c r="I1873" s="1" t="s">
        <v>50</v>
      </c>
      <c r="J1873" s="1" t="s">
        <v>2</v>
      </c>
      <c r="K1873" s="1" t="s">
        <v>12</v>
      </c>
      <c r="L1873" s="1">
        <v>5</v>
      </c>
      <c r="M1873" s="1">
        <v>5.99</v>
      </c>
      <c r="N1873" s="1" t="s">
        <v>97</v>
      </c>
      <c r="O1873" s="1" t="s">
        <v>1954</v>
      </c>
      <c r="P1873" s="1">
        <v>44500</v>
      </c>
      <c r="T1873"/>
    </row>
    <row r="1874" spans="9:20">
      <c r="I1874" s="1" t="s">
        <v>50</v>
      </c>
      <c r="J1874" s="1" t="s">
        <v>3</v>
      </c>
      <c r="K1874" s="1" t="s">
        <v>12</v>
      </c>
      <c r="L1874" s="1">
        <v>5</v>
      </c>
      <c r="M1874" s="1">
        <v>5.99</v>
      </c>
      <c r="N1874" s="1" t="s">
        <v>97</v>
      </c>
      <c r="O1874" s="1" t="s">
        <v>1955</v>
      </c>
      <c r="P1874" s="1">
        <v>40000</v>
      </c>
      <c r="T1874"/>
    </row>
    <row r="1875" spans="9:20">
      <c r="I1875" s="1" t="s">
        <v>50</v>
      </c>
      <c r="J1875" s="1" t="s">
        <v>4</v>
      </c>
      <c r="K1875" s="1" t="s">
        <v>12</v>
      </c>
      <c r="L1875" s="1">
        <v>5</v>
      </c>
      <c r="M1875" s="1">
        <v>5.99</v>
      </c>
      <c r="N1875" s="1" t="s">
        <v>97</v>
      </c>
      <c r="O1875" s="1" t="s">
        <v>1956</v>
      </c>
      <c r="P1875" s="1">
        <v>36000</v>
      </c>
      <c r="T1875"/>
    </row>
    <row r="1876" spans="9:20">
      <c r="I1876" s="1" t="s">
        <v>50</v>
      </c>
      <c r="J1876" s="1" t="s">
        <v>5</v>
      </c>
      <c r="K1876" s="1" t="s">
        <v>12</v>
      </c>
      <c r="L1876" s="1">
        <v>5</v>
      </c>
      <c r="M1876" s="1">
        <v>5.99</v>
      </c>
      <c r="N1876" s="1" t="s">
        <v>97</v>
      </c>
      <c r="O1876" s="1" t="s">
        <v>1957</v>
      </c>
      <c r="P1876" s="1">
        <v>32500</v>
      </c>
      <c r="T1876"/>
    </row>
    <row r="1877" spans="9:20">
      <c r="I1877" s="1" t="s">
        <v>50</v>
      </c>
      <c r="J1877" s="1" t="s">
        <v>6</v>
      </c>
      <c r="K1877" s="1" t="s">
        <v>12</v>
      </c>
      <c r="L1877" s="1">
        <v>5</v>
      </c>
      <c r="M1877" s="1">
        <v>5.99</v>
      </c>
      <c r="N1877" s="1" t="s">
        <v>97</v>
      </c>
      <c r="O1877" s="1" t="s">
        <v>1958</v>
      </c>
      <c r="P1877" s="1">
        <v>26500</v>
      </c>
      <c r="T1877"/>
    </row>
    <row r="1878" spans="9:20">
      <c r="I1878" s="1" t="s">
        <v>50</v>
      </c>
      <c r="J1878" s="1" t="s">
        <v>7</v>
      </c>
      <c r="K1878" s="1" t="s">
        <v>12</v>
      </c>
      <c r="L1878" s="1">
        <v>5</v>
      </c>
      <c r="M1878" s="1">
        <v>5.99</v>
      </c>
      <c r="N1878" s="1" t="s">
        <v>97</v>
      </c>
      <c r="O1878" s="1" t="s">
        <v>1959</v>
      </c>
      <c r="P1878" s="1">
        <v>22500</v>
      </c>
      <c r="T1878"/>
    </row>
    <row r="1879" spans="9:20">
      <c r="I1879" s="1" t="s">
        <v>50</v>
      </c>
      <c r="J1879" s="1" t="s">
        <v>75</v>
      </c>
      <c r="K1879" s="1" t="s">
        <v>12</v>
      </c>
      <c r="L1879" s="1">
        <v>5</v>
      </c>
      <c r="M1879" s="1">
        <v>5.99</v>
      </c>
      <c r="N1879" s="1" t="s">
        <v>97</v>
      </c>
      <c r="O1879" s="1" t="s">
        <v>1960</v>
      </c>
      <c r="P1879" s="1">
        <v>14000</v>
      </c>
      <c r="T1879"/>
    </row>
    <row r="1880" spans="9:20">
      <c r="I1880" s="1" t="s">
        <v>50</v>
      </c>
      <c r="J1880" s="1" t="s">
        <v>78</v>
      </c>
      <c r="K1880" s="1" t="s">
        <v>12</v>
      </c>
      <c r="L1880" s="1">
        <v>5</v>
      </c>
      <c r="M1880" s="1">
        <v>5.99</v>
      </c>
      <c r="N1880" s="1" t="s">
        <v>97</v>
      </c>
      <c r="O1880" s="1" t="s">
        <v>1961</v>
      </c>
      <c r="P1880" s="1">
        <v>10000</v>
      </c>
      <c r="T1880"/>
    </row>
    <row r="1881" spans="9:20">
      <c r="I1881" s="1" t="s">
        <v>50</v>
      </c>
      <c r="J1881" s="1" t="s">
        <v>81</v>
      </c>
      <c r="K1881" s="1" t="s">
        <v>12</v>
      </c>
      <c r="L1881" s="1">
        <v>5</v>
      </c>
      <c r="M1881" s="1">
        <v>5.99</v>
      </c>
      <c r="N1881" s="1" t="s">
        <v>97</v>
      </c>
      <c r="O1881" s="1" t="s">
        <v>1962</v>
      </c>
      <c r="P1881" s="1">
        <v>4800</v>
      </c>
      <c r="T1881"/>
    </row>
    <row r="1882" spans="9:20">
      <c r="I1882" s="1" t="s">
        <v>50</v>
      </c>
      <c r="J1882" s="1" t="s">
        <v>84</v>
      </c>
      <c r="K1882" s="1" t="s">
        <v>12</v>
      </c>
      <c r="L1882" s="1">
        <v>5</v>
      </c>
      <c r="M1882" s="1">
        <v>5.99</v>
      </c>
      <c r="N1882" s="1" t="s">
        <v>97</v>
      </c>
      <c r="O1882" s="1" t="s">
        <v>1963</v>
      </c>
      <c r="P1882" s="1">
        <v>2100</v>
      </c>
      <c r="T1882"/>
    </row>
    <row r="1883" spans="9:20">
      <c r="I1883" s="1" t="s">
        <v>50</v>
      </c>
      <c r="J1883" s="1" t="s">
        <v>1</v>
      </c>
      <c r="K1883" s="1" t="s">
        <v>13</v>
      </c>
      <c r="L1883" s="1">
        <v>5</v>
      </c>
      <c r="M1883" s="1">
        <v>5.99</v>
      </c>
      <c r="N1883" s="1" t="s">
        <v>97</v>
      </c>
      <c r="O1883" s="1" t="s">
        <v>1964</v>
      </c>
      <c r="P1883" s="1">
        <v>36500</v>
      </c>
      <c r="T1883"/>
    </row>
    <row r="1884" spans="9:20">
      <c r="I1884" s="1" t="s">
        <v>50</v>
      </c>
      <c r="J1884" s="1" t="s">
        <v>2</v>
      </c>
      <c r="K1884" s="1" t="s">
        <v>13</v>
      </c>
      <c r="L1884" s="1">
        <v>5</v>
      </c>
      <c r="M1884" s="1">
        <v>5.99</v>
      </c>
      <c r="N1884" s="1" t="s">
        <v>97</v>
      </c>
      <c r="O1884" s="1" t="s">
        <v>1965</v>
      </c>
      <c r="P1884" s="1">
        <v>34500</v>
      </c>
      <c r="T1884"/>
    </row>
    <row r="1885" spans="9:20">
      <c r="I1885" s="1" t="s">
        <v>50</v>
      </c>
      <c r="J1885" s="1" t="s">
        <v>3</v>
      </c>
      <c r="K1885" s="1" t="s">
        <v>13</v>
      </c>
      <c r="L1885" s="1">
        <v>5</v>
      </c>
      <c r="M1885" s="1">
        <v>5.99</v>
      </c>
      <c r="N1885" s="1" t="s">
        <v>97</v>
      </c>
      <c r="O1885" s="1" t="s">
        <v>1966</v>
      </c>
      <c r="P1885" s="1">
        <v>31500</v>
      </c>
      <c r="T1885"/>
    </row>
    <row r="1886" spans="9:20">
      <c r="I1886" s="1" t="s">
        <v>50</v>
      </c>
      <c r="J1886" s="1" t="s">
        <v>4</v>
      </c>
      <c r="K1886" s="1" t="s">
        <v>13</v>
      </c>
      <c r="L1886" s="1">
        <v>5</v>
      </c>
      <c r="M1886" s="1">
        <v>5.99</v>
      </c>
      <c r="N1886" s="1" t="s">
        <v>97</v>
      </c>
      <c r="O1886" s="1" t="s">
        <v>1967</v>
      </c>
      <c r="P1886" s="1">
        <v>29000</v>
      </c>
      <c r="T1886"/>
    </row>
    <row r="1887" spans="9:20">
      <c r="I1887" s="1" t="s">
        <v>50</v>
      </c>
      <c r="J1887" s="1" t="s">
        <v>5</v>
      </c>
      <c r="K1887" s="1" t="s">
        <v>13</v>
      </c>
      <c r="L1887" s="1">
        <v>5</v>
      </c>
      <c r="M1887" s="1">
        <v>5.99</v>
      </c>
      <c r="N1887" s="1" t="s">
        <v>97</v>
      </c>
      <c r="O1887" s="1" t="s">
        <v>1968</v>
      </c>
      <c r="P1887" s="1">
        <v>25500</v>
      </c>
      <c r="T1887"/>
    </row>
    <row r="1888" spans="9:20">
      <c r="I1888" s="1" t="s">
        <v>50</v>
      </c>
      <c r="J1888" s="1" t="s">
        <v>6</v>
      </c>
      <c r="K1888" s="1" t="s">
        <v>13</v>
      </c>
      <c r="L1888" s="1">
        <v>5</v>
      </c>
      <c r="M1888" s="1">
        <v>5.99</v>
      </c>
      <c r="N1888" s="1" t="s">
        <v>97</v>
      </c>
      <c r="O1888" s="1" t="s">
        <v>1969</v>
      </c>
      <c r="P1888" s="1">
        <v>22500</v>
      </c>
      <c r="T1888"/>
    </row>
    <row r="1889" spans="9:20">
      <c r="I1889" s="1" t="s">
        <v>50</v>
      </c>
      <c r="J1889" s="1" t="s">
        <v>7</v>
      </c>
      <c r="K1889" s="1" t="s">
        <v>13</v>
      </c>
      <c r="L1889" s="1">
        <v>5</v>
      </c>
      <c r="M1889" s="1">
        <v>5.99</v>
      </c>
      <c r="N1889" s="1" t="s">
        <v>97</v>
      </c>
      <c r="O1889" s="1" t="s">
        <v>1970</v>
      </c>
      <c r="P1889" s="1">
        <v>19500</v>
      </c>
      <c r="T1889"/>
    </row>
    <row r="1890" spans="9:20">
      <c r="I1890" s="1" t="s">
        <v>50</v>
      </c>
      <c r="J1890" s="1" t="s">
        <v>75</v>
      </c>
      <c r="K1890" s="1" t="s">
        <v>13</v>
      </c>
      <c r="L1890" s="1">
        <v>5</v>
      </c>
      <c r="M1890" s="1">
        <v>5.99</v>
      </c>
      <c r="N1890" s="1" t="s">
        <v>97</v>
      </c>
      <c r="O1890" s="1" t="s">
        <v>1971</v>
      </c>
      <c r="P1890" s="1">
        <v>13000</v>
      </c>
      <c r="T1890"/>
    </row>
    <row r="1891" spans="9:20">
      <c r="I1891" s="1" t="s">
        <v>50</v>
      </c>
      <c r="J1891" s="1" t="s">
        <v>78</v>
      </c>
      <c r="K1891" s="1" t="s">
        <v>13</v>
      </c>
      <c r="L1891" s="1">
        <v>5</v>
      </c>
      <c r="M1891" s="1">
        <v>5.99</v>
      </c>
      <c r="N1891" s="1" t="s">
        <v>97</v>
      </c>
      <c r="O1891" s="1" t="s">
        <v>1972</v>
      </c>
      <c r="P1891" s="1">
        <v>9500</v>
      </c>
      <c r="T1891"/>
    </row>
    <row r="1892" spans="9:20">
      <c r="I1892" s="1" t="s">
        <v>50</v>
      </c>
      <c r="J1892" s="1" t="s">
        <v>81</v>
      </c>
      <c r="K1892" s="1" t="s">
        <v>13</v>
      </c>
      <c r="L1892" s="1">
        <v>5</v>
      </c>
      <c r="M1892" s="1">
        <v>5.99</v>
      </c>
      <c r="N1892" s="1" t="s">
        <v>97</v>
      </c>
      <c r="O1892" s="1" t="s">
        <v>1973</v>
      </c>
      <c r="P1892" s="1">
        <v>4600</v>
      </c>
      <c r="T1892"/>
    </row>
    <row r="1893" spans="9:20">
      <c r="I1893" s="1" t="s">
        <v>50</v>
      </c>
      <c r="J1893" s="1" t="s">
        <v>84</v>
      </c>
      <c r="K1893" s="1" t="s">
        <v>13</v>
      </c>
      <c r="L1893" s="1">
        <v>5</v>
      </c>
      <c r="M1893" s="1">
        <v>5.99</v>
      </c>
      <c r="N1893" s="1" t="s">
        <v>97</v>
      </c>
      <c r="O1893" s="1" t="s">
        <v>1974</v>
      </c>
      <c r="P1893" s="1">
        <v>2000</v>
      </c>
      <c r="T1893"/>
    </row>
    <row r="1894" spans="9:20">
      <c r="I1894" s="1" t="s">
        <v>50</v>
      </c>
      <c r="J1894" s="1" t="s">
        <v>1</v>
      </c>
      <c r="K1894" s="1" t="s">
        <v>14</v>
      </c>
      <c r="L1894" s="1">
        <v>5</v>
      </c>
      <c r="M1894" s="1">
        <v>5.99</v>
      </c>
      <c r="N1894" s="1" t="s">
        <v>97</v>
      </c>
      <c r="O1894" s="1" t="s">
        <v>1975</v>
      </c>
      <c r="P1894" s="1">
        <v>28000</v>
      </c>
      <c r="T1894"/>
    </row>
    <row r="1895" spans="9:20">
      <c r="I1895" s="1" t="s">
        <v>50</v>
      </c>
      <c r="J1895" s="1" t="s">
        <v>2</v>
      </c>
      <c r="K1895" s="1" t="s">
        <v>14</v>
      </c>
      <c r="L1895" s="1">
        <v>5</v>
      </c>
      <c r="M1895" s="1">
        <v>5.99</v>
      </c>
      <c r="N1895" s="1" t="s">
        <v>97</v>
      </c>
      <c r="O1895" s="1" t="s">
        <v>1976</v>
      </c>
      <c r="P1895" s="1">
        <v>26000</v>
      </c>
      <c r="T1895"/>
    </row>
    <row r="1896" spans="9:20">
      <c r="I1896" s="1" t="s">
        <v>50</v>
      </c>
      <c r="J1896" s="1" t="s">
        <v>3</v>
      </c>
      <c r="K1896" s="1" t="s">
        <v>14</v>
      </c>
      <c r="L1896" s="1">
        <v>5</v>
      </c>
      <c r="M1896" s="1">
        <v>5.99</v>
      </c>
      <c r="N1896" s="1" t="s">
        <v>97</v>
      </c>
      <c r="O1896" s="1" t="s">
        <v>1977</v>
      </c>
      <c r="P1896" s="1">
        <v>24000</v>
      </c>
      <c r="T1896"/>
    </row>
    <row r="1897" spans="9:20">
      <c r="I1897" s="1" t="s">
        <v>50</v>
      </c>
      <c r="J1897" s="1" t="s">
        <v>4</v>
      </c>
      <c r="K1897" s="1" t="s">
        <v>14</v>
      </c>
      <c r="L1897" s="1">
        <v>5</v>
      </c>
      <c r="M1897" s="1">
        <v>5.99</v>
      </c>
      <c r="N1897" s="1" t="s">
        <v>97</v>
      </c>
      <c r="O1897" s="1" t="s">
        <v>1978</v>
      </c>
      <c r="P1897" s="1">
        <v>22000</v>
      </c>
      <c r="T1897"/>
    </row>
    <row r="1898" spans="9:20">
      <c r="I1898" s="1" t="s">
        <v>50</v>
      </c>
      <c r="J1898" s="1" t="s">
        <v>5</v>
      </c>
      <c r="K1898" s="1" t="s">
        <v>14</v>
      </c>
      <c r="L1898" s="1">
        <v>5</v>
      </c>
      <c r="M1898" s="1">
        <v>5.99</v>
      </c>
      <c r="N1898" s="1" t="s">
        <v>97</v>
      </c>
      <c r="O1898" s="1" t="s">
        <v>1979</v>
      </c>
      <c r="P1898" s="1">
        <v>20500</v>
      </c>
      <c r="T1898"/>
    </row>
    <row r="1899" spans="9:20">
      <c r="I1899" s="1" t="s">
        <v>50</v>
      </c>
      <c r="J1899" s="1" t="s">
        <v>6</v>
      </c>
      <c r="K1899" s="1" t="s">
        <v>14</v>
      </c>
      <c r="L1899" s="1">
        <v>5</v>
      </c>
      <c r="M1899" s="1">
        <v>5.99</v>
      </c>
      <c r="N1899" s="1" t="s">
        <v>97</v>
      </c>
      <c r="O1899" s="1" t="s">
        <v>1980</v>
      </c>
      <c r="P1899" s="1">
        <v>19500</v>
      </c>
      <c r="T1899"/>
    </row>
    <row r="1900" spans="9:20">
      <c r="I1900" s="1" t="s">
        <v>50</v>
      </c>
      <c r="J1900" s="1" t="s">
        <v>7</v>
      </c>
      <c r="K1900" s="1" t="s">
        <v>14</v>
      </c>
      <c r="L1900" s="1">
        <v>5</v>
      </c>
      <c r="M1900" s="1">
        <v>5.99</v>
      </c>
      <c r="N1900" s="1" t="s">
        <v>97</v>
      </c>
      <c r="O1900" s="1" t="s">
        <v>1981</v>
      </c>
      <c r="P1900" s="1">
        <v>17000</v>
      </c>
      <c r="T1900"/>
    </row>
    <row r="1901" spans="9:20">
      <c r="I1901" s="1" t="s">
        <v>50</v>
      </c>
      <c r="J1901" s="1" t="s">
        <v>75</v>
      </c>
      <c r="K1901" s="1" t="s">
        <v>14</v>
      </c>
      <c r="L1901" s="1">
        <v>5</v>
      </c>
      <c r="M1901" s="1">
        <v>5.99</v>
      </c>
      <c r="N1901" s="1" t="s">
        <v>97</v>
      </c>
      <c r="O1901" s="1" t="s">
        <v>1982</v>
      </c>
      <c r="P1901" s="1">
        <v>12000</v>
      </c>
      <c r="T1901"/>
    </row>
    <row r="1902" spans="9:20">
      <c r="I1902" s="1" t="s">
        <v>50</v>
      </c>
      <c r="J1902" s="1" t="s">
        <v>78</v>
      </c>
      <c r="K1902" s="1" t="s">
        <v>14</v>
      </c>
      <c r="L1902" s="1">
        <v>5</v>
      </c>
      <c r="M1902" s="1">
        <v>5.99</v>
      </c>
      <c r="N1902" s="1" t="s">
        <v>97</v>
      </c>
      <c r="O1902" s="1" t="s">
        <v>1983</v>
      </c>
      <c r="P1902" s="1">
        <v>8800</v>
      </c>
      <c r="T1902"/>
    </row>
    <row r="1903" spans="9:20">
      <c r="I1903" s="1" t="s">
        <v>50</v>
      </c>
      <c r="J1903" s="1" t="s">
        <v>81</v>
      </c>
      <c r="K1903" s="1" t="s">
        <v>14</v>
      </c>
      <c r="L1903" s="1">
        <v>5</v>
      </c>
      <c r="M1903" s="1">
        <v>5.99</v>
      </c>
      <c r="N1903" s="1" t="s">
        <v>97</v>
      </c>
      <c r="O1903" s="1" t="s">
        <v>1984</v>
      </c>
      <c r="P1903" s="1">
        <v>4300</v>
      </c>
      <c r="T1903"/>
    </row>
    <row r="1904" spans="9:20">
      <c r="I1904" s="1" t="s">
        <v>50</v>
      </c>
      <c r="J1904" s="1" t="s">
        <v>84</v>
      </c>
      <c r="K1904" s="1" t="s">
        <v>14</v>
      </c>
      <c r="L1904" s="1">
        <v>5</v>
      </c>
      <c r="M1904" s="1">
        <v>5.99</v>
      </c>
      <c r="N1904" s="1" t="s">
        <v>97</v>
      </c>
      <c r="O1904" s="1" t="s">
        <v>1985</v>
      </c>
      <c r="P1904" s="1">
        <v>1900</v>
      </c>
      <c r="T1904"/>
    </row>
    <row r="1905" spans="9:20">
      <c r="I1905" s="1" t="s">
        <v>50</v>
      </c>
      <c r="J1905" s="1" t="s">
        <v>1</v>
      </c>
      <c r="K1905" s="1" t="s">
        <v>15</v>
      </c>
      <c r="L1905" s="1">
        <v>5</v>
      </c>
      <c r="M1905" s="1">
        <v>5.99</v>
      </c>
      <c r="N1905" s="1" t="s">
        <v>97</v>
      </c>
      <c r="O1905" s="1" t="s">
        <v>1986</v>
      </c>
      <c r="P1905" s="1">
        <v>22000</v>
      </c>
      <c r="T1905"/>
    </row>
    <row r="1906" spans="9:20">
      <c r="I1906" s="1" t="s">
        <v>50</v>
      </c>
      <c r="J1906" s="1" t="s">
        <v>2</v>
      </c>
      <c r="K1906" s="1" t="s">
        <v>15</v>
      </c>
      <c r="L1906" s="1">
        <v>5</v>
      </c>
      <c r="M1906" s="1">
        <v>5.99</v>
      </c>
      <c r="N1906" s="1" t="s">
        <v>97</v>
      </c>
      <c r="O1906" s="1" t="s">
        <v>1987</v>
      </c>
      <c r="P1906" s="1">
        <v>21000</v>
      </c>
      <c r="T1906"/>
    </row>
    <row r="1907" spans="9:20">
      <c r="I1907" s="1" t="s">
        <v>50</v>
      </c>
      <c r="J1907" s="1" t="s">
        <v>3</v>
      </c>
      <c r="K1907" s="1" t="s">
        <v>15</v>
      </c>
      <c r="L1907" s="1">
        <v>5</v>
      </c>
      <c r="M1907" s="1">
        <v>5.99</v>
      </c>
      <c r="N1907" s="1" t="s">
        <v>97</v>
      </c>
      <c r="O1907" s="1" t="s">
        <v>1988</v>
      </c>
      <c r="P1907" s="1">
        <v>19500</v>
      </c>
      <c r="T1907"/>
    </row>
    <row r="1908" spans="9:20">
      <c r="I1908" s="1" t="s">
        <v>50</v>
      </c>
      <c r="J1908" s="1" t="s">
        <v>4</v>
      </c>
      <c r="K1908" s="1" t="s">
        <v>15</v>
      </c>
      <c r="L1908" s="1">
        <v>5</v>
      </c>
      <c r="M1908" s="1">
        <v>5.99</v>
      </c>
      <c r="N1908" s="1" t="s">
        <v>97</v>
      </c>
      <c r="O1908" s="1" t="s">
        <v>1989</v>
      </c>
      <c r="P1908" s="1">
        <v>18000</v>
      </c>
      <c r="T1908"/>
    </row>
    <row r="1909" spans="9:20">
      <c r="I1909" s="1" t="s">
        <v>50</v>
      </c>
      <c r="J1909" s="1" t="s">
        <v>5</v>
      </c>
      <c r="K1909" s="1" t="s">
        <v>15</v>
      </c>
      <c r="L1909" s="1">
        <v>5</v>
      </c>
      <c r="M1909" s="1">
        <v>5.99</v>
      </c>
      <c r="N1909" s="1" t="s">
        <v>97</v>
      </c>
      <c r="O1909" s="1" t="s">
        <v>1990</v>
      </c>
      <c r="P1909" s="1">
        <v>17000</v>
      </c>
      <c r="T1909"/>
    </row>
    <row r="1910" spans="9:20">
      <c r="I1910" s="1" t="s">
        <v>50</v>
      </c>
      <c r="J1910" s="1" t="s">
        <v>6</v>
      </c>
      <c r="K1910" s="1" t="s">
        <v>15</v>
      </c>
      <c r="L1910" s="1">
        <v>5</v>
      </c>
      <c r="M1910" s="1">
        <v>5.99</v>
      </c>
      <c r="N1910" s="1" t="s">
        <v>97</v>
      </c>
      <c r="O1910" s="1" t="s">
        <v>1991</v>
      </c>
      <c r="P1910" s="1">
        <v>16500</v>
      </c>
      <c r="T1910"/>
    </row>
    <row r="1911" spans="9:20">
      <c r="I1911" s="1" t="s">
        <v>50</v>
      </c>
      <c r="J1911" s="1" t="s">
        <v>7</v>
      </c>
      <c r="K1911" s="1" t="s">
        <v>15</v>
      </c>
      <c r="L1911" s="1">
        <v>5</v>
      </c>
      <c r="M1911" s="1">
        <v>5.99</v>
      </c>
      <c r="N1911" s="1" t="s">
        <v>97</v>
      </c>
      <c r="O1911" s="1" t="s">
        <v>1992</v>
      </c>
      <c r="P1911" s="1">
        <v>15000</v>
      </c>
      <c r="T1911"/>
    </row>
    <row r="1912" spans="9:20">
      <c r="I1912" s="1" t="s">
        <v>50</v>
      </c>
      <c r="J1912" s="1" t="s">
        <v>75</v>
      </c>
      <c r="K1912" s="1" t="s">
        <v>15</v>
      </c>
      <c r="L1912" s="1">
        <v>5</v>
      </c>
      <c r="M1912" s="1">
        <v>5.99</v>
      </c>
      <c r="N1912" s="1" t="s">
        <v>97</v>
      </c>
      <c r="O1912" s="1" t="s">
        <v>1993</v>
      </c>
      <c r="P1912" s="1">
        <v>11000</v>
      </c>
      <c r="T1912"/>
    </row>
    <row r="1913" spans="9:20">
      <c r="I1913" s="1" t="s">
        <v>50</v>
      </c>
      <c r="J1913" s="1" t="s">
        <v>78</v>
      </c>
      <c r="K1913" s="1" t="s">
        <v>15</v>
      </c>
      <c r="L1913" s="1">
        <v>5</v>
      </c>
      <c r="M1913" s="1">
        <v>5.99</v>
      </c>
      <c r="N1913" s="1" t="s">
        <v>97</v>
      </c>
      <c r="O1913" s="1" t="s">
        <v>1994</v>
      </c>
      <c r="P1913" s="1">
        <v>8100</v>
      </c>
      <c r="T1913"/>
    </row>
    <row r="1914" spans="9:20">
      <c r="I1914" s="1" t="s">
        <v>50</v>
      </c>
      <c r="J1914" s="1" t="s">
        <v>81</v>
      </c>
      <c r="K1914" s="1" t="s">
        <v>15</v>
      </c>
      <c r="L1914" s="1">
        <v>5</v>
      </c>
      <c r="M1914" s="1">
        <v>5.99</v>
      </c>
      <c r="N1914" s="1" t="s">
        <v>97</v>
      </c>
      <c r="O1914" s="1" t="s">
        <v>1995</v>
      </c>
      <c r="P1914" s="1">
        <v>4100</v>
      </c>
      <c r="T1914"/>
    </row>
    <row r="1915" spans="9:20">
      <c r="I1915" s="1" t="s">
        <v>50</v>
      </c>
      <c r="J1915" s="1" t="s">
        <v>84</v>
      </c>
      <c r="K1915" s="1" t="s">
        <v>15</v>
      </c>
      <c r="L1915" s="1">
        <v>5</v>
      </c>
      <c r="M1915" s="1">
        <v>5.99</v>
      </c>
      <c r="N1915" s="1" t="s">
        <v>97</v>
      </c>
      <c r="O1915" s="1" t="s">
        <v>1996</v>
      </c>
      <c r="P1915" s="1">
        <v>1800</v>
      </c>
      <c r="T1915"/>
    </row>
    <row r="1916" spans="9:20">
      <c r="I1916" s="1" t="s">
        <v>50</v>
      </c>
      <c r="J1916" s="1" t="s">
        <v>1</v>
      </c>
      <c r="K1916" s="1" t="s">
        <v>16</v>
      </c>
      <c r="L1916" s="1">
        <v>5</v>
      </c>
      <c r="M1916" s="1">
        <v>5.99</v>
      </c>
      <c r="N1916" s="1" t="s">
        <v>97</v>
      </c>
      <c r="O1916" s="1" t="s">
        <v>1997</v>
      </c>
      <c r="P1916" s="1">
        <v>18000</v>
      </c>
      <c r="T1916"/>
    </row>
    <row r="1917" spans="9:20">
      <c r="I1917" s="1" t="s">
        <v>50</v>
      </c>
      <c r="J1917" s="1" t="s">
        <v>2</v>
      </c>
      <c r="K1917" s="1" t="s">
        <v>16</v>
      </c>
      <c r="L1917" s="1">
        <v>5</v>
      </c>
      <c r="M1917" s="1">
        <v>5.99</v>
      </c>
      <c r="N1917" s="1" t="s">
        <v>97</v>
      </c>
      <c r="O1917" s="1" t="s">
        <v>1998</v>
      </c>
      <c r="P1917" s="1">
        <v>16500</v>
      </c>
      <c r="T1917"/>
    </row>
    <row r="1918" spans="9:20">
      <c r="I1918" s="1" t="s">
        <v>50</v>
      </c>
      <c r="J1918" s="1" t="s">
        <v>3</v>
      </c>
      <c r="K1918" s="1" t="s">
        <v>16</v>
      </c>
      <c r="L1918" s="1">
        <v>5</v>
      </c>
      <c r="M1918" s="1">
        <v>5.99</v>
      </c>
      <c r="N1918" s="1" t="s">
        <v>97</v>
      </c>
      <c r="O1918" s="1" t="s">
        <v>1999</v>
      </c>
      <c r="P1918" s="1">
        <v>15500</v>
      </c>
      <c r="T1918"/>
    </row>
    <row r="1919" spans="9:20">
      <c r="I1919" s="1" t="s">
        <v>50</v>
      </c>
      <c r="J1919" s="1" t="s">
        <v>4</v>
      </c>
      <c r="K1919" s="1" t="s">
        <v>16</v>
      </c>
      <c r="L1919" s="1">
        <v>5</v>
      </c>
      <c r="M1919" s="1">
        <v>5.99</v>
      </c>
      <c r="N1919" s="1" t="s">
        <v>97</v>
      </c>
      <c r="O1919" s="1" t="s">
        <v>2000</v>
      </c>
      <c r="P1919" s="1">
        <v>15000</v>
      </c>
      <c r="T1919"/>
    </row>
    <row r="1920" spans="9:20">
      <c r="I1920" s="1" t="s">
        <v>50</v>
      </c>
      <c r="J1920" s="1" t="s">
        <v>5</v>
      </c>
      <c r="K1920" s="1" t="s">
        <v>16</v>
      </c>
      <c r="L1920" s="1">
        <v>5</v>
      </c>
      <c r="M1920" s="1">
        <v>5.99</v>
      </c>
      <c r="N1920" s="1" t="s">
        <v>97</v>
      </c>
      <c r="O1920" s="1" t="s">
        <v>2001</v>
      </c>
      <c r="P1920" s="1">
        <v>14000</v>
      </c>
      <c r="T1920"/>
    </row>
    <row r="1921" spans="9:20">
      <c r="I1921" s="1" t="s">
        <v>50</v>
      </c>
      <c r="J1921" s="1" t="s">
        <v>6</v>
      </c>
      <c r="K1921" s="1" t="s">
        <v>16</v>
      </c>
      <c r="L1921" s="1">
        <v>5</v>
      </c>
      <c r="M1921" s="1">
        <v>5.99</v>
      </c>
      <c r="N1921" s="1" t="s">
        <v>97</v>
      </c>
      <c r="O1921" s="1" t="s">
        <v>2002</v>
      </c>
      <c r="P1921" s="1">
        <v>13500</v>
      </c>
      <c r="T1921"/>
    </row>
    <row r="1922" spans="9:20">
      <c r="I1922" s="1" t="s">
        <v>50</v>
      </c>
      <c r="J1922" s="1" t="s">
        <v>7</v>
      </c>
      <c r="K1922" s="1" t="s">
        <v>16</v>
      </c>
      <c r="L1922" s="1">
        <v>5</v>
      </c>
      <c r="M1922" s="1">
        <v>5.99</v>
      </c>
      <c r="N1922" s="1" t="s">
        <v>97</v>
      </c>
      <c r="O1922" s="1" t="s">
        <v>2003</v>
      </c>
      <c r="P1922" s="1">
        <v>12500</v>
      </c>
      <c r="T1922"/>
    </row>
    <row r="1923" spans="9:20">
      <c r="I1923" s="1" t="s">
        <v>50</v>
      </c>
      <c r="J1923" s="1" t="s">
        <v>75</v>
      </c>
      <c r="K1923" s="1" t="s">
        <v>16</v>
      </c>
      <c r="L1923" s="1">
        <v>5</v>
      </c>
      <c r="M1923" s="1">
        <v>5.99</v>
      </c>
      <c r="N1923" s="1" t="s">
        <v>97</v>
      </c>
      <c r="O1923" s="1" t="s">
        <v>2004</v>
      </c>
      <c r="P1923" s="1">
        <v>10000</v>
      </c>
      <c r="T1923"/>
    </row>
    <row r="1924" spans="9:20">
      <c r="I1924" s="1" t="s">
        <v>50</v>
      </c>
      <c r="J1924" s="1" t="s">
        <v>78</v>
      </c>
      <c r="K1924" s="1" t="s">
        <v>16</v>
      </c>
      <c r="L1924" s="1">
        <v>5</v>
      </c>
      <c r="M1924" s="1">
        <v>5.99</v>
      </c>
      <c r="N1924" s="1" t="s">
        <v>97</v>
      </c>
      <c r="O1924" s="1" t="s">
        <v>2005</v>
      </c>
      <c r="P1924" s="1">
        <v>6900</v>
      </c>
      <c r="T1924"/>
    </row>
    <row r="1925" spans="9:20">
      <c r="I1925" s="1" t="s">
        <v>50</v>
      </c>
      <c r="J1925" s="1" t="s">
        <v>81</v>
      </c>
      <c r="K1925" s="1" t="s">
        <v>16</v>
      </c>
      <c r="L1925" s="1">
        <v>5</v>
      </c>
      <c r="M1925" s="1">
        <v>5.99</v>
      </c>
      <c r="N1925" s="1" t="s">
        <v>97</v>
      </c>
      <c r="O1925" s="1" t="s">
        <v>2006</v>
      </c>
      <c r="P1925" s="1">
        <v>3700</v>
      </c>
      <c r="T1925"/>
    </row>
    <row r="1926" spans="9:20">
      <c r="I1926" s="1" t="s">
        <v>50</v>
      </c>
      <c r="J1926" s="1" t="s">
        <v>84</v>
      </c>
      <c r="K1926" s="1" t="s">
        <v>16</v>
      </c>
      <c r="L1926" s="1">
        <v>5</v>
      </c>
      <c r="M1926" s="1">
        <v>5.99</v>
      </c>
      <c r="N1926" s="1" t="s">
        <v>97</v>
      </c>
      <c r="O1926" s="1" t="s">
        <v>2007</v>
      </c>
      <c r="P1926" s="1">
        <v>1700</v>
      </c>
      <c r="T1926"/>
    </row>
    <row r="1927" spans="9:20">
      <c r="I1927" s="1" t="s">
        <v>50</v>
      </c>
      <c r="J1927" s="1" t="s">
        <v>1</v>
      </c>
      <c r="K1927" s="1" t="s">
        <v>17</v>
      </c>
      <c r="L1927" s="1">
        <v>5</v>
      </c>
      <c r="M1927" s="1">
        <v>5.99</v>
      </c>
      <c r="N1927" s="1" t="s">
        <v>97</v>
      </c>
      <c r="O1927" s="1" t="s">
        <v>2008</v>
      </c>
      <c r="P1927" s="1">
        <v>15000</v>
      </c>
      <c r="T1927"/>
    </row>
    <row r="1928" spans="9:20">
      <c r="I1928" s="1" t="s">
        <v>50</v>
      </c>
      <c r="J1928" s="1" t="s">
        <v>2</v>
      </c>
      <c r="K1928" s="1" t="s">
        <v>17</v>
      </c>
      <c r="L1928" s="1">
        <v>5</v>
      </c>
      <c r="M1928" s="1">
        <v>5.99</v>
      </c>
      <c r="N1928" s="1" t="s">
        <v>97</v>
      </c>
      <c r="O1928" s="1" t="s">
        <v>2009</v>
      </c>
      <c r="P1928" s="1">
        <v>14000</v>
      </c>
      <c r="T1928"/>
    </row>
    <row r="1929" spans="9:20">
      <c r="I1929" s="1" t="s">
        <v>50</v>
      </c>
      <c r="J1929" s="1" t="s">
        <v>3</v>
      </c>
      <c r="K1929" s="1" t="s">
        <v>17</v>
      </c>
      <c r="L1929" s="1">
        <v>5</v>
      </c>
      <c r="M1929" s="1">
        <v>5.99</v>
      </c>
      <c r="N1929" s="1" t="s">
        <v>97</v>
      </c>
      <c r="O1929" s="1" t="s">
        <v>2010</v>
      </c>
      <c r="P1929" s="1">
        <v>13000</v>
      </c>
      <c r="T1929"/>
    </row>
    <row r="1930" spans="9:20">
      <c r="I1930" s="1" t="s">
        <v>50</v>
      </c>
      <c r="J1930" s="1" t="s">
        <v>4</v>
      </c>
      <c r="K1930" s="1" t="s">
        <v>17</v>
      </c>
      <c r="L1930" s="1">
        <v>5</v>
      </c>
      <c r="M1930" s="1">
        <v>5.99</v>
      </c>
      <c r="N1930" s="1" t="s">
        <v>97</v>
      </c>
      <c r="O1930" s="1" t="s">
        <v>2011</v>
      </c>
      <c r="P1930" s="1">
        <v>12500</v>
      </c>
      <c r="T1930"/>
    </row>
    <row r="1931" spans="9:20">
      <c r="I1931" s="1" t="s">
        <v>50</v>
      </c>
      <c r="J1931" s="1" t="s">
        <v>5</v>
      </c>
      <c r="K1931" s="1" t="s">
        <v>17</v>
      </c>
      <c r="L1931" s="1">
        <v>5</v>
      </c>
      <c r="M1931" s="1">
        <v>5.99</v>
      </c>
      <c r="N1931" s="1" t="s">
        <v>97</v>
      </c>
      <c r="O1931" s="1" t="s">
        <v>2012</v>
      </c>
      <c r="P1931" s="1">
        <v>12000</v>
      </c>
      <c r="T1931"/>
    </row>
    <row r="1932" spans="9:20">
      <c r="I1932" s="1" t="s">
        <v>50</v>
      </c>
      <c r="J1932" s="1" t="s">
        <v>6</v>
      </c>
      <c r="K1932" s="1" t="s">
        <v>17</v>
      </c>
      <c r="L1932" s="1">
        <v>5</v>
      </c>
      <c r="M1932" s="1">
        <v>5.99</v>
      </c>
      <c r="N1932" s="1" t="s">
        <v>97</v>
      </c>
      <c r="O1932" s="1" t="s">
        <v>2013</v>
      </c>
      <c r="P1932" s="1">
        <v>11000</v>
      </c>
      <c r="T1932"/>
    </row>
    <row r="1933" spans="9:20">
      <c r="I1933" s="1" t="s">
        <v>50</v>
      </c>
      <c r="J1933" s="1" t="s">
        <v>7</v>
      </c>
      <c r="K1933" s="1" t="s">
        <v>17</v>
      </c>
      <c r="L1933" s="1">
        <v>5</v>
      </c>
      <c r="M1933" s="1">
        <v>5.99</v>
      </c>
      <c r="N1933" s="1" t="s">
        <v>97</v>
      </c>
      <c r="O1933" s="1" t="s">
        <v>2014</v>
      </c>
      <c r="P1933" s="1">
        <v>10000</v>
      </c>
      <c r="T1933"/>
    </row>
    <row r="1934" spans="9:20">
      <c r="I1934" s="1" t="s">
        <v>50</v>
      </c>
      <c r="J1934" s="1" t="s">
        <v>75</v>
      </c>
      <c r="K1934" s="1" t="s">
        <v>17</v>
      </c>
      <c r="L1934" s="1">
        <v>5</v>
      </c>
      <c r="M1934" s="1">
        <v>5.99</v>
      </c>
      <c r="N1934" s="1" t="s">
        <v>97</v>
      </c>
      <c r="O1934" s="1" t="s">
        <v>2015</v>
      </c>
      <c r="P1934" s="1">
        <v>8000</v>
      </c>
      <c r="T1934"/>
    </row>
    <row r="1935" spans="9:20">
      <c r="I1935" s="1" t="s">
        <v>50</v>
      </c>
      <c r="J1935" s="1" t="s">
        <v>78</v>
      </c>
      <c r="K1935" s="1" t="s">
        <v>17</v>
      </c>
      <c r="L1935" s="1">
        <v>5</v>
      </c>
      <c r="M1935" s="1">
        <v>5.99</v>
      </c>
      <c r="N1935" s="1" t="s">
        <v>97</v>
      </c>
      <c r="O1935" s="1" t="s">
        <v>2016</v>
      </c>
      <c r="P1935" s="1">
        <v>6000</v>
      </c>
      <c r="T1935"/>
    </row>
    <row r="1936" spans="9:20">
      <c r="I1936" s="1" t="s">
        <v>50</v>
      </c>
      <c r="J1936" s="1" t="s">
        <v>81</v>
      </c>
      <c r="K1936" s="1" t="s">
        <v>17</v>
      </c>
      <c r="L1936" s="1">
        <v>5</v>
      </c>
      <c r="M1936" s="1">
        <v>5.99</v>
      </c>
      <c r="N1936" s="1" t="s">
        <v>97</v>
      </c>
      <c r="O1936" s="1" t="s">
        <v>2017</v>
      </c>
      <c r="P1936" s="1">
        <v>3400</v>
      </c>
      <c r="T1936"/>
    </row>
    <row r="1937" spans="9:20">
      <c r="I1937" s="1" t="s">
        <v>50</v>
      </c>
      <c r="J1937" s="1" t="s">
        <v>84</v>
      </c>
      <c r="K1937" s="1" t="s">
        <v>17</v>
      </c>
      <c r="L1937" s="1">
        <v>5</v>
      </c>
      <c r="M1937" s="1">
        <v>5.99</v>
      </c>
      <c r="N1937" s="1" t="s">
        <v>97</v>
      </c>
      <c r="O1937" s="1" t="s">
        <v>2018</v>
      </c>
      <c r="P1937" s="1">
        <v>1600</v>
      </c>
      <c r="T1937"/>
    </row>
    <row r="1938" spans="9:20">
      <c r="I1938" s="1" t="s">
        <v>50</v>
      </c>
      <c r="J1938" s="1" t="s">
        <v>1</v>
      </c>
      <c r="K1938" s="1" t="s">
        <v>8</v>
      </c>
      <c r="L1938" s="1">
        <v>10</v>
      </c>
      <c r="M1938" s="1">
        <v>10.99</v>
      </c>
      <c r="N1938" s="1" t="s">
        <v>99</v>
      </c>
      <c r="O1938" s="1" t="s">
        <v>2019</v>
      </c>
      <c r="P1938" s="1">
        <v>140000</v>
      </c>
      <c r="T1938"/>
    </row>
    <row r="1939" spans="9:20">
      <c r="I1939" s="1" t="s">
        <v>50</v>
      </c>
      <c r="J1939" s="1" t="s">
        <v>2</v>
      </c>
      <c r="K1939" s="1" t="s">
        <v>8</v>
      </c>
      <c r="L1939" s="1">
        <v>10</v>
      </c>
      <c r="M1939" s="1">
        <v>10.99</v>
      </c>
      <c r="N1939" s="1" t="s">
        <v>99</v>
      </c>
      <c r="O1939" s="1" t="s">
        <v>2020</v>
      </c>
      <c r="P1939" s="1">
        <v>130000</v>
      </c>
      <c r="T1939"/>
    </row>
    <row r="1940" spans="9:20">
      <c r="I1940" s="1" t="s">
        <v>50</v>
      </c>
      <c r="J1940" s="1" t="s">
        <v>3</v>
      </c>
      <c r="K1940" s="1" t="s">
        <v>8</v>
      </c>
      <c r="L1940" s="1">
        <v>10</v>
      </c>
      <c r="M1940" s="1">
        <v>10.99</v>
      </c>
      <c r="N1940" s="1" t="s">
        <v>99</v>
      </c>
      <c r="O1940" s="1" t="s">
        <v>2021</v>
      </c>
      <c r="P1940" s="1">
        <v>120000</v>
      </c>
      <c r="T1940"/>
    </row>
    <row r="1941" spans="9:20">
      <c r="I1941" s="1" t="s">
        <v>50</v>
      </c>
      <c r="J1941" s="1" t="s">
        <v>4</v>
      </c>
      <c r="K1941" s="1" t="s">
        <v>8</v>
      </c>
      <c r="L1941" s="1">
        <v>10</v>
      </c>
      <c r="M1941" s="1">
        <v>10.99</v>
      </c>
      <c r="N1941" s="1" t="s">
        <v>99</v>
      </c>
      <c r="O1941" s="1" t="s">
        <v>2022</v>
      </c>
      <c r="P1941" s="1">
        <v>107000</v>
      </c>
      <c r="T1941"/>
    </row>
    <row r="1942" spans="9:20">
      <c r="I1942" s="1" t="s">
        <v>50</v>
      </c>
      <c r="J1942" s="1" t="s">
        <v>5</v>
      </c>
      <c r="K1942" s="1" t="s">
        <v>8</v>
      </c>
      <c r="L1942" s="1">
        <v>10</v>
      </c>
      <c r="M1942" s="1">
        <v>10.99</v>
      </c>
      <c r="N1942" s="1" t="s">
        <v>99</v>
      </c>
      <c r="O1942" s="1" t="s">
        <v>2023</v>
      </c>
      <c r="P1942" s="1">
        <v>90000</v>
      </c>
      <c r="T1942"/>
    </row>
    <row r="1943" spans="9:20">
      <c r="I1943" s="1" t="s">
        <v>50</v>
      </c>
      <c r="J1943" s="1" t="s">
        <v>6</v>
      </c>
      <c r="K1943" s="1" t="s">
        <v>8</v>
      </c>
      <c r="L1943" s="1">
        <v>10</v>
      </c>
      <c r="M1943" s="1">
        <v>10.99</v>
      </c>
      <c r="N1943" s="1" t="s">
        <v>99</v>
      </c>
      <c r="O1943" s="1" t="s">
        <v>2024</v>
      </c>
      <c r="P1943" s="1">
        <v>63500</v>
      </c>
      <c r="T1943"/>
    </row>
    <row r="1944" spans="9:20">
      <c r="I1944" s="1" t="s">
        <v>50</v>
      </c>
      <c r="J1944" s="1" t="s">
        <v>7</v>
      </c>
      <c r="K1944" s="1" t="s">
        <v>8</v>
      </c>
      <c r="L1944" s="1">
        <v>10</v>
      </c>
      <c r="M1944" s="1">
        <v>10.99</v>
      </c>
      <c r="N1944" s="1" t="s">
        <v>99</v>
      </c>
      <c r="O1944" s="1" t="s">
        <v>2025</v>
      </c>
      <c r="P1944" s="1">
        <v>46500</v>
      </c>
      <c r="T1944"/>
    </row>
    <row r="1945" spans="9:20">
      <c r="I1945" s="1" t="s">
        <v>50</v>
      </c>
      <c r="J1945" s="1" t="s">
        <v>75</v>
      </c>
      <c r="K1945" s="1" t="s">
        <v>8</v>
      </c>
      <c r="L1945" s="1">
        <v>10</v>
      </c>
      <c r="M1945" s="1">
        <v>10.99</v>
      </c>
      <c r="N1945" s="1" t="s">
        <v>99</v>
      </c>
      <c r="O1945" s="1" t="s">
        <v>2026</v>
      </c>
      <c r="P1945" s="1">
        <v>25000</v>
      </c>
      <c r="T1945"/>
    </row>
    <row r="1946" spans="9:20">
      <c r="I1946" s="1" t="s">
        <v>50</v>
      </c>
      <c r="J1946" s="1" t="s">
        <v>78</v>
      </c>
      <c r="K1946" s="1" t="s">
        <v>8</v>
      </c>
      <c r="L1946" s="1">
        <v>10</v>
      </c>
      <c r="M1946" s="1">
        <v>10.99</v>
      </c>
      <c r="N1946" s="1" t="s">
        <v>99</v>
      </c>
      <c r="O1946" s="1" t="s">
        <v>2027</v>
      </c>
      <c r="P1946" s="1">
        <v>14000</v>
      </c>
      <c r="T1946"/>
    </row>
    <row r="1947" spans="9:20">
      <c r="I1947" s="1" t="s">
        <v>50</v>
      </c>
      <c r="J1947" s="1" t="s">
        <v>81</v>
      </c>
      <c r="K1947" s="1" t="s">
        <v>8</v>
      </c>
      <c r="L1947" s="1">
        <v>10</v>
      </c>
      <c r="M1947" s="1">
        <v>10.99</v>
      </c>
      <c r="N1947" s="1" t="s">
        <v>99</v>
      </c>
      <c r="O1947" s="1" t="s">
        <v>2028</v>
      </c>
      <c r="P1947" s="1">
        <v>6600</v>
      </c>
      <c r="T1947"/>
    </row>
    <row r="1948" spans="9:20">
      <c r="I1948" s="1" t="s">
        <v>50</v>
      </c>
      <c r="J1948" s="1" t="s">
        <v>84</v>
      </c>
      <c r="K1948" s="1" t="s">
        <v>8</v>
      </c>
      <c r="L1948" s="1">
        <v>10</v>
      </c>
      <c r="M1948" s="1">
        <v>10.99</v>
      </c>
      <c r="N1948" s="1" t="s">
        <v>99</v>
      </c>
      <c r="O1948" s="1" t="s">
        <v>2029</v>
      </c>
      <c r="P1948" s="1">
        <v>2700</v>
      </c>
      <c r="T1948"/>
    </row>
    <row r="1949" spans="9:20">
      <c r="I1949" s="1" t="s">
        <v>50</v>
      </c>
      <c r="J1949" s="1" t="s">
        <v>1</v>
      </c>
      <c r="K1949" s="1" t="s">
        <v>9</v>
      </c>
      <c r="L1949" s="1">
        <v>10</v>
      </c>
      <c r="M1949" s="1">
        <v>10.99</v>
      </c>
      <c r="N1949" s="1" t="s">
        <v>99</v>
      </c>
      <c r="O1949" s="1" t="s">
        <v>2030</v>
      </c>
      <c r="P1949" s="1">
        <v>127000</v>
      </c>
      <c r="T1949"/>
    </row>
    <row r="1950" spans="9:20">
      <c r="I1950" s="1" t="s">
        <v>50</v>
      </c>
      <c r="J1950" s="1" t="s">
        <v>2</v>
      </c>
      <c r="K1950" s="1" t="s">
        <v>9</v>
      </c>
      <c r="L1950" s="1">
        <v>10</v>
      </c>
      <c r="M1950" s="1">
        <v>10.99</v>
      </c>
      <c r="N1950" s="1" t="s">
        <v>99</v>
      </c>
      <c r="O1950" s="1" t="s">
        <v>2031</v>
      </c>
      <c r="P1950" s="1">
        <v>116000</v>
      </c>
      <c r="T1950"/>
    </row>
    <row r="1951" spans="9:20">
      <c r="I1951" s="1" t="s">
        <v>50</v>
      </c>
      <c r="J1951" s="1" t="s">
        <v>3</v>
      </c>
      <c r="K1951" s="1" t="s">
        <v>9</v>
      </c>
      <c r="L1951" s="1">
        <v>10</v>
      </c>
      <c r="M1951" s="1">
        <v>10.99</v>
      </c>
      <c r="N1951" s="1" t="s">
        <v>99</v>
      </c>
      <c r="O1951" s="1" t="s">
        <v>2032</v>
      </c>
      <c r="P1951" s="1">
        <v>103000</v>
      </c>
      <c r="T1951"/>
    </row>
    <row r="1952" spans="9:20">
      <c r="I1952" s="1" t="s">
        <v>50</v>
      </c>
      <c r="J1952" s="1" t="s">
        <v>4</v>
      </c>
      <c r="K1952" s="1" t="s">
        <v>9</v>
      </c>
      <c r="L1952" s="1">
        <v>10</v>
      </c>
      <c r="M1952" s="1">
        <v>10.99</v>
      </c>
      <c r="N1952" s="1" t="s">
        <v>99</v>
      </c>
      <c r="O1952" s="1" t="s">
        <v>2033</v>
      </c>
      <c r="P1952" s="1">
        <v>93000</v>
      </c>
      <c r="T1952"/>
    </row>
    <row r="1953" spans="9:20">
      <c r="I1953" s="1" t="s">
        <v>50</v>
      </c>
      <c r="J1953" s="1" t="s">
        <v>5</v>
      </c>
      <c r="K1953" s="1" t="s">
        <v>9</v>
      </c>
      <c r="L1953" s="1">
        <v>10</v>
      </c>
      <c r="M1953" s="1">
        <v>10.99</v>
      </c>
      <c r="N1953" s="1" t="s">
        <v>99</v>
      </c>
      <c r="O1953" s="1" t="s">
        <v>2034</v>
      </c>
      <c r="P1953" s="1">
        <v>82000</v>
      </c>
      <c r="T1953"/>
    </row>
    <row r="1954" spans="9:20">
      <c r="I1954" s="1" t="s">
        <v>50</v>
      </c>
      <c r="J1954" s="1" t="s">
        <v>6</v>
      </c>
      <c r="K1954" s="1" t="s">
        <v>9</v>
      </c>
      <c r="L1954" s="1">
        <v>10</v>
      </c>
      <c r="M1954" s="1">
        <v>10.99</v>
      </c>
      <c r="N1954" s="1" t="s">
        <v>99</v>
      </c>
      <c r="O1954" s="1" t="s">
        <v>2035</v>
      </c>
      <c r="P1954" s="1">
        <v>58500</v>
      </c>
      <c r="T1954"/>
    </row>
    <row r="1955" spans="9:20">
      <c r="I1955" s="1" t="s">
        <v>50</v>
      </c>
      <c r="J1955" s="1" t="s">
        <v>7</v>
      </c>
      <c r="K1955" s="1" t="s">
        <v>9</v>
      </c>
      <c r="L1955" s="1">
        <v>10</v>
      </c>
      <c r="M1955" s="1">
        <v>10.99</v>
      </c>
      <c r="N1955" s="1" t="s">
        <v>99</v>
      </c>
      <c r="O1955" s="1" t="s">
        <v>2036</v>
      </c>
      <c r="P1955" s="1">
        <v>43000</v>
      </c>
      <c r="T1955"/>
    </row>
    <row r="1956" spans="9:20">
      <c r="I1956" s="1" t="s">
        <v>50</v>
      </c>
      <c r="J1956" s="1" t="s">
        <v>75</v>
      </c>
      <c r="K1956" s="1" t="s">
        <v>9</v>
      </c>
      <c r="L1956" s="1">
        <v>10</v>
      </c>
      <c r="M1956" s="1">
        <v>10.99</v>
      </c>
      <c r="N1956" s="1" t="s">
        <v>99</v>
      </c>
      <c r="O1956" s="1" t="s">
        <v>2037</v>
      </c>
      <c r="P1956" s="1">
        <v>23500</v>
      </c>
      <c r="T1956"/>
    </row>
    <row r="1957" spans="9:20">
      <c r="I1957" s="1" t="s">
        <v>50</v>
      </c>
      <c r="J1957" s="1" t="s">
        <v>78</v>
      </c>
      <c r="K1957" s="1" t="s">
        <v>9</v>
      </c>
      <c r="L1957" s="1">
        <v>10</v>
      </c>
      <c r="M1957" s="1">
        <v>10.99</v>
      </c>
      <c r="N1957" s="1" t="s">
        <v>99</v>
      </c>
      <c r="O1957" s="1" t="s">
        <v>2038</v>
      </c>
      <c r="P1957" s="1">
        <v>13500</v>
      </c>
      <c r="T1957"/>
    </row>
    <row r="1958" spans="9:20">
      <c r="I1958" s="1" t="s">
        <v>50</v>
      </c>
      <c r="J1958" s="1" t="s">
        <v>81</v>
      </c>
      <c r="K1958" s="1" t="s">
        <v>9</v>
      </c>
      <c r="L1958" s="1">
        <v>10</v>
      </c>
      <c r="M1958" s="1">
        <v>10.99</v>
      </c>
      <c r="N1958" s="1" t="s">
        <v>99</v>
      </c>
      <c r="O1958" s="1" t="s">
        <v>2039</v>
      </c>
      <c r="P1958" s="1">
        <v>6300</v>
      </c>
      <c r="T1958"/>
    </row>
    <row r="1959" spans="9:20">
      <c r="I1959" s="1" t="s">
        <v>50</v>
      </c>
      <c r="J1959" s="1" t="s">
        <v>84</v>
      </c>
      <c r="K1959" s="1" t="s">
        <v>9</v>
      </c>
      <c r="L1959" s="1">
        <v>10</v>
      </c>
      <c r="M1959" s="1">
        <v>10.99</v>
      </c>
      <c r="N1959" s="1" t="s">
        <v>99</v>
      </c>
      <c r="O1959" s="1" t="s">
        <v>2040</v>
      </c>
      <c r="P1959" s="1">
        <v>2600</v>
      </c>
      <c r="T1959"/>
    </row>
    <row r="1960" spans="9:20">
      <c r="I1960" s="1" t="s">
        <v>50</v>
      </c>
      <c r="J1960" s="1" t="s">
        <v>1</v>
      </c>
      <c r="K1960" s="1" t="s">
        <v>10</v>
      </c>
      <c r="L1960" s="1">
        <v>10</v>
      </c>
      <c r="M1960" s="1">
        <v>10.99</v>
      </c>
      <c r="N1960" s="1" t="s">
        <v>99</v>
      </c>
      <c r="O1960" s="1" t="s">
        <v>2041</v>
      </c>
      <c r="P1960" s="1">
        <v>111000</v>
      </c>
      <c r="T1960"/>
    </row>
    <row r="1961" spans="9:20">
      <c r="I1961" s="1" t="s">
        <v>50</v>
      </c>
      <c r="J1961" s="1" t="s">
        <v>2</v>
      </c>
      <c r="K1961" s="1" t="s">
        <v>10</v>
      </c>
      <c r="L1961" s="1">
        <v>10</v>
      </c>
      <c r="M1961" s="1">
        <v>10.99</v>
      </c>
      <c r="N1961" s="1" t="s">
        <v>99</v>
      </c>
      <c r="O1961" s="1" t="s">
        <v>2042</v>
      </c>
      <c r="P1961" s="1">
        <v>104000</v>
      </c>
      <c r="T1961"/>
    </row>
    <row r="1962" spans="9:20">
      <c r="I1962" s="1" t="s">
        <v>50</v>
      </c>
      <c r="J1962" s="1" t="s">
        <v>3</v>
      </c>
      <c r="K1962" s="1" t="s">
        <v>10</v>
      </c>
      <c r="L1962" s="1">
        <v>10</v>
      </c>
      <c r="M1962" s="1">
        <v>10.99</v>
      </c>
      <c r="N1962" s="1" t="s">
        <v>99</v>
      </c>
      <c r="O1962" s="1" t="s">
        <v>2043</v>
      </c>
      <c r="P1962" s="1">
        <v>93000</v>
      </c>
      <c r="T1962"/>
    </row>
    <row r="1963" spans="9:20">
      <c r="I1963" s="1" t="s">
        <v>50</v>
      </c>
      <c r="J1963" s="1" t="s">
        <v>4</v>
      </c>
      <c r="K1963" s="1" t="s">
        <v>10</v>
      </c>
      <c r="L1963" s="1">
        <v>10</v>
      </c>
      <c r="M1963" s="1">
        <v>10.99</v>
      </c>
      <c r="N1963" s="1" t="s">
        <v>99</v>
      </c>
      <c r="O1963" s="1" t="s">
        <v>2044</v>
      </c>
      <c r="P1963" s="1">
        <v>83500</v>
      </c>
      <c r="T1963"/>
    </row>
    <row r="1964" spans="9:20">
      <c r="I1964" s="1" t="s">
        <v>50</v>
      </c>
      <c r="J1964" s="1" t="s">
        <v>5</v>
      </c>
      <c r="K1964" s="1" t="s">
        <v>10</v>
      </c>
      <c r="L1964" s="1">
        <v>10</v>
      </c>
      <c r="M1964" s="1">
        <v>10.99</v>
      </c>
      <c r="N1964" s="1" t="s">
        <v>99</v>
      </c>
      <c r="O1964" s="1" t="s">
        <v>2045</v>
      </c>
      <c r="P1964" s="1">
        <v>71500</v>
      </c>
      <c r="T1964"/>
    </row>
    <row r="1965" spans="9:20">
      <c r="I1965" s="1" t="s">
        <v>50</v>
      </c>
      <c r="J1965" s="1" t="s">
        <v>6</v>
      </c>
      <c r="K1965" s="1" t="s">
        <v>10</v>
      </c>
      <c r="L1965" s="1">
        <v>10</v>
      </c>
      <c r="M1965" s="1">
        <v>10.99</v>
      </c>
      <c r="N1965" s="1" t="s">
        <v>99</v>
      </c>
      <c r="O1965" s="1" t="s">
        <v>2046</v>
      </c>
      <c r="P1965" s="1">
        <v>53500</v>
      </c>
      <c r="T1965"/>
    </row>
    <row r="1966" spans="9:20">
      <c r="I1966" s="1" t="s">
        <v>50</v>
      </c>
      <c r="J1966" s="1" t="s">
        <v>7</v>
      </c>
      <c r="K1966" s="1" t="s">
        <v>10</v>
      </c>
      <c r="L1966" s="1">
        <v>10</v>
      </c>
      <c r="M1966" s="1">
        <v>10.99</v>
      </c>
      <c r="N1966" s="1" t="s">
        <v>99</v>
      </c>
      <c r="O1966" s="1" t="s">
        <v>2047</v>
      </c>
      <c r="P1966" s="1">
        <v>40000</v>
      </c>
      <c r="T1966"/>
    </row>
    <row r="1967" spans="9:20">
      <c r="I1967" s="1" t="s">
        <v>50</v>
      </c>
      <c r="J1967" s="1" t="s">
        <v>75</v>
      </c>
      <c r="K1967" s="1" t="s">
        <v>10</v>
      </c>
      <c r="L1967" s="1">
        <v>10</v>
      </c>
      <c r="M1967" s="1">
        <v>10.99</v>
      </c>
      <c r="N1967" s="1" t="s">
        <v>99</v>
      </c>
      <c r="O1967" s="1" t="s">
        <v>2048</v>
      </c>
      <c r="P1967" s="1">
        <v>22000</v>
      </c>
      <c r="T1967"/>
    </row>
    <row r="1968" spans="9:20">
      <c r="I1968" s="1" t="s">
        <v>50</v>
      </c>
      <c r="J1968" s="1" t="s">
        <v>78</v>
      </c>
      <c r="K1968" s="1" t="s">
        <v>10</v>
      </c>
      <c r="L1968" s="1">
        <v>10</v>
      </c>
      <c r="M1968" s="1">
        <v>10.99</v>
      </c>
      <c r="N1968" s="1" t="s">
        <v>99</v>
      </c>
      <c r="O1968" s="1" t="s">
        <v>2049</v>
      </c>
      <c r="P1968" s="1">
        <v>13000</v>
      </c>
      <c r="T1968"/>
    </row>
    <row r="1969" spans="9:20">
      <c r="I1969" s="1" t="s">
        <v>50</v>
      </c>
      <c r="J1969" s="1" t="s">
        <v>81</v>
      </c>
      <c r="K1969" s="1" t="s">
        <v>10</v>
      </c>
      <c r="L1969" s="1">
        <v>10</v>
      </c>
      <c r="M1969" s="1">
        <v>10.99</v>
      </c>
      <c r="N1969" s="1" t="s">
        <v>99</v>
      </c>
      <c r="O1969" s="1" t="s">
        <v>2050</v>
      </c>
      <c r="P1969" s="1">
        <v>6000</v>
      </c>
      <c r="T1969"/>
    </row>
    <row r="1970" spans="9:20">
      <c r="I1970" s="1" t="s">
        <v>50</v>
      </c>
      <c r="J1970" s="1" t="s">
        <v>84</v>
      </c>
      <c r="K1970" s="1" t="s">
        <v>10</v>
      </c>
      <c r="L1970" s="1">
        <v>10</v>
      </c>
      <c r="M1970" s="1">
        <v>10.99</v>
      </c>
      <c r="N1970" s="1" t="s">
        <v>99</v>
      </c>
      <c r="O1970" s="1" t="s">
        <v>2051</v>
      </c>
      <c r="P1970" s="1">
        <v>2500</v>
      </c>
      <c r="T1970"/>
    </row>
    <row r="1971" spans="9:20">
      <c r="I1971" s="1" t="s">
        <v>50</v>
      </c>
      <c r="J1971" s="1" t="s">
        <v>1</v>
      </c>
      <c r="K1971" s="1" t="s">
        <v>11</v>
      </c>
      <c r="L1971" s="1">
        <v>10</v>
      </c>
      <c r="M1971" s="1">
        <v>10.99</v>
      </c>
      <c r="N1971" s="1" t="s">
        <v>99</v>
      </c>
      <c r="O1971" s="1" t="s">
        <v>2052</v>
      </c>
      <c r="P1971" s="1">
        <v>93000</v>
      </c>
      <c r="T1971"/>
    </row>
    <row r="1972" spans="9:20">
      <c r="I1972" s="1" t="s">
        <v>50</v>
      </c>
      <c r="J1972" s="1" t="s">
        <v>2</v>
      </c>
      <c r="K1972" s="1" t="s">
        <v>11</v>
      </c>
      <c r="L1972" s="1">
        <v>10</v>
      </c>
      <c r="M1972" s="1">
        <v>10.99</v>
      </c>
      <c r="N1972" s="1" t="s">
        <v>99</v>
      </c>
      <c r="O1972" s="1" t="s">
        <v>2053</v>
      </c>
      <c r="P1972" s="1">
        <v>86500</v>
      </c>
      <c r="T1972"/>
    </row>
    <row r="1973" spans="9:20">
      <c r="I1973" s="1" t="s">
        <v>50</v>
      </c>
      <c r="J1973" s="1" t="s">
        <v>3</v>
      </c>
      <c r="K1973" s="1" t="s">
        <v>11</v>
      </c>
      <c r="L1973" s="1">
        <v>10</v>
      </c>
      <c r="M1973" s="1">
        <v>10.99</v>
      </c>
      <c r="N1973" s="1" t="s">
        <v>99</v>
      </c>
      <c r="O1973" s="1" t="s">
        <v>2054</v>
      </c>
      <c r="P1973" s="1">
        <v>78500</v>
      </c>
      <c r="T1973"/>
    </row>
    <row r="1974" spans="9:20">
      <c r="I1974" s="1" t="s">
        <v>50</v>
      </c>
      <c r="J1974" s="1" t="s">
        <v>4</v>
      </c>
      <c r="K1974" s="1" t="s">
        <v>11</v>
      </c>
      <c r="L1974" s="1">
        <v>10</v>
      </c>
      <c r="M1974" s="1">
        <v>10.99</v>
      </c>
      <c r="N1974" s="1" t="s">
        <v>99</v>
      </c>
      <c r="O1974" s="1" t="s">
        <v>2055</v>
      </c>
      <c r="P1974" s="1">
        <v>71500</v>
      </c>
      <c r="T1974"/>
    </row>
    <row r="1975" spans="9:20">
      <c r="I1975" s="1" t="s">
        <v>50</v>
      </c>
      <c r="J1975" s="1" t="s">
        <v>5</v>
      </c>
      <c r="K1975" s="1" t="s">
        <v>11</v>
      </c>
      <c r="L1975" s="1">
        <v>10</v>
      </c>
      <c r="M1975" s="1">
        <v>10.99</v>
      </c>
      <c r="N1975" s="1" t="s">
        <v>99</v>
      </c>
      <c r="O1975" s="1" t="s">
        <v>2056</v>
      </c>
      <c r="P1975" s="1">
        <v>61000</v>
      </c>
      <c r="T1975"/>
    </row>
    <row r="1976" spans="9:20">
      <c r="I1976" s="1" t="s">
        <v>50</v>
      </c>
      <c r="J1976" s="1" t="s">
        <v>6</v>
      </c>
      <c r="K1976" s="1" t="s">
        <v>11</v>
      </c>
      <c r="L1976" s="1">
        <v>10</v>
      </c>
      <c r="M1976" s="1">
        <v>10.99</v>
      </c>
      <c r="N1976" s="1" t="s">
        <v>99</v>
      </c>
      <c r="O1976" s="1" t="s">
        <v>2057</v>
      </c>
      <c r="P1976" s="1">
        <v>48500</v>
      </c>
      <c r="T1976"/>
    </row>
    <row r="1977" spans="9:20">
      <c r="I1977" s="1" t="s">
        <v>50</v>
      </c>
      <c r="J1977" s="1" t="s">
        <v>7</v>
      </c>
      <c r="K1977" s="1" t="s">
        <v>11</v>
      </c>
      <c r="L1977" s="1">
        <v>10</v>
      </c>
      <c r="M1977" s="1">
        <v>10.99</v>
      </c>
      <c r="N1977" s="1" t="s">
        <v>99</v>
      </c>
      <c r="O1977" s="1" t="s">
        <v>2058</v>
      </c>
      <c r="P1977" s="1">
        <v>37000</v>
      </c>
      <c r="T1977"/>
    </row>
    <row r="1978" spans="9:20">
      <c r="I1978" s="1" t="s">
        <v>50</v>
      </c>
      <c r="J1978" s="1" t="s">
        <v>75</v>
      </c>
      <c r="K1978" s="1" t="s">
        <v>11</v>
      </c>
      <c r="L1978" s="1">
        <v>10</v>
      </c>
      <c r="M1978" s="1">
        <v>10.99</v>
      </c>
      <c r="N1978" s="1" t="s">
        <v>99</v>
      </c>
      <c r="O1978" s="1" t="s">
        <v>2059</v>
      </c>
      <c r="P1978" s="1">
        <v>20500</v>
      </c>
      <c r="T1978"/>
    </row>
    <row r="1979" spans="9:20">
      <c r="I1979" s="1" t="s">
        <v>50</v>
      </c>
      <c r="J1979" s="1" t="s">
        <v>78</v>
      </c>
      <c r="K1979" s="1" t="s">
        <v>11</v>
      </c>
      <c r="L1979" s="1">
        <v>10</v>
      </c>
      <c r="M1979" s="1">
        <v>10.99</v>
      </c>
      <c r="N1979" s="1" t="s">
        <v>99</v>
      </c>
      <c r="O1979" s="1" t="s">
        <v>2060</v>
      </c>
      <c r="P1979" s="1">
        <v>12500</v>
      </c>
      <c r="T1979"/>
    </row>
    <row r="1980" spans="9:20">
      <c r="I1980" s="1" t="s">
        <v>50</v>
      </c>
      <c r="J1980" s="1" t="s">
        <v>81</v>
      </c>
      <c r="K1980" s="1" t="s">
        <v>11</v>
      </c>
      <c r="L1980" s="1">
        <v>10</v>
      </c>
      <c r="M1980" s="1">
        <v>10.99</v>
      </c>
      <c r="N1980" s="1" t="s">
        <v>99</v>
      </c>
      <c r="O1980" s="1" t="s">
        <v>2061</v>
      </c>
      <c r="P1980" s="1">
        <v>5700</v>
      </c>
      <c r="T1980"/>
    </row>
    <row r="1981" spans="9:20">
      <c r="I1981" s="1" t="s">
        <v>50</v>
      </c>
      <c r="J1981" s="1" t="s">
        <v>84</v>
      </c>
      <c r="K1981" s="1" t="s">
        <v>11</v>
      </c>
      <c r="L1981" s="1">
        <v>10</v>
      </c>
      <c r="M1981" s="1">
        <v>10.99</v>
      </c>
      <c r="N1981" s="1" t="s">
        <v>99</v>
      </c>
      <c r="O1981" s="1" t="s">
        <v>2062</v>
      </c>
      <c r="P1981" s="1">
        <v>2400</v>
      </c>
      <c r="T1981"/>
    </row>
    <row r="1982" spans="9:20">
      <c r="I1982" s="1" t="s">
        <v>50</v>
      </c>
      <c r="J1982" s="1" t="s">
        <v>1</v>
      </c>
      <c r="K1982" s="1" t="s">
        <v>12</v>
      </c>
      <c r="L1982" s="1">
        <v>10</v>
      </c>
      <c r="M1982" s="1">
        <v>10.99</v>
      </c>
      <c r="N1982" s="1" t="s">
        <v>99</v>
      </c>
      <c r="O1982" s="1" t="s">
        <v>2063</v>
      </c>
      <c r="P1982" s="1">
        <v>75000</v>
      </c>
      <c r="T1982"/>
    </row>
    <row r="1983" spans="9:20">
      <c r="I1983" s="1" t="s">
        <v>50</v>
      </c>
      <c r="J1983" s="1" t="s">
        <v>2</v>
      </c>
      <c r="K1983" s="1" t="s">
        <v>12</v>
      </c>
      <c r="L1983" s="1">
        <v>10</v>
      </c>
      <c r="M1983" s="1">
        <v>10.99</v>
      </c>
      <c r="N1983" s="1" t="s">
        <v>99</v>
      </c>
      <c r="O1983" s="1" t="s">
        <v>2064</v>
      </c>
      <c r="P1983" s="1">
        <v>69500</v>
      </c>
      <c r="T1983"/>
    </row>
    <row r="1984" spans="9:20">
      <c r="I1984" s="1" t="s">
        <v>50</v>
      </c>
      <c r="J1984" s="1" t="s">
        <v>3</v>
      </c>
      <c r="K1984" s="1" t="s">
        <v>12</v>
      </c>
      <c r="L1984" s="1">
        <v>10</v>
      </c>
      <c r="M1984" s="1">
        <v>10.99</v>
      </c>
      <c r="N1984" s="1" t="s">
        <v>99</v>
      </c>
      <c r="O1984" s="1" t="s">
        <v>2065</v>
      </c>
      <c r="P1984" s="1">
        <v>63000</v>
      </c>
      <c r="T1984"/>
    </row>
    <row r="1985" spans="9:20">
      <c r="I1985" s="1" t="s">
        <v>50</v>
      </c>
      <c r="J1985" s="1" t="s">
        <v>4</v>
      </c>
      <c r="K1985" s="1" t="s">
        <v>12</v>
      </c>
      <c r="L1985" s="1">
        <v>10</v>
      </c>
      <c r="M1985" s="1">
        <v>10.99</v>
      </c>
      <c r="N1985" s="1" t="s">
        <v>99</v>
      </c>
      <c r="O1985" s="1" t="s">
        <v>2066</v>
      </c>
      <c r="P1985" s="1">
        <v>56500</v>
      </c>
      <c r="T1985"/>
    </row>
    <row r="1986" spans="9:20">
      <c r="I1986" s="1" t="s">
        <v>50</v>
      </c>
      <c r="J1986" s="1" t="s">
        <v>5</v>
      </c>
      <c r="K1986" s="1" t="s">
        <v>12</v>
      </c>
      <c r="L1986" s="1">
        <v>10</v>
      </c>
      <c r="M1986" s="1">
        <v>10.99</v>
      </c>
      <c r="N1986" s="1" t="s">
        <v>99</v>
      </c>
      <c r="O1986" s="1" t="s">
        <v>2067</v>
      </c>
      <c r="P1986" s="1">
        <v>50000</v>
      </c>
      <c r="T1986"/>
    </row>
    <row r="1987" spans="9:20">
      <c r="I1987" s="1" t="s">
        <v>50</v>
      </c>
      <c r="J1987" s="1" t="s">
        <v>6</v>
      </c>
      <c r="K1987" s="1" t="s">
        <v>12</v>
      </c>
      <c r="L1987" s="1">
        <v>10</v>
      </c>
      <c r="M1987" s="1">
        <v>10.99</v>
      </c>
      <c r="N1987" s="1" t="s">
        <v>99</v>
      </c>
      <c r="O1987" s="1" t="s">
        <v>2068</v>
      </c>
      <c r="P1987" s="1">
        <v>40500</v>
      </c>
      <c r="T1987"/>
    </row>
    <row r="1988" spans="9:20">
      <c r="I1988" s="1" t="s">
        <v>50</v>
      </c>
      <c r="J1988" s="1" t="s">
        <v>7</v>
      </c>
      <c r="K1988" s="1" t="s">
        <v>12</v>
      </c>
      <c r="L1988" s="1">
        <v>10</v>
      </c>
      <c r="M1988" s="1">
        <v>10.99</v>
      </c>
      <c r="N1988" s="1" t="s">
        <v>99</v>
      </c>
      <c r="O1988" s="1" t="s">
        <v>2069</v>
      </c>
      <c r="P1988" s="1">
        <v>32500</v>
      </c>
      <c r="T1988"/>
    </row>
    <row r="1989" spans="9:20">
      <c r="I1989" s="1" t="s">
        <v>50</v>
      </c>
      <c r="J1989" s="1" t="s">
        <v>75</v>
      </c>
      <c r="K1989" s="1" t="s">
        <v>12</v>
      </c>
      <c r="L1989" s="1">
        <v>10</v>
      </c>
      <c r="M1989" s="1">
        <v>10.99</v>
      </c>
      <c r="N1989" s="1" t="s">
        <v>99</v>
      </c>
      <c r="O1989" s="1" t="s">
        <v>2070</v>
      </c>
      <c r="P1989" s="1">
        <v>18500</v>
      </c>
      <c r="T1989"/>
    </row>
    <row r="1990" spans="9:20">
      <c r="I1990" s="1" t="s">
        <v>50</v>
      </c>
      <c r="J1990" s="1" t="s">
        <v>78</v>
      </c>
      <c r="K1990" s="1" t="s">
        <v>12</v>
      </c>
      <c r="L1990" s="1">
        <v>10</v>
      </c>
      <c r="M1990" s="1">
        <v>10.99</v>
      </c>
      <c r="N1990" s="1" t="s">
        <v>99</v>
      </c>
      <c r="O1990" s="1" t="s">
        <v>2071</v>
      </c>
      <c r="P1990" s="1">
        <v>12000</v>
      </c>
      <c r="T1990"/>
    </row>
    <row r="1991" spans="9:20">
      <c r="I1991" s="1" t="s">
        <v>50</v>
      </c>
      <c r="J1991" s="1" t="s">
        <v>81</v>
      </c>
      <c r="K1991" s="1" t="s">
        <v>12</v>
      </c>
      <c r="L1991" s="1">
        <v>10</v>
      </c>
      <c r="M1991" s="1">
        <v>10.99</v>
      </c>
      <c r="N1991" s="1" t="s">
        <v>99</v>
      </c>
      <c r="O1991" s="1" t="s">
        <v>2072</v>
      </c>
      <c r="P1991" s="1">
        <v>5500</v>
      </c>
      <c r="T1991"/>
    </row>
    <row r="1992" spans="9:20">
      <c r="I1992" s="1" t="s">
        <v>50</v>
      </c>
      <c r="J1992" s="1" t="s">
        <v>84</v>
      </c>
      <c r="K1992" s="1" t="s">
        <v>12</v>
      </c>
      <c r="L1992" s="1">
        <v>10</v>
      </c>
      <c r="M1992" s="1">
        <v>10.99</v>
      </c>
      <c r="N1992" s="1" t="s">
        <v>99</v>
      </c>
      <c r="O1992" s="1" t="s">
        <v>2073</v>
      </c>
      <c r="P1992" s="1">
        <v>2300</v>
      </c>
      <c r="T1992"/>
    </row>
    <row r="1993" spans="9:20">
      <c r="I1993" s="1" t="s">
        <v>50</v>
      </c>
      <c r="J1993" s="1" t="s">
        <v>1</v>
      </c>
      <c r="K1993" s="1" t="s">
        <v>13</v>
      </c>
      <c r="L1993" s="1">
        <v>10</v>
      </c>
      <c r="M1993" s="1">
        <v>10.99</v>
      </c>
      <c r="N1993" s="1" t="s">
        <v>99</v>
      </c>
      <c r="O1993" s="1" t="s">
        <v>2074</v>
      </c>
      <c r="P1993" s="1">
        <v>57000</v>
      </c>
      <c r="T1993"/>
    </row>
    <row r="1994" spans="9:20">
      <c r="I1994" s="1" t="s">
        <v>50</v>
      </c>
      <c r="J1994" s="1" t="s">
        <v>2</v>
      </c>
      <c r="K1994" s="1" t="s">
        <v>13</v>
      </c>
      <c r="L1994" s="1">
        <v>10</v>
      </c>
      <c r="M1994" s="1">
        <v>10.99</v>
      </c>
      <c r="N1994" s="1" t="s">
        <v>99</v>
      </c>
      <c r="O1994" s="1" t="s">
        <v>2075</v>
      </c>
      <c r="P1994" s="1">
        <v>53500</v>
      </c>
      <c r="T1994"/>
    </row>
    <row r="1995" spans="9:20">
      <c r="I1995" s="1" t="s">
        <v>50</v>
      </c>
      <c r="J1995" s="1" t="s">
        <v>3</v>
      </c>
      <c r="K1995" s="1" t="s">
        <v>13</v>
      </c>
      <c r="L1995" s="1">
        <v>10</v>
      </c>
      <c r="M1995" s="1">
        <v>10.99</v>
      </c>
      <c r="N1995" s="1" t="s">
        <v>99</v>
      </c>
      <c r="O1995" s="1" t="s">
        <v>2076</v>
      </c>
      <c r="P1995" s="1">
        <v>49500</v>
      </c>
      <c r="T1995"/>
    </row>
    <row r="1996" spans="9:20">
      <c r="I1996" s="1" t="s">
        <v>50</v>
      </c>
      <c r="J1996" s="1" t="s">
        <v>4</v>
      </c>
      <c r="K1996" s="1" t="s">
        <v>13</v>
      </c>
      <c r="L1996" s="1">
        <v>10</v>
      </c>
      <c r="M1996" s="1">
        <v>10.99</v>
      </c>
      <c r="N1996" s="1" t="s">
        <v>99</v>
      </c>
      <c r="O1996" s="1" t="s">
        <v>2077</v>
      </c>
      <c r="P1996" s="1">
        <v>46000</v>
      </c>
      <c r="T1996"/>
    </row>
    <row r="1997" spans="9:20">
      <c r="I1997" s="1" t="s">
        <v>50</v>
      </c>
      <c r="J1997" s="1" t="s">
        <v>5</v>
      </c>
      <c r="K1997" s="1" t="s">
        <v>13</v>
      </c>
      <c r="L1997" s="1">
        <v>10</v>
      </c>
      <c r="M1997" s="1">
        <v>10.99</v>
      </c>
      <c r="N1997" s="1" t="s">
        <v>99</v>
      </c>
      <c r="O1997" s="1" t="s">
        <v>2078</v>
      </c>
      <c r="P1997" s="1">
        <v>40500</v>
      </c>
      <c r="T1997"/>
    </row>
    <row r="1998" spans="9:20">
      <c r="I1998" s="1" t="s">
        <v>50</v>
      </c>
      <c r="J1998" s="1" t="s">
        <v>6</v>
      </c>
      <c r="K1998" s="1" t="s">
        <v>13</v>
      </c>
      <c r="L1998" s="1">
        <v>10</v>
      </c>
      <c r="M1998" s="1">
        <v>10.99</v>
      </c>
      <c r="N1998" s="1" t="s">
        <v>99</v>
      </c>
      <c r="O1998" s="1" t="s">
        <v>2079</v>
      </c>
      <c r="P1998" s="1">
        <v>34000</v>
      </c>
      <c r="T1998"/>
    </row>
    <row r="1999" spans="9:20">
      <c r="I1999" s="1" t="s">
        <v>50</v>
      </c>
      <c r="J1999" s="1" t="s">
        <v>7</v>
      </c>
      <c r="K1999" s="1" t="s">
        <v>13</v>
      </c>
      <c r="L1999" s="1">
        <v>10</v>
      </c>
      <c r="M1999" s="1">
        <v>10.99</v>
      </c>
      <c r="N1999" s="1" t="s">
        <v>99</v>
      </c>
      <c r="O1999" s="1" t="s">
        <v>2080</v>
      </c>
      <c r="P1999" s="1">
        <v>27500</v>
      </c>
      <c r="T1999"/>
    </row>
    <row r="2000" spans="9:20">
      <c r="I2000" s="1" t="s">
        <v>50</v>
      </c>
      <c r="J2000" s="1" t="s">
        <v>75</v>
      </c>
      <c r="K2000" s="1" t="s">
        <v>13</v>
      </c>
      <c r="L2000" s="1">
        <v>10</v>
      </c>
      <c r="M2000" s="1">
        <v>10.99</v>
      </c>
      <c r="N2000" s="1" t="s">
        <v>99</v>
      </c>
      <c r="O2000" s="1" t="s">
        <v>2081</v>
      </c>
      <c r="P2000" s="1">
        <v>17000</v>
      </c>
      <c r="T2000"/>
    </row>
    <row r="2001" spans="9:20">
      <c r="I2001" s="1" t="s">
        <v>50</v>
      </c>
      <c r="J2001" s="1" t="s">
        <v>78</v>
      </c>
      <c r="K2001" s="1" t="s">
        <v>13</v>
      </c>
      <c r="L2001" s="1">
        <v>10</v>
      </c>
      <c r="M2001" s="1">
        <v>10.99</v>
      </c>
      <c r="N2001" s="1" t="s">
        <v>99</v>
      </c>
      <c r="O2001" s="1" t="s">
        <v>2082</v>
      </c>
      <c r="P2001" s="1">
        <v>11500</v>
      </c>
      <c r="T2001"/>
    </row>
    <row r="2002" spans="9:20">
      <c r="I2002" s="1" t="s">
        <v>50</v>
      </c>
      <c r="J2002" s="1" t="s">
        <v>81</v>
      </c>
      <c r="K2002" s="1" t="s">
        <v>13</v>
      </c>
      <c r="L2002" s="1">
        <v>10</v>
      </c>
      <c r="M2002" s="1">
        <v>10.99</v>
      </c>
      <c r="N2002" s="1" t="s">
        <v>99</v>
      </c>
      <c r="O2002" s="1" t="s">
        <v>2083</v>
      </c>
      <c r="P2002" s="1">
        <v>5200</v>
      </c>
      <c r="T2002"/>
    </row>
    <row r="2003" spans="9:20">
      <c r="I2003" s="1" t="s">
        <v>50</v>
      </c>
      <c r="J2003" s="1" t="s">
        <v>84</v>
      </c>
      <c r="K2003" s="1" t="s">
        <v>13</v>
      </c>
      <c r="L2003" s="1">
        <v>10</v>
      </c>
      <c r="M2003" s="1">
        <v>10.99</v>
      </c>
      <c r="N2003" s="1" t="s">
        <v>99</v>
      </c>
      <c r="O2003" s="1" t="s">
        <v>2084</v>
      </c>
      <c r="P2003" s="1">
        <v>2200</v>
      </c>
      <c r="T2003"/>
    </row>
    <row r="2004" spans="9:20">
      <c r="I2004" s="1" t="s">
        <v>50</v>
      </c>
      <c r="J2004" s="1" t="s">
        <v>1</v>
      </c>
      <c r="K2004" s="1" t="s">
        <v>14</v>
      </c>
      <c r="L2004" s="1">
        <v>10</v>
      </c>
      <c r="M2004" s="1">
        <v>10.99</v>
      </c>
      <c r="N2004" s="1" t="s">
        <v>99</v>
      </c>
      <c r="O2004" s="1" t="s">
        <v>2085</v>
      </c>
      <c r="P2004" s="1">
        <v>44000</v>
      </c>
      <c r="T2004"/>
    </row>
    <row r="2005" spans="9:20">
      <c r="I2005" s="1" t="s">
        <v>50</v>
      </c>
      <c r="J2005" s="1" t="s">
        <v>2</v>
      </c>
      <c r="K2005" s="1" t="s">
        <v>14</v>
      </c>
      <c r="L2005" s="1">
        <v>10</v>
      </c>
      <c r="M2005" s="1">
        <v>10.99</v>
      </c>
      <c r="N2005" s="1" t="s">
        <v>99</v>
      </c>
      <c r="O2005" s="1" t="s">
        <v>2086</v>
      </c>
      <c r="P2005" s="1">
        <v>40500</v>
      </c>
      <c r="T2005"/>
    </row>
    <row r="2006" spans="9:20">
      <c r="I2006" s="1" t="s">
        <v>50</v>
      </c>
      <c r="J2006" s="1" t="s">
        <v>3</v>
      </c>
      <c r="K2006" s="1" t="s">
        <v>14</v>
      </c>
      <c r="L2006" s="1">
        <v>10</v>
      </c>
      <c r="M2006" s="1">
        <v>10.99</v>
      </c>
      <c r="N2006" s="1" t="s">
        <v>99</v>
      </c>
      <c r="O2006" s="1" t="s">
        <v>2087</v>
      </c>
      <c r="P2006" s="1">
        <v>37500</v>
      </c>
      <c r="T2006"/>
    </row>
    <row r="2007" spans="9:20">
      <c r="I2007" s="1" t="s">
        <v>50</v>
      </c>
      <c r="J2007" s="1" t="s">
        <v>4</v>
      </c>
      <c r="K2007" s="1" t="s">
        <v>14</v>
      </c>
      <c r="L2007" s="1">
        <v>10</v>
      </c>
      <c r="M2007" s="1">
        <v>10.99</v>
      </c>
      <c r="N2007" s="1" t="s">
        <v>99</v>
      </c>
      <c r="O2007" s="1" t="s">
        <v>2088</v>
      </c>
      <c r="P2007" s="1">
        <v>35000</v>
      </c>
      <c r="T2007"/>
    </row>
    <row r="2008" spans="9:20">
      <c r="I2008" s="1" t="s">
        <v>50</v>
      </c>
      <c r="J2008" s="1" t="s">
        <v>5</v>
      </c>
      <c r="K2008" s="1" t="s">
        <v>14</v>
      </c>
      <c r="L2008" s="1">
        <v>10</v>
      </c>
      <c r="M2008" s="1">
        <v>10.99</v>
      </c>
      <c r="N2008" s="1" t="s">
        <v>99</v>
      </c>
      <c r="O2008" s="1" t="s">
        <v>2089</v>
      </c>
      <c r="P2008" s="1">
        <v>32500</v>
      </c>
      <c r="T2008"/>
    </row>
    <row r="2009" spans="9:20">
      <c r="I2009" s="1" t="s">
        <v>50</v>
      </c>
      <c r="J2009" s="1" t="s">
        <v>6</v>
      </c>
      <c r="K2009" s="1" t="s">
        <v>14</v>
      </c>
      <c r="L2009" s="1">
        <v>10</v>
      </c>
      <c r="M2009" s="1">
        <v>10.99</v>
      </c>
      <c r="N2009" s="1" t="s">
        <v>99</v>
      </c>
      <c r="O2009" s="1" t="s">
        <v>2090</v>
      </c>
      <c r="P2009" s="1">
        <v>28500</v>
      </c>
      <c r="T2009"/>
    </row>
    <row r="2010" spans="9:20">
      <c r="I2010" s="1" t="s">
        <v>50</v>
      </c>
      <c r="J2010" s="1" t="s">
        <v>7</v>
      </c>
      <c r="K2010" s="1" t="s">
        <v>14</v>
      </c>
      <c r="L2010" s="1">
        <v>10</v>
      </c>
      <c r="M2010" s="1">
        <v>10.99</v>
      </c>
      <c r="N2010" s="1" t="s">
        <v>99</v>
      </c>
      <c r="O2010" s="1" t="s">
        <v>2091</v>
      </c>
      <c r="P2010" s="1">
        <v>23500</v>
      </c>
      <c r="T2010"/>
    </row>
    <row r="2011" spans="9:20">
      <c r="I2011" s="1" t="s">
        <v>50</v>
      </c>
      <c r="J2011" s="1" t="s">
        <v>75</v>
      </c>
      <c r="K2011" s="1" t="s">
        <v>14</v>
      </c>
      <c r="L2011" s="1">
        <v>10</v>
      </c>
      <c r="M2011" s="1">
        <v>10.99</v>
      </c>
      <c r="N2011" s="1" t="s">
        <v>99</v>
      </c>
      <c r="O2011" s="1" t="s">
        <v>2092</v>
      </c>
      <c r="P2011" s="1">
        <v>15000</v>
      </c>
      <c r="T2011"/>
    </row>
    <row r="2012" spans="9:20">
      <c r="I2012" s="1" t="s">
        <v>50</v>
      </c>
      <c r="J2012" s="1" t="s">
        <v>78</v>
      </c>
      <c r="K2012" s="1" t="s">
        <v>14</v>
      </c>
      <c r="L2012" s="1">
        <v>10</v>
      </c>
      <c r="M2012" s="1">
        <v>10.99</v>
      </c>
      <c r="N2012" s="1" t="s">
        <v>99</v>
      </c>
      <c r="O2012" s="1" t="s">
        <v>2093</v>
      </c>
      <c r="P2012" s="1">
        <v>11000</v>
      </c>
      <c r="T2012"/>
    </row>
    <row r="2013" spans="9:20">
      <c r="I2013" s="1" t="s">
        <v>50</v>
      </c>
      <c r="J2013" s="1" t="s">
        <v>81</v>
      </c>
      <c r="K2013" s="1" t="s">
        <v>14</v>
      </c>
      <c r="L2013" s="1">
        <v>10</v>
      </c>
      <c r="M2013" s="1">
        <v>10.99</v>
      </c>
      <c r="N2013" s="1" t="s">
        <v>99</v>
      </c>
      <c r="O2013" s="1" t="s">
        <v>2094</v>
      </c>
      <c r="P2013" s="1">
        <v>4900</v>
      </c>
      <c r="T2013"/>
    </row>
    <row r="2014" spans="9:20">
      <c r="I2014" s="1" t="s">
        <v>50</v>
      </c>
      <c r="J2014" s="1" t="s">
        <v>84</v>
      </c>
      <c r="K2014" s="1" t="s">
        <v>14</v>
      </c>
      <c r="L2014" s="1">
        <v>10</v>
      </c>
      <c r="M2014" s="1">
        <v>10.99</v>
      </c>
      <c r="N2014" s="1" t="s">
        <v>99</v>
      </c>
      <c r="O2014" s="1" t="s">
        <v>2095</v>
      </c>
      <c r="P2014" s="1">
        <v>2100</v>
      </c>
      <c r="T2014"/>
    </row>
    <row r="2015" spans="9:20">
      <c r="I2015" s="1" t="s">
        <v>50</v>
      </c>
      <c r="J2015" s="1" t="s">
        <v>1</v>
      </c>
      <c r="K2015" s="1" t="s">
        <v>15</v>
      </c>
      <c r="L2015" s="1">
        <v>10</v>
      </c>
      <c r="M2015" s="1">
        <v>10.99</v>
      </c>
      <c r="N2015" s="1" t="s">
        <v>99</v>
      </c>
      <c r="O2015" s="1" t="s">
        <v>2096</v>
      </c>
      <c r="P2015" s="1">
        <v>34500</v>
      </c>
      <c r="T2015"/>
    </row>
    <row r="2016" spans="9:20">
      <c r="I2016" s="1" t="s">
        <v>50</v>
      </c>
      <c r="J2016" s="1" t="s">
        <v>2</v>
      </c>
      <c r="K2016" s="1" t="s">
        <v>15</v>
      </c>
      <c r="L2016" s="1">
        <v>10</v>
      </c>
      <c r="M2016" s="1">
        <v>10.99</v>
      </c>
      <c r="N2016" s="1" t="s">
        <v>99</v>
      </c>
      <c r="O2016" s="1" t="s">
        <v>2097</v>
      </c>
      <c r="P2016" s="1">
        <v>32500</v>
      </c>
      <c r="T2016"/>
    </row>
    <row r="2017" spans="9:20">
      <c r="I2017" s="1" t="s">
        <v>50</v>
      </c>
      <c r="J2017" s="1" t="s">
        <v>3</v>
      </c>
      <c r="K2017" s="1" t="s">
        <v>15</v>
      </c>
      <c r="L2017" s="1">
        <v>10</v>
      </c>
      <c r="M2017" s="1">
        <v>10.99</v>
      </c>
      <c r="N2017" s="1" t="s">
        <v>99</v>
      </c>
      <c r="O2017" s="1" t="s">
        <v>2098</v>
      </c>
      <c r="P2017" s="1">
        <v>30000</v>
      </c>
      <c r="T2017"/>
    </row>
    <row r="2018" spans="9:20">
      <c r="I2018" s="1" t="s">
        <v>50</v>
      </c>
      <c r="J2018" s="1" t="s">
        <v>4</v>
      </c>
      <c r="K2018" s="1" t="s">
        <v>15</v>
      </c>
      <c r="L2018" s="1">
        <v>10</v>
      </c>
      <c r="M2018" s="1">
        <v>10.99</v>
      </c>
      <c r="N2018" s="1" t="s">
        <v>99</v>
      </c>
      <c r="O2018" s="1" t="s">
        <v>2099</v>
      </c>
      <c r="P2018" s="1">
        <v>27500</v>
      </c>
      <c r="T2018"/>
    </row>
    <row r="2019" spans="9:20">
      <c r="I2019" s="1" t="s">
        <v>50</v>
      </c>
      <c r="J2019" s="1" t="s">
        <v>5</v>
      </c>
      <c r="K2019" s="1" t="s">
        <v>15</v>
      </c>
      <c r="L2019" s="1">
        <v>10</v>
      </c>
      <c r="M2019" s="1">
        <v>10.99</v>
      </c>
      <c r="N2019" s="1" t="s">
        <v>99</v>
      </c>
      <c r="O2019" s="1" t="s">
        <v>2100</v>
      </c>
      <c r="P2019" s="1">
        <v>25500</v>
      </c>
      <c r="T2019"/>
    </row>
    <row r="2020" spans="9:20">
      <c r="I2020" s="1" t="s">
        <v>50</v>
      </c>
      <c r="J2020" s="1" t="s">
        <v>6</v>
      </c>
      <c r="K2020" s="1" t="s">
        <v>15</v>
      </c>
      <c r="L2020" s="1">
        <v>10</v>
      </c>
      <c r="M2020" s="1">
        <v>10.99</v>
      </c>
      <c r="N2020" s="1" t="s">
        <v>99</v>
      </c>
      <c r="O2020" s="1" t="s">
        <v>2101</v>
      </c>
      <c r="P2020" s="1">
        <v>23500</v>
      </c>
      <c r="T2020"/>
    </row>
    <row r="2021" spans="9:20">
      <c r="I2021" s="1" t="s">
        <v>50</v>
      </c>
      <c r="J2021" s="1" t="s">
        <v>7</v>
      </c>
      <c r="K2021" s="1" t="s">
        <v>15</v>
      </c>
      <c r="L2021" s="1">
        <v>10</v>
      </c>
      <c r="M2021" s="1">
        <v>10.99</v>
      </c>
      <c r="N2021" s="1" t="s">
        <v>99</v>
      </c>
      <c r="O2021" s="1" t="s">
        <v>2102</v>
      </c>
      <c r="P2021" s="1">
        <v>20000</v>
      </c>
      <c r="T2021"/>
    </row>
    <row r="2022" spans="9:20">
      <c r="I2022" s="1" t="s">
        <v>50</v>
      </c>
      <c r="J2022" s="1" t="s">
        <v>75</v>
      </c>
      <c r="K2022" s="1" t="s">
        <v>15</v>
      </c>
      <c r="L2022" s="1">
        <v>10</v>
      </c>
      <c r="M2022" s="1">
        <v>10.99</v>
      </c>
      <c r="N2022" s="1" t="s">
        <v>99</v>
      </c>
      <c r="O2022" s="1" t="s">
        <v>2103</v>
      </c>
      <c r="P2022" s="1">
        <v>13500</v>
      </c>
      <c r="T2022"/>
    </row>
    <row r="2023" spans="9:20">
      <c r="I2023" s="1" t="s">
        <v>50</v>
      </c>
      <c r="J2023" s="1" t="s">
        <v>78</v>
      </c>
      <c r="K2023" s="1" t="s">
        <v>15</v>
      </c>
      <c r="L2023" s="1">
        <v>10</v>
      </c>
      <c r="M2023" s="1">
        <v>10.99</v>
      </c>
      <c r="N2023" s="1" t="s">
        <v>99</v>
      </c>
      <c r="O2023" s="1" t="s">
        <v>2104</v>
      </c>
      <c r="P2023" s="1">
        <v>10000</v>
      </c>
      <c r="T2023"/>
    </row>
    <row r="2024" spans="9:20">
      <c r="I2024" s="1" t="s">
        <v>50</v>
      </c>
      <c r="J2024" s="1" t="s">
        <v>81</v>
      </c>
      <c r="K2024" s="1" t="s">
        <v>15</v>
      </c>
      <c r="L2024" s="1">
        <v>10</v>
      </c>
      <c r="M2024" s="1">
        <v>10.99</v>
      </c>
      <c r="N2024" s="1" t="s">
        <v>99</v>
      </c>
      <c r="O2024" s="1" t="s">
        <v>2105</v>
      </c>
      <c r="P2024" s="1">
        <v>4700</v>
      </c>
      <c r="T2024"/>
    </row>
    <row r="2025" spans="9:20">
      <c r="I2025" s="1" t="s">
        <v>50</v>
      </c>
      <c r="J2025" s="1" t="s">
        <v>84</v>
      </c>
      <c r="K2025" s="1" t="s">
        <v>15</v>
      </c>
      <c r="L2025" s="1">
        <v>10</v>
      </c>
      <c r="M2025" s="1">
        <v>10.99</v>
      </c>
      <c r="N2025" s="1" t="s">
        <v>99</v>
      </c>
      <c r="O2025" s="1" t="s">
        <v>2106</v>
      </c>
      <c r="P2025" s="1">
        <v>2000</v>
      </c>
      <c r="T2025"/>
    </row>
    <row r="2026" spans="9:20">
      <c r="I2026" s="1" t="s">
        <v>50</v>
      </c>
      <c r="J2026" s="1" t="s">
        <v>1</v>
      </c>
      <c r="K2026" s="1" t="s">
        <v>16</v>
      </c>
      <c r="L2026" s="1">
        <v>10</v>
      </c>
      <c r="M2026" s="1">
        <v>10.99</v>
      </c>
      <c r="N2026" s="1" t="s">
        <v>99</v>
      </c>
      <c r="O2026" s="1" t="s">
        <v>2107</v>
      </c>
      <c r="P2026" s="1">
        <v>27000</v>
      </c>
      <c r="T2026"/>
    </row>
    <row r="2027" spans="9:20">
      <c r="I2027" s="1" t="s">
        <v>50</v>
      </c>
      <c r="J2027" s="1" t="s">
        <v>2</v>
      </c>
      <c r="K2027" s="1" t="s">
        <v>16</v>
      </c>
      <c r="L2027" s="1">
        <v>10</v>
      </c>
      <c r="M2027" s="1">
        <v>10.99</v>
      </c>
      <c r="N2027" s="1" t="s">
        <v>99</v>
      </c>
      <c r="O2027" s="1" t="s">
        <v>2108</v>
      </c>
      <c r="P2027" s="1">
        <v>25500</v>
      </c>
      <c r="T2027"/>
    </row>
    <row r="2028" spans="9:20">
      <c r="I2028" s="1" t="s">
        <v>50</v>
      </c>
      <c r="J2028" s="1" t="s">
        <v>3</v>
      </c>
      <c r="K2028" s="1" t="s">
        <v>16</v>
      </c>
      <c r="L2028" s="1">
        <v>10</v>
      </c>
      <c r="M2028" s="1">
        <v>10.99</v>
      </c>
      <c r="N2028" s="1" t="s">
        <v>99</v>
      </c>
      <c r="O2028" s="1" t="s">
        <v>2109</v>
      </c>
      <c r="P2028" s="1">
        <v>24000</v>
      </c>
      <c r="T2028"/>
    </row>
    <row r="2029" spans="9:20">
      <c r="I2029" s="1" t="s">
        <v>50</v>
      </c>
      <c r="J2029" s="1" t="s">
        <v>4</v>
      </c>
      <c r="K2029" s="1" t="s">
        <v>16</v>
      </c>
      <c r="L2029" s="1">
        <v>10</v>
      </c>
      <c r="M2029" s="1">
        <v>10.99</v>
      </c>
      <c r="N2029" s="1" t="s">
        <v>99</v>
      </c>
      <c r="O2029" s="1" t="s">
        <v>2110</v>
      </c>
      <c r="P2029" s="1">
        <v>22500</v>
      </c>
      <c r="T2029"/>
    </row>
    <row r="2030" spans="9:20">
      <c r="I2030" s="1" t="s">
        <v>50</v>
      </c>
      <c r="J2030" s="1" t="s">
        <v>5</v>
      </c>
      <c r="K2030" s="1" t="s">
        <v>16</v>
      </c>
      <c r="L2030" s="1">
        <v>10</v>
      </c>
      <c r="M2030" s="1">
        <v>10.99</v>
      </c>
      <c r="N2030" s="1" t="s">
        <v>99</v>
      </c>
      <c r="O2030" s="1" t="s">
        <v>2111</v>
      </c>
      <c r="P2030" s="1">
        <v>21000</v>
      </c>
      <c r="T2030"/>
    </row>
    <row r="2031" spans="9:20">
      <c r="I2031" s="1" t="s">
        <v>50</v>
      </c>
      <c r="J2031" s="1" t="s">
        <v>6</v>
      </c>
      <c r="K2031" s="1" t="s">
        <v>16</v>
      </c>
      <c r="L2031" s="1">
        <v>10</v>
      </c>
      <c r="M2031" s="1">
        <v>10.99</v>
      </c>
      <c r="N2031" s="1" t="s">
        <v>99</v>
      </c>
      <c r="O2031" s="1" t="s">
        <v>2112</v>
      </c>
      <c r="P2031" s="1">
        <v>19500</v>
      </c>
      <c r="T2031"/>
    </row>
    <row r="2032" spans="9:20">
      <c r="I2032" s="1" t="s">
        <v>50</v>
      </c>
      <c r="J2032" s="1" t="s">
        <v>7</v>
      </c>
      <c r="K2032" s="1" t="s">
        <v>16</v>
      </c>
      <c r="L2032" s="1">
        <v>10</v>
      </c>
      <c r="M2032" s="1">
        <v>10.99</v>
      </c>
      <c r="N2032" s="1" t="s">
        <v>99</v>
      </c>
      <c r="O2032" s="1" t="s">
        <v>2113</v>
      </c>
      <c r="P2032" s="1">
        <v>16500</v>
      </c>
      <c r="T2032"/>
    </row>
    <row r="2033" spans="9:20">
      <c r="I2033" s="1" t="s">
        <v>50</v>
      </c>
      <c r="J2033" s="1" t="s">
        <v>75</v>
      </c>
      <c r="K2033" s="1" t="s">
        <v>16</v>
      </c>
      <c r="L2033" s="1">
        <v>10</v>
      </c>
      <c r="M2033" s="1">
        <v>10.99</v>
      </c>
      <c r="N2033" s="1" t="s">
        <v>99</v>
      </c>
      <c r="O2033" s="1" t="s">
        <v>2114</v>
      </c>
      <c r="P2033" s="1">
        <v>12000</v>
      </c>
      <c r="T2033"/>
    </row>
    <row r="2034" spans="9:20">
      <c r="I2034" s="1" t="s">
        <v>50</v>
      </c>
      <c r="J2034" s="1" t="s">
        <v>78</v>
      </c>
      <c r="K2034" s="1" t="s">
        <v>16</v>
      </c>
      <c r="L2034" s="1">
        <v>10</v>
      </c>
      <c r="M2034" s="1">
        <v>10.99</v>
      </c>
      <c r="N2034" s="1" t="s">
        <v>99</v>
      </c>
      <c r="O2034" s="1" t="s">
        <v>2115</v>
      </c>
      <c r="P2034" s="1">
        <v>8500</v>
      </c>
      <c r="T2034"/>
    </row>
    <row r="2035" spans="9:20">
      <c r="I2035" s="1" t="s">
        <v>50</v>
      </c>
      <c r="J2035" s="1" t="s">
        <v>81</v>
      </c>
      <c r="K2035" s="1" t="s">
        <v>16</v>
      </c>
      <c r="L2035" s="1">
        <v>10</v>
      </c>
      <c r="M2035" s="1">
        <v>10.99</v>
      </c>
      <c r="N2035" s="1" t="s">
        <v>99</v>
      </c>
      <c r="O2035" s="1" t="s">
        <v>2116</v>
      </c>
      <c r="P2035" s="1">
        <v>4500</v>
      </c>
      <c r="T2035"/>
    </row>
    <row r="2036" spans="9:20">
      <c r="I2036" s="1" t="s">
        <v>50</v>
      </c>
      <c r="J2036" s="1" t="s">
        <v>84</v>
      </c>
      <c r="K2036" s="1" t="s">
        <v>16</v>
      </c>
      <c r="L2036" s="1">
        <v>10</v>
      </c>
      <c r="M2036" s="1">
        <v>10.99</v>
      </c>
      <c r="N2036" s="1" t="s">
        <v>99</v>
      </c>
      <c r="O2036" s="1" t="s">
        <v>2117</v>
      </c>
      <c r="P2036" s="1">
        <v>1900</v>
      </c>
      <c r="T2036"/>
    </row>
    <row r="2037" spans="9:20">
      <c r="I2037" s="1" t="s">
        <v>50</v>
      </c>
      <c r="J2037" s="1" t="s">
        <v>1</v>
      </c>
      <c r="K2037" s="1" t="s">
        <v>17</v>
      </c>
      <c r="L2037" s="1">
        <v>10</v>
      </c>
      <c r="M2037" s="1">
        <v>10.99</v>
      </c>
      <c r="N2037" s="1" t="s">
        <v>99</v>
      </c>
      <c r="O2037" s="1" t="s">
        <v>2118</v>
      </c>
      <c r="P2037" s="1">
        <v>22500</v>
      </c>
      <c r="T2037"/>
    </row>
    <row r="2038" spans="9:20">
      <c r="I2038" s="1" t="s">
        <v>50</v>
      </c>
      <c r="J2038" s="1" t="s">
        <v>2</v>
      </c>
      <c r="K2038" s="1" t="s">
        <v>17</v>
      </c>
      <c r="L2038" s="1">
        <v>10</v>
      </c>
      <c r="M2038" s="1">
        <v>10.99</v>
      </c>
      <c r="N2038" s="1" t="s">
        <v>99</v>
      </c>
      <c r="O2038" s="1" t="s">
        <v>2119</v>
      </c>
      <c r="P2038" s="1">
        <v>21000</v>
      </c>
      <c r="T2038"/>
    </row>
    <row r="2039" spans="9:20">
      <c r="I2039" s="1" t="s">
        <v>50</v>
      </c>
      <c r="J2039" s="1" t="s">
        <v>3</v>
      </c>
      <c r="K2039" s="1" t="s">
        <v>17</v>
      </c>
      <c r="L2039" s="1">
        <v>10</v>
      </c>
      <c r="M2039" s="1">
        <v>10.99</v>
      </c>
      <c r="N2039" s="1" t="s">
        <v>99</v>
      </c>
      <c r="O2039" s="1" t="s">
        <v>2120</v>
      </c>
      <c r="P2039" s="1">
        <v>19500</v>
      </c>
      <c r="T2039"/>
    </row>
    <row r="2040" spans="9:20">
      <c r="I2040" s="1" t="s">
        <v>50</v>
      </c>
      <c r="J2040" s="1" t="s">
        <v>4</v>
      </c>
      <c r="K2040" s="1" t="s">
        <v>17</v>
      </c>
      <c r="L2040" s="1">
        <v>10</v>
      </c>
      <c r="M2040" s="1">
        <v>10.99</v>
      </c>
      <c r="N2040" s="1" t="s">
        <v>99</v>
      </c>
      <c r="O2040" s="1" t="s">
        <v>2121</v>
      </c>
      <c r="P2040" s="1">
        <v>18500</v>
      </c>
      <c r="T2040"/>
    </row>
    <row r="2041" spans="9:20">
      <c r="I2041" s="1" t="s">
        <v>50</v>
      </c>
      <c r="J2041" s="1" t="s">
        <v>5</v>
      </c>
      <c r="K2041" s="1" t="s">
        <v>17</v>
      </c>
      <c r="L2041" s="1">
        <v>10</v>
      </c>
      <c r="M2041" s="1">
        <v>10.99</v>
      </c>
      <c r="N2041" s="1" t="s">
        <v>99</v>
      </c>
      <c r="O2041" s="1" t="s">
        <v>2122</v>
      </c>
      <c r="P2041" s="1">
        <v>17500</v>
      </c>
      <c r="T2041"/>
    </row>
    <row r="2042" spans="9:20">
      <c r="I2042" s="1" t="s">
        <v>50</v>
      </c>
      <c r="J2042" s="1" t="s">
        <v>6</v>
      </c>
      <c r="K2042" s="1" t="s">
        <v>17</v>
      </c>
      <c r="L2042" s="1">
        <v>10</v>
      </c>
      <c r="M2042" s="1">
        <v>10.99</v>
      </c>
      <c r="N2042" s="1" t="s">
        <v>99</v>
      </c>
      <c r="O2042" s="1" t="s">
        <v>2123</v>
      </c>
      <c r="P2042" s="1">
        <v>16500</v>
      </c>
      <c r="T2042"/>
    </row>
    <row r="2043" spans="9:20">
      <c r="I2043" s="1" t="s">
        <v>50</v>
      </c>
      <c r="J2043" s="1" t="s">
        <v>7</v>
      </c>
      <c r="K2043" s="1" t="s">
        <v>17</v>
      </c>
      <c r="L2043" s="1">
        <v>10</v>
      </c>
      <c r="M2043" s="1">
        <v>10.99</v>
      </c>
      <c r="N2043" s="1" t="s">
        <v>99</v>
      </c>
      <c r="O2043" s="1" t="s">
        <v>2124</v>
      </c>
      <c r="P2043" s="1">
        <v>14000</v>
      </c>
      <c r="T2043"/>
    </row>
    <row r="2044" spans="9:20">
      <c r="I2044" s="1" t="s">
        <v>50</v>
      </c>
      <c r="J2044" s="1" t="s">
        <v>75</v>
      </c>
      <c r="K2044" s="1" t="s">
        <v>17</v>
      </c>
      <c r="L2044" s="1">
        <v>10</v>
      </c>
      <c r="M2044" s="1">
        <v>10.99</v>
      </c>
      <c r="N2044" s="1" t="s">
        <v>99</v>
      </c>
      <c r="O2044" s="1" t="s">
        <v>2125</v>
      </c>
      <c r="P2044" s="1">
        <v>10500</v>
      </c>
    </row>
    <row r="2045" spans="9:20">
      <c r="I2045" s="1" t="s">
        <v>50</v>
      </c>
      <c r="J2045" s="1" t="s">
        <v>78</v>
      </c>
      <c r="K2045" s="1" t="s">
        <v>17</v>
      </c>
      <c r="L2045" s="1">
        <v>10</v>
      </c>
      <c r="M2045" s="1">
        <v>10.99</v>
      </c>
      <c r="N2045" s="1" t="s">
        <v>99</v>
      </c>
      <c r="O2045" s="1" t="s">
        <v>2126</v>
      </c>
      <c r="P2045" s="1">
        <v>7500</v>
      </c>
    </row>
    <row r="2046" spans="9:20">
      <c r="I2046" s="1" t="s">
        <v>50</v>
      </c>
      <c r="J2046" s="1" t="s">
        <v>81</v>
      </c>
      <c r="K2046" s="1" t="s">
        <v>17</v>
      </c>
      <c r="L2046" s="1">
        <v>10</v>
      </c>
      <c r="M2046" s="1">
        <v>10.99</v>
      </c>
      <c r="N2046" s="1" t="s">
        <v>99</v>
      </c>
      <c r="O2046" s="1" t="s">
        <v>2127</v>
      </c>
      <c r="P2046" s="1">
        <v>4300</v>
      </c>
    </row>
    <row r="2047" spans="9:20">
      <c r="I2047" s="1" t="s">
        <v>50</v>
      </c>
      <c r="J2047" s="1" t="s">
        <v>84</v>
      </c>
      <c r="K2047" s="1" t="s">
        <v>17</v>
      </c>
      <c r="L2047" s="1">
        <v>10</v>
      </c>
      <c r="M2047" s="1">
        <v>10.99</v>
      </c>
      <c r="N2047" s="1" t="s">
        <v>99</v>
      </c>
      <c r="O2047" s="1" t="s">
        <v>2128</v>
      </c>
      <c r="P2047" s="1">
        <v>1800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8BEAF-CD54-41AE-9EB8-339FC8661488}">
  <sheetPr codeName="Sheet3"/>
  <dimension ref="A1:E13"/>
  <sheetViews>
    <sheetView tabSelected="1" zoomScaleNormal="100" workbookViewId="0">
      <selection activeCell="J3" sqref="J3"/>
    </sheetView>
  </sheetViews>
  <sheetFormatPr defaultRowHeight="18" customHeight="1"/>
  <cols>
    <col min="1" max="1" width="19" style="20" bestFit="1" customWidth="1"/>
    <col min="2" max="2" width="16.42578125" style="20" customWidth="1"/>
    <col min="3" max="3" width="3.28515625" style="17" customWidth="1"/>
    <col min="4" max="4" width="10.5703125" style="17" customWidth="1"/>
    <col min="5" max="5" width="1.5703125" style="17" customWidth="1"/>
    <col min="6" max="16384" width="9.140625" style="17"/>
  </cols>
  <sheetData>
    <row r="1" spans="1:5" ht="21.75" customHeight="1" thickBot="1">
      <c r="A1" s="42" t="s">
        <v>2152</v>
      </c>
      <c r="B1" s="43">
        <v>0.35</v>
      </c>
      <c r="C1" s="21"/>
      <c r="D1" s="21"/>
      <c r="E1" s="22"/>
    </row>
    <row r="2" spans="1:5" ht="18" customHeight="1" thickBot="1">
      <c r="A2" s="28"/>
      <c r="B2" s="37"/>
      <c r="C2" s="38"/>
      <c r="D2" s="40" t="s">
        <v>2150</v>
      </c>
      <c r="E2" s="23"/>
    </row>
    <row r="3" spans="1:5" ht="18" customHeight="1" thickBot="1">
      <c r="A3" s="44" t="s">
        <v>2129</v>
      </c>
      <c r="B3" s="45" t="s">
        <v>50</v>
      </c>
      <c r="C3" s="38"/>
      <c r="D3" s="41"/>
      <c r="E3" s="23"/>
    </row>
    <row r="4" spans="1:5" ht="18" customHeight="1" thickBot="1">
      <c r="A4" s="29" t="s">
        <v>25</v>
      </c>
      <c r="B4" s="46" t="s">
        <v>8</v>
      </c>
      <c r="C4" s="38"/>
      <c r="D4" s="39"/>
      <c r="E4" s="23"/>
    </row>
    <row r="5" spans="1:5" ht="18" customHeight="1">
      <c r="A5" s="29" t="s">
        <v>45</v>
      </c>
      <c r="B5" s="46" t="s">
        <v>2</v>
      </c>
      <c r="C5" s="38"/>
      <c r="D5" s="38"/>
      <c r="E5" s="23"/>
    </row>
    <row r="6" spans="1:5" ht="18" customHeight="1">
      <c r="A6" s="29" t="s">
        <v>2151</v>
      </c>
      <c r="B6" s="46" t="s">
        <v>23</v>
      </c>
      <c r="C6" s="38"/>
      <c r="D6" s="38"/>
      <c r="E6" s="23"/>
    </row>
    <row r="7" spans="1:5" ht="18" customHeight="1">
      <c r="A7" s="30" t="s">
        <v>2130</v>
      </c>
      <c r="B7" s="46" t="s">
        <v>52</v>
      </c>
      <c r="C7" s="38"/>
      <c r="D7" s="38"/>
      <c r="E7" s="23"/>
    </row>
    <row r="8" spans="1:5" ht="18" customHeight="1">
      <c r="A8" s="18" t="s">
        <v>2131</v>
      </c>
      <c r="B8" s="47">
        <f>IFERROR(VLOOKUP($B$3&amp;VLOOKUP($B$1,List!$L:$N,3,1)&amp;$B$5&amp;$B$4,List!$O:$P,2,0),"N/A")</f>
        <v>2200</v>
      </c>
      <c r="C8" s="38"/>
      <c r="D8" s="38"/>
      <c r="E8" s="23"/>
    </row>
    <row r="9" spans="1:5" ht="18" customHeight="1">
      <c r="A9" s="19" t="s">
        <v>2132</v>
      </c>
      <c r="B9" s="48" cm="1">
        <f t="array" ref="B9">INDEX(Tables!$B$1:$AAA$5000, MATCH(1, INDEX((Tables!$A$1:$A$5000=VLOOKUP($B$1,List!$W:$X,2,1)) * (Tables!$C$1:$C$5000=TRIM($B$4)), 0), 0), MATCH(TRIM($B$6)&amp;"-"&amp;TRIM($B$7), Tables!$1:$1, 0) + MATCH(TRIM($B$5), {"FL","IF","VVS1","VVS2","VS1","VS2","SI1","SI2"}, 0) - 1)+$D$4</f>
        <v>-46</v>
      </c>
      <c r="C9" s="38"/>
      <c r="D9" s="38"/>
      <c r="E9" s="23"/>
    </row>
    <row r="10" spans="1:5" ht="18" customHeight="1">
      <c r="A10" s="19" t="s">
        <v>2133</v>
      </c>
      <c r="B10" s="49">
        <f>IFERROR(B8+B8*B9%,"N/A")</f>
        <v>1188</v>
      </c>
      <c r="C10" s="38"/>
      <c r="D10" s="38"/>
      <c r="E10" s="23"/>
    </row>
    <row r="11" spans="1:5" ht="18" customHeight="1">
      <c r="A11" s="19" t="s">
        <v>2134</v>
      </c>
      <c r="B11" s="49">
        <f>IFERROR(B10*B1,"N/A")</f>
        <v>415.79999999999995</v>
      </c>
      <c r="C11" s="38"/>
      <c r="D11" s="38"/>
      <c r="E11" s="23"/>
    </row>
    <row r="12" spans="1:5" ht="18" customHeight="1" thickBot="1">
      <c r="A12" s="50" t="s">
        <v>2135</v>
      </c>
      <c r="B12" s="51">
        <f>IFERROR(VLOOKUP(B1,List!$T:$U,2,1),"N/A")</f>
        <v>34.79</v>
      </c>
      <c r="C12" s="38"/>
      <c r="D12" s="38"/>
      <c r="E12" s="23"/>
    </row>
    <row r="13" spans="1:5" ht="18" customHeight="1" thickBot="1">
      <c r="A13" s="24"/>
      <c r="B13" s="25"/>
      <c r="C13" s="26"/>
      <c r="D13" s="26"/>
      <c r="E13" s="27"/>
    </row>
  </sheetData>
  <mergeCells count="1">
    <mergeCell ref="D2:D3"/>
  </mergeCells>
  <conditionalFormatting sqref="B9 B11">
    <cfRule type="containsText" dxfId="1" priority="12" operator="containsText" text="ERROR">
      <formula>NOT(ISERROR(SEARCH("ERROR",B9)))</formula>
    </cfRule>
  </conditionalFormatting>
  <conditionalFormatting sqref="B8">
    <cfRule type="containsText" dxfId="0" priority="11" operator="containsText" text="ERROR">
      <formula>NOT(ISERROR(SEARCH("ERROR",B8)))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F976200-0090-4257-8702-5B702969E9A5}">
          <x14:formula1>
            <xm:f>List!$B$2:$B$9</xm:f>
          </x14:formula1>
          <xm:sqref>B4</xm:sqref>
        </x14:dataValidation>
        <x14:dataValidation type="list" allowBlank="1" showInputMessage="1" showErrorMessage="1" xr:uid="{1F2F877E-D502-4C5D-994D-21A791EEAA35}">
          <x14:formula1>
            <xm:f>List!$C$2:$C$9</xm:f>
          </x14:formula1>
          <xm:sqref>B5</xm:sqref>
        </x14:dataValidation>
        <x14:dataValidation type="list" allowBlank="1" showInputMessage="1" showErrorMessage="1" xr:uid="{45516ABF-4E5B-4728-9544-F0825245020F}">
          <x14:formula1>
            <xm:f>List!$E$2:$E$3</xm:f>
          </x14:formula1>
          <xm:sqref>B6</xm:sqref>
        </x14:dataValidation>
        <x14:dataValidation type="list" allowBlank="1" showInputMessage="1" showErrorMessage="1" xr:uid="{5A4D2EB0-B74A-459F-892D-9FB725B2ED51}">
          <x14:formula1>
            <xm:f>List!$F$2:$F$4</xm:f>
          </x14:formula1>
          <xm:sqref>B7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Tables</vt:lpstr>
      <vt:lpstr>List</vt:lpstr>
      <vt:lpstr>Polish 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KP Patel</cp:lastModifiedBy>
  <dcterms:created xsi:type="dcterms:W3CDTF">2026-05-04T09:10:44Z</dcterms:created>
  <dcterms:modified xsi:type="dcterms:W3CDTF">2026-05-05T05:33:43Z</dcterms:modified>
</cp:coreProperties>
</file>